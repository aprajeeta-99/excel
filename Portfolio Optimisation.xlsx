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344c08efded66f/Documents/"/>
    </mc:Choice>
  </mc:AlternateContent>
  <xr:revisionPtr revIDLastSave="0" documentId="8_{0FCFE42E-EE9D-492E-83AF-8814FFC3FE7F}" xr6:coauthVersionLast="47" xr6:coauthVersionMax="47" xr10:uidLastSave="{00000000-0000-0000-0000-000000000000}"/>
  <bookViews>
    <workbookView xWindow="-110" yWindow="-110" windowWidth="19420" windowHeight="10300" xr2:uid="{07FA3B46-92E6-4722-B395-AFFEA279B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030" i="1" l="1"/>
  <c r="S4030" i="1"/>
  <c r="R4030" i="1"/>
  <c r="Q4030" i="1"/>
  <c r="P4030" i="1"/>
  <c r="T4029" i="1"/>
  <c r="S4029" i="1"/>
  <c r="R4029" i="1"/>
  <c r="Q4029" i="1"/>
  <c r="P4029" i="1"/>
  <c r="T4028" i="1"/>
  <c r="S4028" i="1"/>
  <c r="R4028" i="1"/>
  <c r="Q4028" i="1"/>
  <c r="P4028" i="1"/>
  <c r="T4027" i="1"/>
  <c r="S4027" i="1"/>
  <c r="R4027" i="1"/>
  <c r="Q4027" i="1"/>
  <c r="P4027" i="1"/>
  <c r="T4026" i="1"/>
  <c r="S4026" i="1"/>
  <c r="R4026" i="1"/>
  <c r="Q4026" i="1"/>
  <c r="P4026" i="1"/>
  <c r="T4025" i="1"/>
  <c r="S4025" i="1"/>
  <c r="R4025" i="1"/>
  <c r="Q4025" i="1"/>
  <c r="P4025" i="1"/>
  <c r="T4024" i="1"/>
  <c r="S4024" i="1"/>
  <c r="R4024" i="1"/>
  <c r="Q4024" i="1"/>
  <c r="P4024" i="1"/>
  <c r="T4023" i="1"/>
  <c r="S4023" i="1"/>
  <c r="R4023" i="1"/>
  <c r="Q4023" i="1"/>
  <c r="P4023" i="1"/>
  <c r="T4022" i="1"/>
  <c r="S4022" i="1"/>
  <c r="R4022" i="1"/>
  <c r="Q4022" i="1"/>
  <c r="P4022" i="1"/>
  <c r="T4021" i="1"/>
  <c r="S4021" i="1"/>
  <c r="R4021" i="1"/>
  <c r="Q4021" i="1"/>
  <c r="P4021" i="1"/>
  <c r="T4020" i="1"/>
  <c r="S4020" i="1"/>
  <c r="R4020" i="1"/>
  <c r="Q4020" i="1"/>
  <c r="P4020" i="1"/>
  <c r="T4019" i="1"/>
  <c r="S4019" i="1"/>
  <c r="R4019" i="1"/>
  <c r="Q4019" i="1"/>
  <c r="P4019" i="1"/>
  <c r="T4018" i="1"/>
  <c r="S4018" i="1"/>
  <c r="R4018" i="1"/>
  <c r="Q4018" i="1"/>
  <c r="P4018" i="1"/>
  <c r="T4017" i="1"/>
  <c r="S4017" i="1"/>
  <c r="R4017" i="1"/>
  <c r="Q4017" i="1"/>
  <c r="P4017" i="1"/>
  <c r="T4016" i="1"/>
  <c r="S4016" i="1"/>
  <c r="R4016" i="1"/>
  <c r="Q4016" i="1"/>
  <c r="P4016" i="1"/>
  <c r="T4015" i="1"/>
  <c r="S4015" i="1"/>
  <c r="R4015" i="1"/>
  <c r="Q4015" i="1"/>
  <c r="P4015" i="1"/>
  <c r="T4014" i="1"/>
  <c r="S4014" i="1"/>
  <c r="R4014" i="1"/>
  <c r="Q4014" i="1"/>
  <c r="P4014" i="1"/>
  <c r="T4013" i="1"/>
  <c r="S4013" i="1"/>
  <c r="R4013" i="1"/>
  <c r="Q4013" i="1"/>
  <c r="P4013" i="1"/>
  <c r="T4012" i="1"/>
  <c r="S4012" i="1"/>
  <c r="R4012" i="1"/>
  <c r="Q4012" i="1"/>
  <c r="P4012" i="1"/>
  <c r="T4011" i="1"/>
  <c r="S4011" i="1"/>
  <c r="R4011" i="1"/>
  <c r="Q4011" i="1"/>
  <c r="P4011" i="1"/>
  <c r="T4010" i="1"/>
  <c r="S4010" i="1"/>
  <c r="R4010" i="1"/>
  <c r="Q4010" i="1"/>
  <c r="P4010" i="1"/>
  <c r="T4009" i="1"/>
  <c r="S4009" i="1"/>
  <c r="R4009" i="1"/>
  <c r="Q4009" i="1"/>
  <c r="P4009" i="1"/>
  <c r="T4008" i="1"/>
  <c r="S4008" i="1"/>
  <c r="R4008" i="1"/>
  <c r="Q4008" i="1"/>
  <c r="P4008" i="1"/>
  <c r="T4007" i="1"/>
  <c r="S4007" i="1"/>
  <c r="R4007" i="1"/>
  <c r="Q4007" i="1"/>
  <c r="P4007" i="1"/>
  <c r="T4006" i="1"/>
  <c r="S4006" i="1"/>
  <c r="R4006" i="1"/>
  <c r="Q4006" i="1"/>
  <c r="P4006" i="1"/>
  <c r="T4005" i="1"/>
  <c r="S4005" i="1"/>
  <c r="R4005" i="1"/>
  <c r="Q4005" i="1"/>
  <c r="P4005" i="1"/>
  <c r="T4004" i="1"/>
  <c r="S4004" i="1"/>
  <c r="R4004" i="1"/>
  <c r="Q4004" i="1"/>
  <c r="P4004" i="1"/>
  <c r="T4003" i="1"/>
  <c r="S4003" i="1"/>
  <c r="R4003" i="1"/>
  <c r="Q4003" i="1"/>
  <c r="P4003" i="1"/>
  <c r="T4002" i="1"/>
  <c r="S4002" i="1"/>
  <c r="R4002" i="1"/>
  <c r="Q4002" i="1"/>
  <c r="P4002" i="1"/>
  <c r="T4001" i="1"/>
  <c r="S4001" i="1"/>
  <c r="R4001" i="1"/>
  <c r="Q4001" i="1"/>
  <c r="P4001" i="1"/>
  <c r="T4000" i="1"/>
  <c r="S4000" i="1"/>
  <c r="R4000" i="1"/>
  <c r="Q4000" i="1"/>
  <c r="P4000" i="1"/>
  <c r="T3999" i="1"/>
  <c r="S3999" i="1"/>
  <c r="R3999" i="1"/>
  <c r="Q3999" i="1"/>
  <c r="P3999" i="1"/>
  <c r="T3998" i="1"/>
  <c r="S3998" i="1"/>
  <c r="R3998" i="1"/>
  <c r="Q3998" i="1"/>
  <c r="P3998" i="1"/>
  <c r="T3997" i="1"/>
  <c r="S3997" i="1"/>
  <c r="R3997" i="1"/>
  <c r="Q3997" i="1"/>
  <c r="P3997" i="1"/>
  <c r="T3996" i="1"/>
  <c r="S3996" i="1"/>
  <c r="R3996" i="1"/>
  <c r="Q3996" i="1"/>
  <c r="P3996" i="1"/>
  <c r="T3995" i="1"/>
  <c r="S3995" i="1"/>
  <c r="R3995" i="1"/>
  <c r="Q3995" i="1"/>
  <c r="P3995" i="1"/>
  <c r="T3994" i="1"/>
  <c r="S3994" i="1"/>
  <c r="R3994" i="1"/>
  <c r="Q3994" i="1"/>
  <c r="P3994" i="1"/>
  <c r="T3993" i="1"/>
  <c r="S3993" i="1"/>
  <c r="R3993" i="1"/>
  <c r="Q3993" i="1"/>
  <c r="P3993" i="1"/>
  <c r="T3992" i="1"/>
  <c r="S3992" i="1"/>
  <c r="R3992" i="1"/>
  <c r="Q3992" i="1"/>
  <c r="P3992" i="1"/>
  <c r="T3991" i="1"/>
  <c r="S3991" i="1"/>
  <c r="R3991" i="1"/>
  <c r="Q3991" i="1"/>
  <c r="P3991" i="1"/>
  <c r="T3990" i="1"/>
  <c r="S3990" i="1"/>
  <c r="R3990" i="1"/>
  <c r="Q3990" i="1"/>
  <c r="P3990" i="1"/>
  <c r="T3989" i="1"/>
  <c r="S3989" i="1"/>
  <c r="R3989" i="1"/>
  <c r="Q3989" i="1"/>
  <c r="P3989" i="1"/>
  <c r="T3988" i="1"/>
  <c r="S3988" i="1"/>
  <c r="R3988" i="1"/>
  <c r="Q3988" i="1"/>
  <c r="P3988" i="1"/>
  <c r="T3987" i="1"/>
  <c r="S3987" i="1"/>
  <c r="R3987" i="1"/>
  <c r="Q3987" i="1"/>
  <c r="P3987" i="1"/>
  <c r="T3986" i="1"/>
  <c r="S3986" i="1"/>
  <c r="R3986" i="1"/>
  <c r="Q3986" i="1"/>
  <c r="P3986" i="1"/>
  <c r="T3985" i="1"/>
  <c r="S3985" i="1"/>
  <c r="R3985" i="1"/>
  <c r="Q3985" i="1"/>
  <c r="P3985" i="1"/>
  <c r="T3984" i="1"/>
  <c r="S3984" i="1"/>
  <c r="R3984" i="1"/>
  <c r="Q3984" i="1"/>
  <c r="P3984" i="1"/>
  <c r="T3983" i="1"/>
  <c r="S3983" i="1"/>
  <c r="R3983" i="1"/>
  <c r="Q3983" i="1"/>
  <c r="P3983" i="1"/>
  <c r="T3982" i="1"/>
  <c r="S3982" i="1"/>
  <c r="R3982" i="1"/>
  <c r="Q3982" i="1"/>
  <c r="P3982" i="1"/>
  <c r="T3981" i="1"/>
  <c r="S3981" i="1"/>
  <c r="R3981" i="1"/>
  <c r="Q3981" i="1"/>
  <c r="P3981" i="1"/>
  <c r="T3980" i="1"/>
  <c r="S3980" i="1"/>
  <c r="R3980" i="1"/>
  <c r="Q3980" i="1"/>
  <c r="P3980" i="1"/>
  <c r="T3979" i="1"/>
  <c r="S3979" i="1"/>
  <c r="R3979" i="1"/>
  <c r="Q3979" i="1"/>
  <c r="P3979" i="1"/>
  <c r="T3978" i="1"/>
  <c r="S3978" i="1"/>
  <c r="R3978" i="1"/>
  <c r="Q3978" i="1"/>
  <c r="P3978" i="1"/>
  <c r="T3977" i="1"/>
  <c r="S3977" i="1"/>
  <c r="R3977" i="1"/>
  <c r="Q3977" i="1"/>
  <c r="P3977" i="1"/>
  <c r="T3976" i="1"/>
  <c r="S3976" i="1"/>
  <c r="R3976" i="1"/>
  <c r="Q3976" i="1"/>
  <c r="P3976" i="1"/>
  <c r="T3975" i="1"/>
  <c r="S3975" i="1"/>
  <c r="R3975" i="1"/>
  <c r="Q3975" i="1"/>
  <c r="P3975" i="1"/>
  <c r="T3974" i="1"/>
  <c r="S3974" i="1"/>
  <c r="R3974" i="1"/>
  <c r="Q3974" i="1"/>
  <c r="P3974" i="1"/>
  <c r="T3973" i="1"/>
  <c r="S3973" i="1"/>
  <c r="R3973" i="1"/>
  <c r="Q3973" i="1"/>
  <c r="P3973" i="1"/>
  <c r="T3972" i="1"/>
  <c r="S3972" i="1"/>
  <c r="R3972" i="1"/>
  <c r="Q3972" i="1"/>
  <c r="P3972" i="1"/>
  <c r="T3971" i="1"/>
  <c r="S3971" i="1"/>
  <c r="R3971" i="1"/>
  <c r="Q3971" i="1"/>
  <c r="P3971" i="1"/>
  <c r="T3970" i="1"/>
  <c r="S3970" i="1"/>
  <c r="R3970" i="1"/>
  <c r="Q3970" i="1"/>
  <c r="P3970" i="1"/>
  <c r="T3969" i="1"/>
  <c r="S3969" i="1"/>
  <c r="R3969" i="1"/>
  <c r="Q3969" i="1"/>
  <c r="P3969" i="1"/>
  <c r="T3968" i="1"/>
  <c r="S3968" i="1"/>
  <c r="R3968" i="1"/>
  <c r="Q3968" i="1"/>
  <c r="P3968" i="1"/>
  <c r="T3967" i="1"/>
  <c r="S3967" i="1"/>
  <c r="R3967" i="1"/>
  <c r="Q3967" i="1"/>
  <c r="P3967" i="1"/>
  <c r="T3966" i="1"/>
  <c r="S3966" i="1"/>
  <c r="R3966" i="1"/>
  <c r="Q3966" i="1"/>
  <c r="P3966" i="1"/>
  <c r="T3965" i="1"/>
  <c r="S3965" i="1"/>
  <c r="R3965" i="1"/>
  <c r="Q3965" i="1"/>
  <c r="P3965" i="1"/>
  <c r="T3964" i="1"/>
  <c r="S3964" i="1"/>
  <c r="R3964" i="1"/>
  <c r="Q3964" i="1"/>
  <c r="P3964" i="1"/>
  <c r="T3963" i="1"/>
  <c r="S3963" i="1"/>
  <c r="R3963" i="1"/>
  <c r="Q3963" i="1"/>
  <c r="P3963" i="1"/>
  <c r="T3962" i="1"/>
  <c r="S3962" i="1"/>
  <c r="R3962" i="1"/>
  <c r="Q3962" i="1"/>
  <c r="P3962" i="1"/>
  <c r="T3961" i="1"/>
  <c r="S3961" i="1"/>
  <c r="R3961" i="1"/>
  <c r="Q3961" i="1"/>
  <c r="P3961" i="1"/>
  <c r="T3960" i="1"/>
  <c r="S3960" i="1"/>
  <c r="R3960" i="1"/>
  <c r="Q3960" i="1"/>
  <c r="P3960" i="1"/>
  <c r="T3959" i="1"/>
  <c r="S3959" i="1"/>
  <c r="R3959" i="1"/>
  <c r="Q3959" i="1"/>
  <c r="P3959" i="1"/>
  <c r="T3958" i="1"/>
  <c r="S3958" i="1"/>
  <c r="R3958" i="1"/>
  <c r="Q3958" i="1"/>
  <c r="P3958" i="1"/>
  <c r="T3957" i="1"/>
  <c r="S3957" i="1"/>
  <c r="R3957" i="1"/>
  <c r="Q3957" i="1"/>
  <c r="P3957" i="1"/>
  <c r="T3956" i="1"/>
  <c r="S3956" i="1"/>
  <c r="R3956" i="1"/>
  <c r="Q3956" i="1"/>
  <c r="P3956" i="1"/>
  <c r="T3955" i="1"/>
  <c r="S3955" i="1"/>
  <c r="R3955" i="1"/>
  <c r="Q3955" i="1"/>
  <c r="P3955" i="1"/>
  <c r="T3954" i="1"/>
  <c r="S3954" i="1"/>
  <c r="R3954" i="1"/>
  <c r="Q3954" i="1"/>
  <c r="P3954" i="1"/>
  <c r="T3953" i="1"/>
  <c r="S3953" i="1"/>
  <c r="R3953" i="1"/>
  <c r="Q3953" i="1"/>
  <c r="P3953" i="1"/>
  <c r="T3952" i="1"/>
  <c r="S3952" i="1"/>
  <c r="R3952" i="1"/>
  <c r="Q3952" i="1"/>
  <c r="P3952" i="1"/>
  <c r="T3951" i="1"/>
  <c r="S3951" i="1"/>
  <c r="R3951" i="1"/>
  <c r="Q3951" i="1"/>
  <c r="P3951" i="1"/>
  <c r="T3950" i="1"/>
  <c r="S3950" i="1"/>
  <c r="R3950" i="1"/>
  <c r="Q3950" i="1"/>
  <c r="P3950" i="1"/>
  <c r="T3949" i="1"/>
  <c r="S3949" i="1"/>
  <c r="R3949" i="1"/>
  <c r="Q3949" i="1"/>
  <c r="P3949" i="1"/>
  <c r="T3948" i="1"/>
  <c r="S3948" i="1"/>
  <c r="R3948" i="1"/>
  <c r="Q3948" i="1"/>
  <c r="P3948" i="1"/>
  <c r="T3947" i="1"/>
  <c r="S3947" i="1"/>
  <c r="R3947" i="1"/>
  <c r="Q3947" i="1"/>
  <c r="P3947" i="1"/>
  <c r="T3946" i="1"/>
  <c r="S3946" i="1"/>
  <c r="R3946" i="1"/>
  <c r="Q3946" i="1"/>
  <c r="P3946" i="1"/>
  <c r="T3945" i="1"/>
  <c r="S3945" i="1"/>
  <c r="R3945" i="1"/>
  <c r="Q3945" i="1"/>
  <c r="P3945" i="1"/>
  <c r="T3944" i="1"/>
  <c r="S3944" i="1"/>
  <c r="R3944" i="1"/>
  <c r="Q3944" i="1"/>
  <c r="P3944" i="1"/>
  <c r="T3943" i="1"/>
  <c r="S3943" i="1"/>
  <c r="R3943" i="1"/>
  <c r="Q3943" i="1"/>
  <c r="P3943" i="1"/>
  <c r="T3942" i="1"/>
  <c r="S3942" i="1"/>
  <c r="R3942" i="1"/>
  <c r="Q3942" i="1"/>
  <c r="P3942" i="1"/>
  <c r="T3941" i="1"/>
  <c r="S3941" i="1"/>
  <c r="R3941" i="1"/>
  <c r="Q3941" i="1"/>
  <c r="P3941" i="1"/>
  <c r="T3940" i="1"/>
  <c r="S3940" i="1"/>
  <c r="R3940" i="1"/>
  <c r="Q3940" i="1"/>
  <c r="P3940" i="1"/>
  <c r="T3939" i="1"/>
  <c r="S3939" i="1"/>
  <c r="R3939" i="1"/>
  <c r="Q3939" i="1"/>
  <c r="P3939" i="1"/>
  <c r="T3938" i="1"/>
  <c r="S3938" i="1"/>
  <c r="R3938" i="1"/>
  <c r="Q3938" i="1"/>
  <c r="P3938" i="1"/>
  <c r="T3937" i="1"/>
  <c r="S3937" i="1"/>
  <c r="R3937" i="1"/>
  <c r="Q3937" i="1"/>
  <c r="P3937" i="1"/>
  <c r="T3936" i="1"/>
  <c r="S3936" i="1"/>
  <c r="R3936" i="1"/>
  <c r="Q3936" i="1"/>
  <c r="P3936" i="1"/>
  <c r="T3935" i="1"/>
  <c r="S3935" i="1"/>
  <c r="R3935" i="1"/>
  <c r="Q3935" i="1"/>
  <c r="P3935" i="1"/>
  <c r="T3934" i="1"/>
  <c r="S3934" i="1"/>
  <c r="R3934" i="1"/>
  <c r="Q3934" i="1"/>
  <c r="P3934" i="1"/>
  <c r="T3933" i="1"/>
  <c r="S3933" i="1"/>
  <c r="R3933" i="1"/>
  <c r="Q3933" i="1"/>
  <c r="P3933" i="1"/>
  <c r="T3932" i="1"/>
  <c r="S3932" i="1"/>
  <c r="R3932" i="1"/>
  <c r="Q3932" i="1"/>
  <c r="P3932" i="1"/>
  <c r="T3931" i="1"/>
  <c r="S3931" i="1"/>
  <c r="R3931" i="1"/>
  <c r="Q3931" i="1"/>
  <c r="P3931" i="1"/>
  <c r="T3930" i="1"/>
  <c r="S3930" i="1"/>
  <c r="R3930" i="1"/>
  <c r="Q3930" i="1"/>
  <c r="P3930" i="1"/>
  <c r="T3929" i="1"/>
  <c r="S3929" i="1"/>
  <c r="R3929" i="1"/>
  <c r="Q3929" i="1"/>
  <c r="P3929" i="1"/>
  <c r="T3928" i="1"/>
  <c r="S3928" i="1"/>
  <c r="R3928" i="1"/>
  <c r="Q3928" i="1"/>
  <c r="P3928" i="1"/>
  <c r="T3927" i="1"/>
  <c r="S3927" i="1"/>
  <c r="R3927" i="1"/>
  <c r="Q3927" i="1"/>
  <c r="P3927" i="1"/>
  <c r="T3926" i="1"/>
  <c r="S3926" i="1"/>
  <c r="R3926" i="1"/>
  <c r="Q3926" i="1"/>
  <c r="P3926" i="1"/>
  <c r="T3925" i="1"/>
  <c r="S3925" i="1"/>
  <c r="R3925" i="1"/>
  <c r="Q3925" i="1"/>
  <c r="P3925" i="1"/>
  <c r="T3924" i="1"/>
  <c r="S3924" i="1"/>
  <c r="R3924" i="1"/>
  <c r="Q3924" i="1"/>
  <c r="P3924" i="1"/>
  <c r="T3923" i="1"/>
  <c r="S3923" i="1"/>
  <c r="R3923" i="1"/>
  <c r="Q3923" i="1"/>
  <c r="P3923" i="1"/>
  <c r="T3922" i="1"/>
  <c r="S3922" i="1"/>
  <c r="R3922" i="1"/>
  <c r="Q3922" i="1"/>
  <c r="P3922" i="1"/>
  <c r="T3921" i="1"/>
  <c r="S3921" i="1"/>
  <c r="R3921" i="1"/>
  <c r="Q3921" i="1"/>
  <c r="P3921" i="1"/>
  <c r="T3920" i="1"/>
  <c r="S3920" i="1"/>
  <c r="R3920" i="1"/>
  <c r="Q3920" i="1"/>
  <c r="P3920" i="1"/>
  <c r="T3919" i="1"/>
  <c r="S3919" i="1"/>
  <c r="R3919" i="1"/>
  <c r="Q3919" i="1"/>
  <c r="P3919" i="1"/>
  <c r="T3918" i="1"/>
  <c r="S3918" i="1"/>
  <c r="R3918" i="1"/>
  <c r="Q3918" i="1"/>
  <c r="P3918" i="1"/>
  <c r="T3917" i="1"/>
  <c r="S3917" i="1"/>
  <c r="R3917" i="1"/>
  <c r="Q3917" i="1"/>
  <c r="P3917" i="1"/>
  <c r="T3916" i="1"/>
  <c r="S3916" i="1"/>
  <c r="R3916" i="1"/>
  <c r="Q3916" i="1"/>
  <c r="P3916" i="1"/>
  <c r="T3915" i="1"/>
  <c r="S3915" i="1"/>
  <c r="R3915" i="1"/>
  <c r="Q3915" i="1"/>
  <c r="P3915" i="1"/>
  <c r="T3914" i="1"/>
  <c r="S3914" i="1"/>
  <c r="R3914" i="1"/>
  <c r="Q3914" i="1"/>
  <c r="P3914" i="1"/>
  <c r="T3913" i="1"/>
  <c r="S3913" i="1"/>
  <c r="R3913" i="1"/>
  <c r="Q3913" i="1"/>
  <c r="P3913" i="1"/>
  <c r="T3912" i="1"/>
  <c r="S3912" i="1"/>
  <c r="R3912" i="1"/>
  <c r="Q3912" i="1"/>
  <c r="P3912" i="1"/>
  <c r="T3911" i="1"/>
  <c r="S3911" i="1"/>
  <c r="R3911" i="1"/>
  <c r="Q3911" i="1"/>
  <c r="P3911" i="1"/>
  <c r="T3910" i="1"/>
  <c r="S3910" i="1"/>
  <c r="R3910" i="1"/>
  <c r="Q3910" i="1"/>
  <c r="P3910" i="1"/>
  <c r="T3909" i="1"/>
  <c r="S3909" i="1"/>
  <c r="R3909" i="1"/>
  <c r="Q3909" i="1"/>
  <c r="P3909" i="1"/>
  <c r="T3908" i="1"/>
  <c r="S3908" i="1"/>
  <c r="R3908" i="1"/>
  <c r="Q3908" i="1"/>
  <c r="P3908" i="1"/>
  <c r="T3907" i="1"/>
  <c r="S3907" i="1"/>
  <c r="R3907" i="1"/>
  <c r="Q3907" i="1"/>
  <c r="P3907" i="1"/>
  <c r="T3906" i="1"/>
  <c r="S3906" i="1"/>
  <c r="R3906" i="1"/>
  <c r="Q3906" i="1"/>
  <c r="P3906" i="1"/>
  <c r="T3905" i="1"/>
  <c r="S3905" i="1"/>
  <c r="R3905" i="1"/>
  <c r="Q3905" i="1"/>
  <c r="P3905" i="1"/>
  <c r="T3904" i="1"/>
  <c r="S3904" i="1"/>
  <c r="R3904" i="1"/>
  <c r="Q3904" i="1"/>
  <c r="P3904" i="1"/>
  <c r="T3903" i="1"/>
  <c r="S3903" i="1"/>
  <c r="R3903" i="1"/>
  <c r="Q3903" i="1"/>
  <c r="P3903" i="1"/>
  <c r="T3902" i="1"/>
  <c r="S3902" i="1"/>
  <c r="R3902" i="1"/>
  <c r="Q3902" i="1"/>
  <c r="P3902" i="1"/>
  <c r="T3901" i="1"/>
  <c r="S3901" i="1"/>
  <c r="R3901" i="1"/>
  <c r="Q3901" i="1"/>
  <c r="P3901" i="1"/>
  <c r="T3900" i="1"/>
  <c r="S3900" i="1"/>
  <c r="R3900" i="1"/>
  <c r="Q3900" i="1"/>
  <c r="P3900" i="1"/>
  <c r="T3899" i="1"/>
  <c r="S3899" i="1"/>
  <c r="R3899" i="1"/>
  <c r="Q3899" i="1"/>
  <c r="P3899" i="1"/>
  <c r="T3898" i="1"/>
  <c r="S3898" i="1"/>
  <c r="R3898" i="1"/>
  <c r="Q3898" i="1"/>
  <c r="P3898" i="1"/>
  <c r="T3897" i="1"/>
  <c r="S3897" i="1"/>
  <c r="R3897" i="1"/>
  <c r="Q3897" i="1"/>
  <c r="P3897" i="1"/>
  <c r="T3896" i="1"/>
  <c r="S3896" i="1"/>
  <c r="R3896" i="1"/>
  <c r="Q3896" i="1"/>
  <c r="P3896" i="1"/>
  <c r="T3895" i="1"/>
  <c r="S3895" i="1"/>
  <c r="R3895" i="1"/>
  <c r="Q3895" i="1"/>
  <c r="P3895" i="1"/>
  <c r="T3894" i="1"/>
  <c r="S3894" i="1"/>
  <c r="R3894" i="1"/>
  <c r="Q3894" i="1"/>
  <c r="P3894" i="1"/>
  <c r="T3893" i="1"/>
  <c r="S3893" i="1"/>
  <c r="R3893" i="1"/>
  <c r="Q3893" i="1"/>
  <c r="P3893" i="1"/>
  <c r="T3892" i="1"/>
  <c r="S3892" i="1"/>
  <c r="R3892" i="1"/>
  <c r="Q3892" i="1"/>
  <c r="P3892" i="1"/>
  <c r="T3891" i="1"/>
  <c r="S3891" i="1"/>
  <c r="R3891" i="1"/>
  <c r="Q3891" i="1"/>
  <c r="P3891" i="1"/>
  <c r="T3890" i="1"/>
  <c r="S3890" i="1"/>
  <c r="R3890" i="1"/>
  <c r="Q3890" i="1"/>
  <c r="P3890" i="1"/>
  <c r="T3889" i="1"/>
  <c r="S3889" i="1"/>
  <c r="R3889" i="1"/>
  <c r="Q3889" i="1"/>
  <c r="P3889" i="1"/>
  <c r="T3888" i="1"/>
  <c r="S3888" i="1"/>
  <c r="R3888" i="1"/>
  <c r="Q3888" i="1"/>
  <c r="P3888" i="1"/>
  <c r="T3887" i="1"/>
  <c r="S3887" i="1"/>
  <c r="R3887" i="1"/>
  <c r="Q3887" i="1"/>
  <c r="P3887" i="1"/>
  <c r="T3886" i="1"/>
  <c r="S3886" i="1"/>
  <c r="R3886" i="1"/>
  <c r="Q3886" i="1"/>
  <c r="P3886" i="1"/>
  <c r="T3885" i="1"/>
  <c r="S3885" i="1"/>
  <c r="R3885" i="1"/>
  <c r="Q3885" i="1"/>
  <c r="P3885" i="1"/>
  <c r="T3884" i="1"/>
  <c r="S3884" i="1"/>
  <c r="R3884" i="1"/>
  <c r="Q3884" i="1"/>
  <c r="P3884" i="1"/>
  <c r="T3883" i="1"/>
  <c r="S3883" i="1"/>
  <c r="R3883" i="1"/>
  <c r="Q3883" i="1"/>
  <c r="P3883" i="1"/>
  <c r="T3882" i="1"/>
  <c r="S3882" i="1"/>
  <c r="R3882" i="1"/>
  <c r="Q3882" i="1"/>
  <c r="P3882" i="1"/>
  <c r="T3881" i="1"/>
  <c r="S3881" i="1"/>
  <c r="R3881" i="1"/>
  <c r="Q3881" i="1"/>
  <c r="P3881" i="1"/>
  <c r="T3880" i="1"/>
  <c r="S3880" i="1"/>
  <c r="R3880" i="1"/>
  <c r="Q3880" i="1"/>
  <c r="P3880" i="1"/>
  <c r="T3879" i="1"/>
  <c r="S3879" i="1"/>
  <c r="R3879" i="1"/>
  <c r="Q3879" i="1"/>
  <c r="P3879" i="1"/>
  <c r="T3878" i="1"/>
  <c r="S3878" i="1"/>
  <c r="R3878" i="1"/>
  <c r="Q3878" i="1"/>
  <c r="P3878" i="1"/>
  <c r="T3877" i="1"/>
  <c r="S3877" i="1"/>
  <c r="R3877" i="1"/>
  <c r="Q3877" i="1"/>
  <c r="P3877" i="1"/>
  <c r="T3876" i="1"/>
  <c r="S3876" i="1"/>
  <c r="R3876" i="1"/>
  <c r="Q3876" i="1"/>
  <c r="P3876" i="1"/>
  <c r="T3875" i="1"/>
  <c r="S3875" i="1"/>
  <c r="R3875" i="1"/>
  <c r="Q3875" i="1"/>
  <c r="P3875" i="1"/>
  <c r="T3874" i="1"/>
  <c r="S3874" i="1"/>
  <c r="R3874" i="1"/>
  <c r="Q3874" i="1"/>
  <c r="P3874" i="1"/>
  <c r="T3873" i="1"/>
  <c r="S3873" i="1"/>
  <c r="R3873" i="1"/>
  <c r="Q3873" i="1"/>
  <c r="P3873" i="1"/>
  <c r="T3872" i="1"/>
  <c r="S3872" i="1"/>
  <c r="R3872" i="1"/>
  <c r="Q3872" i="1"/>
  <c r="P3872" i="1"/>
  <c r="T3871" i="1"/>
  <c r="S3871" i="1"/>
  <c r="R3871" i="1"/>
  <c r="Q3871" i="1"/>
  <c r="P3871" i="1"/>
  <c r="T3870" i="1"/>
  <c r="S3870" i="1"/>
  <c r="R3870" i="1"/>
  <c r="Q3870" i="1"/>
  <c r="P3870" i="1"/>
  <c r="T3869" i="1"/>
  <c r="S3869" i="1"/>
  <c r="R3869" i="1"/>
  <c r="Q3869" i="1"/>
  <c r="P3869" i="1"/>
  <c r="T3868" i="1"/>
  <c r="S3868" i="1"/>
  <c r="R3868" i="1"/>
  <c r="Q3868" i="1"/>
  <c r="P3868" i="1"/>
  <c r="T3867" i="1"/>
  <c r="S3867" i="1"/>
  <c r="R3867" i="1"/>
  <c r="Q3867" i="1"/>
  <c r="P3867" i="1"/>
  <c r="T3866" i="1"/>
  <c r="S3866" i="1"/>
  <c r="R3866" i="1"/>
  <c r="Q3866" i="1"/>
  <c r="P3866" i="1"/>
  <c r="T3865" i="1"/>
  <c r="S3865" i="1"/>
  <c r="R3865" i="1"/>
  <c r="Q3865" i="1"/>
  <c r="P3865" i="1"/>
  <c r="T3864" i="1"/>
  <c r="S3864" i="1"/>
  <c r="R3864" i="1"/>
  <c r="Q3864" i="1"/>
  <c r="P3864" i="1"/>
  <c r="T3863" i="1"/>
  <c r="S3863" i="1"/>
  <c r="R3863" i="1"/>
  <c r="Q3863" i="1"/>
  <c r="P3863" i="1"/>
  <c r="T3862" i="1"/>
  <c r="S3862" i="1"/>
  <c r="R3862" i="1"/>
  <c r="Q3862" i="1"/>
  <c r="P3862" i="1"/>
  <c r="T3861" i="1"/>
  <c r="S3861" i="1"/>
  <c r="R3861" i="1"/>
  <c r="Q3861" i="1"/>
  <c r="P3861" i="1"/>
  <c r="T3860" i="1"/>
  <c r="S3860" i="1"/>
  <c r="R3860" i="1"/>
  <c r="Q3860" i="1"/>
  <c r="P3860" i="1"/>
  <c r="T3859" i="1"/>
  <c r="S3859" i="1"/>
  <c r="R3859" i="1"/>
  <c r="Q3859" i="1"/>
  <c r="P3859" i="1"/>
  <c r="T3858" i="1"/>
  <c r="S3858" i="1"/>
  <c r="R3858" i="1"/>
  <c r="Q3858" i="1"/>
  <c r="P3858" i="1"/>
  <c r="T3857" i="1"/>
  <c r="S3857" i="1"/>
  <c r="R3857" i="1"/>
  <c r="Q3857" i="1"/>
  <c r="P3857" i="1"/>
  <c r="T3856" i="1"/>
  <c r="S3856" i="1"/>
  <c r="R3856" i="1"/>
  <c r="Q3856" i="1"/>
  <c r="P3856" i="1"/>
  <c r="T3855" i="1"/>
  <c r="S3855" i="1"/>
  <c r="R3855" i="1"/>
  <c r="Q3855" i="1"/>
  <c r="P3855" i="1"/>
  <c r="T3854" i="1"/>
  <c r="S3854" i="1"/>
  <c r="R3854" i="1"/>
  <c r="Q3854" i="1"/>
  <c r="P3854" i="1"/>
  <c r="T3853" i="1"/>
  <c r="S3853" i="1"/>
  <c r="R3853" i="1"/>
  <c r="Q3853" i="1"/>
  <c r="P3853" i="1"/>
  <c r="T3852" i="1"/>
  <c r="S3852" i="1"/>
  <c r="R3852" i="1"/>
  <c r="Q3852" i="1"/>
  <c r="P3852" i="1"/>
  <c r="T3851" i="1"/>
  <c r="S3851" i="1"/>
  <c r="R3851" i="1"/>
  <c r="Q3851" i="1"/>
  <c r="P3851" i="1"/>
  <c r="T3850" i="1"/>
  <c r="S3850" i="1"/>
  <c r="R3850" i="1"/>
  <c r="Q3850" i="1"/>
  <c r="P3850" i="1"/>
  <c r="T3849" i="1"/>
  <c r="S3849" i="1"/>
  <c r="R3849" i="1"/>
  <c r="Q3849" i="1"/>
  <c r="P3849" i="1"/>
  <c r="T3848" i="1"/>
  <c r="S3848" i="1"/>
  <c r="R3848" i="1"/>
  <c r="Q3848" i="1"/>
  <c r="P3848" i="1"/>
  <c r="T3847" i="1"/>
  <c r="S3847" i="1"/>
  <c r="R3847" i="1"/>
  <c r="Q3847" i="1"/>
  <c r="P3847" i="1"/>
  <c r="T3846" i="1"/>
  <c r="S3846" i="1"/>
  <c r="R3846" i="1"/>
  <c r="Q3846" i="1"/>
  <c r="P3846" i="1"/>
  <c r="T3845" i="1"/>
  <c r="S3845" i="1"/>
  <c r="R3845" i="1"/>
  <c r="Q3845" i="1"/>
  <c r="P3845" i="1"/>
  <c r="T3844" i="1"/>
  <c r="S3844" i="1"/>
  <c r="R3844" i="1"/>
  <c r="Q3844" i="1"/>
  <c r="P3844" i="1"/>
  <c r="T3843" i="1"/>
  <c r="S3843" i="1"/>
  <c r="R3843" i="1"/>
  <c r="Q3843" i="1"/>
  <c r="P3843" i="1"/>
  <c r="T3842" i="1"/>
  <c r="S3842" i="1"/>
  <c r="R3842" i="1"/>
  <c r="Q3842" i="1"/>
  <c r="P3842" i="1"/>
  <c r="T3841" i="1"/>
  <c r="S3841" i="1"/>
  <c r="R3841" i="1"/>
  <c r="Q3841" i="1"/>
  <c r="P3841" i="1"/>
  <c r="T3840" i="1"/>
  <c r="S3840" i="1"/>
  <c r="R3840" i="1"/>
  <c r="Q3840" i="1"/>
  <c r="P3840" i="1"/>
  <c r="T3839" i="1"/>
  <c r="S3839" i="1"/>
  <c r="R3839" i="1"/>
  <c r="Q3839" i="1"/>
  <c r="P3839" i="1"/>
  <c r="T3838" i="1"/>
  <c r="S3838" i="1"/>
  <c r="R3838" i="1"/>
  <c r="Q3838" i="1"/>
  <c r="P3838" i="1"/>
  <c r="T3837" i="1"/>
  <c r="S3837" i="1"/>
  <c r="R3837" i="1"/>
  <c r="Q3837" i="1"/>
  <c r="P3837" i="1"/>
  <c r="T3836" i="1"/>
  <c r="S3836" i="1"/>
  <c r="R3836" i="1"/>
  <c r="Q3836" i="1"/>
  <c r="P3836" i="1"/>
  <c r="T3835" i="1"/>
  <c r="S3835" i="1"/>
  <c r="R3835" i="1"/>
  <c r="Q3835" i="1"/>
  <c r="P3835" i="1"/>
  <c r="T3834" i="1"/>
  <c r="S3834" i="1"/>
  <c r="R3834" i="1"/>
  <c r="Q3834" i="1"/>
  <c r="P3834" i="1"/>
  <c r="T3833" i="1"/>
  <c r="S3833" i="1"/>
  <c r="R3833" i="1"/>
  <c r="Q3833" i="1"/>
  <c r="P3833" i="1"/>
  <c r="T3832" i="1"/>
  <c r="S3832" i="1"/>
  <c r="R3832" i="1"/>
  <c r="Q3832" i="1"/>
  <c r="P3832" i="1"/>
  <c r="T3831" i="1"/>
  <c r="S3831" i="1"/>
  <c r="R3831" i="1"/>
  <c r="Q3831" i="1"/>
  <c r="P3831" i="1"/>
  <c r="T3830" i="1"/>
  <c r="S3830" i="1"/>
  <c r="R3830" i="1"/>
  <c r="Q3830" i="1"/>
  <c r="P3830" i="1"/>
  <c r="T3829" i="1"/>
  <c r="S3829" i="1"/>
  <c r="R3829" i="1"/>
  <c r="Q3829" i="1"/>
  <c r="P3829" i="1"/>
  <c r="T3828" i="1"/>
  <c r="S3828" i="1"/>
  <c r="R3828" i="1"/>
  <c r="Q3828" i="1"/>
  <c r="P3828" i="1"/>
  <c r="T3827" i="1"/>
  <c r="S3827" i="1"/>
  <c r="R3827" i="1"/>
  <c r="Q3827" i="1"/>
  <c r="P3827" i="1"/>
  <c r="T3826" i="1"/>
  <c r="S3826" i="1"/>
  <c r="R3826" i="1"/>
  <c r="Q3826" i="1"/>
  <c r="P3826" i="1"/>
  <c r="T3825" i="1"/>
  <c r="S3825" i="1"/>
  <c r="R3825" i="1"/>
  <c r="Q3825" i="1"/>
  <c r="P3825" i="1"/>
  <c r="T3824" i="1"/>
  <c r="S3824" i="1"/>
  <c r="R3824" i="1"/>
  <c r="Q3824" i="1"/>
  <c r="P3824" i="1"/>
  <c r="T3823" i="1"/>
  <c r="S3823" i="1"/>
  <c r="R3823" i="1"/>
  <c r="Q3823" i="1"/>
  <c r="P3823" i="1"/>
  <c r="T3822" i="1"/>
  <c r="S3822" i="1"/>
  <c r="R3822" i="1"/>
  <c r="Q3822" i="1"/>
  <c r="P3822" i="1"/>
  <c r="T3821" i="1"/>
  <c r="S3821" i="1"/>
  <c r="R3821" i="1"/>
  <c r="Q3821" i="1"/>
  <c r="P3821" i="1"/>
  <c r="T3820" i="1"/>
  <c r="S3820" i="1"/>
  <c r="R3820" i="1"/>
  <c r="Q3820" i="1"/>
  <c r="P3820" i="1"/>
  <c r="T3819" i="1"/>
  <c r="S3819" i="1"/>
  <c r="R3819" i="1"/>
  <c r="Q3819" i="1"/>
  <c r="P3819" i="1"/>
  <c r="T3818" i="1"/>
  <c r="S3818" i="1"/>
  <c r="R3818" i="1"/>
  <c r="Q3818" i="1"/>
  <c r="P3818" i="1"/>
  <c r="T3817" i="1"/>
  <c r="S3817" i="1"/>
  <c r="R3817" i="1"/>
  <c r="Q3817" i="1"/>
  <c r="P3817" i="1"/>
  <c r="T3816" i="1"/>
  <c r="S3816" i="1"/>
  <c r="R3816" i="1"/>
  <c r="Q3816" i="1"/>
  <c r="P3816" i="1"/>
  <c r="T3815" i="1"/>
  <c r="S3815" i="1"/>
  <c r="R3815" i="1"/>
  <c r="Q3815" i="1"/>
  <c r="P3815" i="1"/>
  <c r="T3814" i="1"/>
  <c r="S3814" i="1"/>
  <c r="R3814" i="1"/>
  <c r="Q3814" i="1"/>
  <c r="P3814" i="1"/>
  <c r="T3813" i="1"/>
  <c r="S3813" i="1"/>
  <c r="R3813" i="1"/>
  <c r="Q3813" i="1"/>
  <c r="P3813" i="1"/>
  <c r="T3812" i="1"/>
  <c r="S3812" i="1"/>
  <c r="R3812" i="1"/>
  <c r="Q3812" i="1"/>
  <c r="P3812" i="1"/>
  <c r="T3811" i="1"/>
  <c r="S3811" i="1"/>
  <c r="R3811" i="1"/>
  <c r="Q3811" i="1"/>
  <c r="P3811" i="1"/>
  <c r="T3810" i="1"/>
  <c r="S3810" i="1"/>
  <c r="R3810" i="1"/>
  <c r="Q3810" i="1"/>
  <c r="P3810" i="1"/>
  <c r="T3809" i="1"/>
  <c r="S3809" i="1"/>
  <c r="R3809" i="1"/>
  <c r="Q3809" i="1"/>
  <c r="P3809" i="1"/>
  <c r="T3808" i="1"/>
  <c r="S3808" i="1"/>
  <c r="R3808" i="1"/>
  <c r="Q3808" i="1"/>
  <c r="P3808" i="1"/>
  <c r="T3807" i="1"/>
  <c r="S3807" i="1"/>
  <c r="R3807" i="1"/>
  <c r="Q3807" i="1"/>
  <c r="P3807" i="1"/>
  <c r="T3806" i="1"/>
  <c r="S3806" i="1"/>
  <c r="R3806" i="1"/>
  <c r="Q3806" i="1"/>
  <c r="P3806" i="1"/>
  <c r="T3805" i="1"/>
  <c r="S3805" i="1"/>
  <c r="R3805" i="1"/>
  <c r="Q3805" i="1"/>
  <c r="P3805" i="1"/>
  <c r="T3804" i="1"/>
  <c r="S3804" i="1"/>
  <c r="R3804" i="1"/>
  <c r="Q3804" i="1"/>
  <c r="P3804" i="1"/>
  <c r="T3803" i="1"/>
  <c r="S3803" i="1"/>
  <c r="R3803" i="1"/>
  <c r="Q3803" i="1"/>
  <c r="P3803" i="1"/>
  <c r="T3802" i="1"/>
  <c r="S3802" i="1"/>
  <c r="R3802" i="1"/>
  <c r="Q3802" i="1"/>
  <c r="P3802" i="1"/>
  <c r="T3801" i="1"/>
  <c r="S3801" i="1"/>
  <c r="R3801" i="1"/>
  <c r="Q3801" i="1"/>
  <c r="P3801" i="1"/>
  <c r="T3800" i="1"/>
  <c r="S3800" i="1"/>
  <c r="R3800" i="1"/>
  <c r="Q3800" i="1"/>
  <c r="P3800" i="1"/>
  <c r="T3799" i="1"/>
  <c r="S3799" i="1"/>
  <c r="R3799" i="1"/>
  <c r="Q3799" i="1"/>
  <c r="P3799" i="1"/>
  <c r="T3798" i="1"/>
  <c r="S3798" i="1"/>
  <c r="R3798" i="1"/>
  <c r="Q3798" i="1"/>
  <c r="P3798" i="1"/>
  <c r="T3797" i="1"/>
  <c r="S3797" i="1"/>
  <c r="R3797" i="1"/>
  <c r="Q3797" i="1"/>
  <c r="P3797" i="1"/>
  <c r="T3796" i="1"/>
  <c r="S3796" i="1"/>
  <c r="R3796" i="1"/>
  <c r="Q3796" i="1"/>
  <c r="P3796" i="1"/>
  <c r="T3795" i="1"/>
  <c r="S3795" i="1"/>
  <c r="R3795" i="1"/>
  <c r="Q3795" i="1"/>
  <c r="P3795" i="1"/>
  <c r="T3794" i="1"/>
  <c r="S3794" i="1"/>
  <c r="R3794" i="1"/>
  <c r="Q3794" i="1"/>
  <c r="P3794" i="1"/>
  <c r="T3793" i="1"/>
  <c r="S3793" i="1"/>
  <c r="R3793" i="1"/>
  <c r="Q3793" i="1"/>
  <c r="P3793" i="1"/>
  <c r="T3792" i="1"/>
  <c r="S3792" i="1"/>
  <c r="R3792" i="1"/>
  <c r="Q3792" i="1"/>
  <c r="P3792" i="1"/>
  <c r="T3791" i="1"/>
  <c r="S3791" i="1"/>
  <c r="R3791" i="1"/>
  <c r="Q3791" i="1"/>
  <c r="P3791" i="1"/>
  <c r="T3790" i="1"/>
  <c r="S3790" i="1"/>
  <c r="R3790" i="1"/>
  <c r="Q3790" i="1"/>
  <c r="P3790" i="1"/>
  <c r="T3789" i="1"/>
  <c r="S3789" i="1"/>
  <c r="R3789" i="1"/>
  <c r="Q3789" i="1"/>
  <c r="P3789" i="1"/>
  <c r="T3788" i="1"/>
  <c r="S3788" i="1"/>
  <c r="R3788" i="1"/>
  <c r="Q3788" i="1"/>
  <c r="P3788" i="1"/>
  <c r="T3787" i="1"/>
  <c r="S3787" i="1"/>
  <c r="R3787" i="1"/>
  <c r="Q3787" i="1"/>
  <c r="P3787" i="1"/>
  <c r="T3786" i="1"/>
  <c r="S3786" i="1"/>
  <c r="R3786" i="1"/>
  <c r="Q3786" i="1"/>
  <c r="P3786" i="1"/>
  <c r="T3785" i="1"/>
  <c r="S3785" i="1"/>
  <c r="R3785" i="1"/>
  <c r="Q3785" i="1"/>
  <c r="P3785" i="1"/>
  <c r="T3784" i="1"/>
  <c r="S3784" i="1"/>
  <c r="R3784" i="1"/>
  <c r="Q3784" i="1"/>
  <c r="P3784" i="1"/>
  <c r="T3783" i="1"/>
  <c r="S3783" i="1"/>
  <c r="R3783" i="1"/>
  <c r="Q3783" i="1"/>
  <c r="P3783" i="1"/>
  <c r="T3782" i="1"/>
  <c r="S3782" i="1"/>
  <c r="R3782" i="1"/>
  <c r="Q3782" i="1"/>
  <c r="P3782" i="1"/>
  <c r="T3781" i="1"/>
  <c r="S3781" i="1"/>
  <c r="R3781" i="1"/>
  <c r="Q3781" i="1"/>
  <c r="P3781" i="1"/>
  <c r="T3780" i="1"/>
  <c r="S3780" i="1"/>
  <c r="R3780" i="1"/>
  <c r="Q3780" i="1"/>
  <c r="P3780" i="1"/>
  <c r="T3779" i="1"/>
  <c r="S3779" i="1"/>
  <c r="R3779" i="1"/>
  <c r="Q3779" i="1"/>
  <c r="P3779" i="1"/>
  <c r="T3778" i="1"/>
  <c r="S3778" i="1"/>
  <c r="R3778" i="1"/>
  <c r="Q3778" i="1"/>
  <c r="P3778" i="1"/>
  <c r="T3777" i="1"/>
  <c r="S3777" i="1"/>
  <c r="R3777" i="1"/>
  <c r="Q3777" i="1"/>
  <c r="P3777" i="1"/>
  <c r="T3776" i="1"/>
  <c r="S3776" i="1"/>
  <c r="R3776" i="1"/>
  <c r="Q3776" i="1"/>
  <c r="P3776" i="1"/>
  <c r="T3775" i="1"/>
  <c r="S3775" i="1"/>
  <c r="R3775" i="1"/>
  <c r="Q3775" i="1"/>
  <c r="P3775" i="1"/>
  <c r="T3774" i="1"/>
  <c r="S3774" i="1"/>
  <c r="R3774" i="1"/>
  <c r="Q3774" i="1"/>
  <c r="P3774" i="1"/>
  <c r="T3773" i="1"/>
  <c r="S3773" i="1"/>
  <c r="R3773" i="1"/>
  <c r="Q3773" i="1"/>
  <c r="P3773" i="1"/>
  <c r="T3772" i="1"/>
  <c r="S3772" i="1"/>
  <c r="R3772" i="1"/>
  <c r="Q3772" i="1"/>
  <c r="P3772" i="1"/>
  <c r="T3771" i="1"/>
  <c r="S3771" i="1"/>
  <c r="R3771" i="1"/>
  <c r="Q3771" i="1"/>
  <c r="P3771" i="1"/>
  <c r="T3770" i="1"/>
  <c r="S3770" i="1"/>
  <c r="R3770" i="1"/>
  <c r="Q3770" i="1"/>
  <c r="P3770" i="1"/>
  <c r="T3769" i="1"/>
  <c r="S3769" i="1"/>
  <c r="R3769" i="1"/>
  <c r="Q3769" i="1"/>
  <c r="P3769" i="1"/>
  <c r="T3768" i="1"/>
  <c r="S3768" i="1"/>
  <c r="R3768" i="1"/>
  <c r="Q3768" i="1"/>
  <c r="P3768" i="1"/>
  <c r="T3767" i="1"/>
  <c r="S3767" i="1"/>
  <c r="R3767" i="1"/>
  <c r="Q3767" i="1"/>
  <c r="P3767" i="1"/>
  <c r="T3766" i="1"/>
  <c r="S3766" i="1"/>
  <c r="R3766" i="1"/>
  <c r="Q3766" i="1"/>
  <c r="P3766" i="1"/>
  <c r="T3765" i="1"/>
  <c r="S3765" i="1"/>
  <c r="R3765" i="1"/>
  <c r="Q3765" i="1"/>
  <c r="P3765" i="1"/>
  <c r="T3764" i="1"/>
  <c r="S3764" i="1"/>
  <c r="R3764" i="1"/>
  <c r="Q3764" i="1"/>
  <c r="P3764" i="1"/>
  <c r="T3763" i="1"/>
  <c r="S3763" i="1"/>
  <c r="R3763" i="1"/>
  <c r="Q3763" i="1"/>
  <c r="P3763" i="1"/>
  <c r="T3762" i="1"/>
  <c r="S3762" i="1"/>
  <c r="R3762" i="1"/>
  <c r="Q3762" i="1"/>
  <c r="P3762" i="1"/>
  <c r="T3761" i="1"/>
  <c r="S3761" i="1"/>
  <c r="R3761" i="1"/>
  <c r="Q3761" i="1"/>
  <c r="P3761" i="1"/>
  <c r="T3760" i="1"/>
  <c r="S3760" i="1"/>
  <c r="R3760" i="1"/>
  <c r="Q3760" i="1"/>
  <c r="P3760" i="1"/>
  <c r="T3759" i="1"/>
  <c r="S3759" i="1"/>
  <c r="R3759" i="1"/>
  <c r="Q3759" i="1"/>
  <c r="P3759" i="1"/>
  <c r="T3758" i="1"/>
  <c r="S3758" i="1"/>
  <c r="R3758" i="1"/>
  <c r="Q3758" i="1"/>
  <c r="P3758" i="1"/>
  <c r="T3757" i="1"/>
  <c r="S3757" i="1"/>
  <c r="R3757" i="1"/>
  <c r="Q3757" i="1"/>
  <c r="P3757" i="1"/>
  <c r="T3756" i="1"/>
  <c r="S3756" i="1"/>
  <c r="R3756" i="1"/>
  <c r="Q3756" i="1"/>
  <c r="P3756" i="1"/>
  <c r="T3755" i="1"/>
  <c r="S3755" i="1"/>
  <c r="R3755" i="1"/>
  <c r="Q3755" i="1"/>
  <c r="P3755" i="1"/>
  <c r="T3754" i="1"/>
  <c r="S3754" i="1"/>
  <c r="R3754" i="1"/>
  <c r="Q3754" i="1"/>
  <c r="P3754" i="1"/>
  <c r="T3753" i="1"/>
  <c r="S3753" i="1"/>
  <c r="R3753" i="1"/>
  <c r="Q3753" i="1"/>
  <c r="P3753" i="1"/>
  <c r="T3752" i="1"/>
  <c r="S3752" i="1"/>
  <c r="R3752" i="1"/>
  <c r="Q3752" i="1"/>
  <c r="P3752" i="1"/>
  <c r="T3751" i="1"/>
  <c r="S3751" i="1"/>
  <c r="R3751" i="1"/>
  <c r="Q3751" i="1"/>
  <c r="P3751" i="1"/>
  <c r="T3750" i="1"/>
  <c r="S3750" i="1"/>
  <c r="R3750" i="1"/>
  <c r="Q3750" i="1"/>
  <c r="P3750" i="1"/>
  <c r="T3749" i="1"/>
  <c r="S3749" i="1"/>
  <c r="R3749" i="1"/>
  <c r="Q3749" i="1"/>
  <c r="P3749" i="1"/>
  <c r="T3748" i="1"/>
  <c r="S3748" i="1"/>
  <c r="R3748" i="1"/>
  <c r="Q3748" i="1"/>
  <c r="P3748" i="1"/>
  <c r="T3747" i="1"/>
  <c r="S3747" i="1"/>
  <c r="R3747" i="1"/>
  <c r="Q3747" i="1"/>
  <c r="P3747" i="1"/>
  <c r="T3746" i="1"/>
  <c r="S3746" i="1"/>
  <c r="R3746" i="1"/>
  <c r="Q3746" i="1"/>
  <c r="P3746" i="1"/>
  <c r="T3745" i="1"/>
  <c r="S3745" i="1"/>
  <c r="R3745" i="1"/>
  <c r="Q3745" i="1"/>
  <c r="P3745" i="1"/>
  <c r="T3744" i="1"/>
  <c r="S3744" i="1"/>
  <c r="R3744" i="1"/>
  <c r="Q3744" i="1"/>
  <c r="P3744" i="1"/>
  <c r="T3743" i="1"/>
  <c r="S3743" i="1"/>
  <c r="R3743" i="1"/>
  <c r="Q3743" i="1"/>
  <c r="P3743" i="1"/>
  <c r="T3742" i="1"/>
  <c r="S3742" i="1"/>
  <c r="R3742" i="1"/>
  <c r="Q3742" i="1"/>
  <c r="P3742" i="1"/>
  <c r="T3741" i="1"/>
  <c r="S3741" i="1"/>
  <c r="R3741" i="1"/>
  <c r="Q3741" i="1"/>
  <c r="P3741" i="1"/>
  <c r="T3740" i="1"/>
  <c r="S3740" i="1"/>
  <c r="R3740" i="1"/>
  <c r="Q3740" i="1"/>
  <c r="P3740" i="1"/>
  <c r="T3739" i="1"/>
  <c r="S3739" i="1"/>
  <c r="R3739" i="1"/>
  <c r="Q3739" i="1"/>
  <c r="P3739" i="1"/>
  <c r="T3738" i="1"/>
  <c r="S3738" i="1"/>
  <c r="R3738" i="1"/>
  <c r="Q3738" i="1"/>
  <c r="P3738" i="1"/>
  <c r="T3737" i="1"/>
  <c r="S3737" i="1"/>
  <c r="R3737" i="1"/>
  <c r="Q3737" i="1"/>
  <c r="P3737" i="1"/>
  <c r="T3736" i="1"/>
  <c r="S3736" i="1"/>
  <c r="R3736" i="1"/>
  <c r="Q3736" i="1"/>
  <c r="P3736" i="1"/>
  <c r="T3735" i="1"/>
  <c r="S3735" i="1"/>
  <c r="R3735" i="1"/>
  <c r="Q3735" i="1"/>
  <c r="P3735" i="1"/>
  <c r="T3734" i="1"/>
  <c r="S3734" i="1"/>
  <c r="R3734" i="1"/>
  <c r="Q3734" i="1"/>
  <c r="P3734" i="1"/>
  <c r="T3733" i="1"/>
  <c r="S3733" i="1"/>
  <c r="R3733" i="1"/>
  <c r="Q3733" i="1"/>
  <c r="P3733" i="1"/>
  <c r="T3732" i="1"/>
  <c r="S3732" i="1"/>
  <c r="R3732" i="1"/>
  <c r="Q3732" i="1"/>
  <c r="P3732" i="1"/>
  <c r="T3731" i="1"/>
  <c r="S3731" i="1"/>
  <c r="R3731" i="1"/>
  <c r="Q3731" i="1"/>
  <c r="P3731" i="1"/>
  <c r="T3730" i="1"/>
  <c r="S3730" i="1"/>
  <c r="R3730" i="1"/>
  <c r="Q3730" i="1"/>
  <c r="P3730" i="1"/>
  <c r="T3729" i="1"/>
  <c r="S3729" i="1"/>
  <c r="R3729" i="1"/>
  <c r="Q3729" i="1"/>
  <c r="P3729" i="1"/>
  <c r="T3728" i="1"/>
  <c r="S3728" i="1"/>
  <c r="R3728" i="1"/>
  <c r="Q3728" i="1"/>
  <c r="P3728" i="1"/>
  <c r="T3727" i="1"/>
  <c r="S3727" i="1"/>
  <c r="R3727" i="1"/>
  <c r="Q3727" i="1"/>
  <c r="P3727" i="1"/>
  <c r="T3726" i="1"/>
  <c r="S3726" i="1"/>
  <c r="R3726" i="1"/>
  <c r="Q3726" i="1"/>
  <c r="P3726" i="1"/>
  <c r="T3725" i="1"/>
  <c r="S3725" i="1"/>
  <c r="R3725" i="1"/>
  <c r="Q3725" i="1"/>
  <c r="P3725" i="1"/>
  <c r="T3724" i="1"/>
  <c r="S3724" i="1"/>
  <c r="R3724" i="1"/>
  <c r="Q3724" i="1"/>
  <c r="P3724" i="1"/>
  <c r="T3723" i="1"/>
  <c r="S3723" i="1"/>
  <c r="R3723" i="1"/>
  <c r="Q3723" i="1"/>
  <c r="P3723" i="1"/>
  <c r="T3722" i="1"/>
  <c r="S3722" i="1"/>
  <c r="R3722" i="1"/>
  <c r="Q3722" i="1"/>
  <c r="P3722" i="1"/>
  <c r="T3721" i="1"/>
  <c r="S3721" i="1"/>
  <c r="R3721" i="1"/>
  <c r="Q3721" i="1"/>
  <c r="P3721" i="1"/>
  <c r="T3720" i="1"/>
  <c r="S3720" i="1"/>
  <c r="R3720" i="1"/>
  <c r="Q3720" i="1"/>
  <c r="P3720" i="1"/>
  <c r="T3719" i="1"/>
  <c r="S3719" i="1"/>
  <c r="R3719" i="1"/>
  <c r="Q3719" i="1"/>
  <c r="P3719" i="1"/>
  <c r="T3718" i="1"/>
  <c r="S3718" i="1"/>
  <c r="R3718" i="1"/>
  <c r="Q3718" i="1"/>
  <c r="P3718" i="1"/>
  <c r="T3717" i="1"/>
  <c r="S3717" i="1"/>
  <c r="R3717" i="1"/>
  <c r="Q3717" i="1"/>
  <c r="P3717" i="1"/>
  <c r="T3716" i="1"/>
  <c r="S3716" i="1"/>
  <c r="R3716" i="1"/>
  <c r="Q3716" i="1"/>
  <c r="P3716" i="1"/>
  <c r="T3715" i="1"/>
  <c r="S3715" i="1"/>
  <c r="R3715" i="1"/>
  <c r="Q3715" i="1"/>
  <c r="P3715" i="1"/>
  <c r="T3714" i="1"/>
  <c r="S3714" i="1"/>
  <c r="R3714" i="1"/>
  <c r="Q3714" i="1"/>
  <c r="P3714" i="1"/>
  <c r="T3713" i="1"/>
  <c r="S3713" i="1"/>
  <c r="R3713" i="1"/>
  <c r="Q3713" i="1"/>
  <c r="P3713" i="1"/>
  <c r="T3712" i="1"/>
  <c r="S3712" i="1"/>
  <c r="R3712" i="1"/>
  <c r="Q3712" i="1"/>
  <c r="P3712" i="1"/>
  <c r="T3711" i="1"/>
  <c r="S3711" i="1"/>
  <c r="R3711" i="1"/>
  <c r="Q3711" i="1"/>
  <c r="P3711" i="1"/>
  <c r="T3710" i="1"/>
  <c r="S3710" i="1"/>
  <c r="R3710" i="1"/>
  <c r="Q3710" i="1"/>
  <c r="P3710" i="1"/>
  <c r="T3709" i="1"/>
  <c r="S3709" i="1"/>
  <c r="R3709" i="1"/>
  <c r="Q3709" i="1"/>
  <c r="P3709" i="1"/>
  <c r="T3708" i="1"/>
  <c r="S3708" i="1"/>
  <c r="R3708" i="1"/>
  <c r="Q3708" i="1"/>
  <c r="P3708" i="1"/>
  <c r="T3707" i="1"/>
  <c r="S3707" i="1"/>
  <c r="R3707" i="1"/>
  <c r="Q3707" i="1"/>
  <c r="P3707" i="1"/>
  <c r="T3706" i="1"/>
  <c r="S3706" i="1"/>
  <c r="R3706" i="1"/>
  <c r="Q3706" i="1"/>
  <c r="P3706" i="1"/>
  <c r="T3705" i="1"/>
  <c r="S3705" i="1"/>
  <c r="R3705" i="1"/>
  <c r="Q3705" i="1"/>
  <c r="P3705" i="1"/>
  <c r="T3704" i="1"/>
  <c r="S3704" i="1"/>
  <c r="R3704" i="1"/>
  <c r="Q3704" i="1"/>
  <c r="P3704" i="1"/>
  <c r="T3703" i="1"/>
  <c r="S3703" i="1"/>
  <c r="R3703" i="1"/>
  <c r="Q3703" i="1"/>
  <c r="P3703" i="1"/>
  <c r="T3702" i="1"/>
  <c r="S3702" i="1"/>
  <c r="R3702" i="1"/>
  <c r="Q3702" i="1"/>
  <c r="P3702" i="1"/>
  <c r="T3701" i="1"/>
  <c r="S3701" i="1"/>
  <c r="R3701" i="1"/>
  <c r="Q3701" i="1"/>
  <c r="P3701" i="1"/>
  <c r="T3700" i="1"/>
  <c r="S3700" i="1"/>
  <c r="R3700" i="1"/>
  <c r="Q3700" i="1"/>
  <c r="P3700" i="1"/>
  <c r="T3699" i="1"/>
  <c r="S3699" i="1"/>
  <c r="R3699" i="1"/>
  <c r="Q3699" i="1"/>
  <c r="P3699" i="1"/>
  <c r="T3698" i="1"/>
  <c r="S3698" i="1"/>
  <c r="R3698" i="1"/>
  <c r="Q3698" i="1"/>
  <c r="P3698" i="1"/>
  <c r="T3697" i="1"/>
  <c r="S3697" i="1"/>
  <c r="R3697" i="1"/>
  <c r="Q3697" i="1"/>
  <c r="P3697" i="1"/>
  <c r="T3696" i="1"/>
  <c r="S3696" i="1"/>
  <c r="R3696" i="1"/>
  <c r="Q3696" i="1"/>
  <c r="P3696" i="1"/>
  <c r="T3695" i="1"/>
  <c r="S3695" i="1"/>
  <c r="R3695" i="1"/>
  <c r="Q3695" i="1"/>
  <c r="P3695" i="1"/>
  <c r="T3694" i="1"/>
  <c r="S3694" i="1"/>
  <c r="R3694" i="1"/>
  <c r="Q3694" i="1"/>
  <c r="P3694" i="1"/>
  <c r="T3693" i="1"/>
  <c r="S3693" i="1"/>
  <c r="R3693" i="1"/>
  <c r="Q3693" i="1"/>
  <c r="P3693" i="1"/>
  <c r="T3692" i="1"/>
  <c r="S3692" i="1"/>
  <c r="R3692" i="1"/>
  <c r="Q3692" i="1"/>
  <c r="P3692" i="1"/>
  <c r="T3691" i="1"/>
  <c r="S3691" i="1"/>
  <c r="R3691" i="1"/>
  <c r="Q3691" i="1"/>
  <c r="P3691" i="1"/>
  <c r="T3690" i="1"/>
  <c r="S3690" i="1"/>
  <c r="R3690" i="1"/>
  <c r="Q3690" i="1"/>
  <c r="P3690" i="1"/>
  <c r="T3689" i="1"/>
  <c r="S3689" i="1"/>
  <c r="R3689" i="1"/>
  <c r="Q3689" i="1"/>
  <c r="P3689" i="1"/>
  <c r="T3688" i="1"/>
  <c r="S3688" i="1"/>
  <c r="R3688" i="1"/>
  <c r="Q3688" i="1"/>
  <c r="P3688" i="1"/>
  <c r="T3687" i="1"/>
  <c r="S3687" i="1"/>
  <c r="R3687" i="1"/>
  <c r="Q3687" i="1"/>
  <c r="P3687" i="1"/>
  <c r="T3686" i="1"/>
  <c r="S3686" i="1"/>
  <c r="R3686" i="1"/>
  <c r="Q3686" i="1"/>
  <c r="P3686" i="1"/>
  <c r="T3685" i="1"/>
  <c r="S3685" i="1"/>
  <c r="R3685" i="1"/>
  <c r="Q3685" i="1"/>
  <c r="P3685" i="1"/>
  <c r="T3684" i="1"/>
  <c r="S3684" i="1"/>
  <c r="R3684" i="1"/>
  <c r="Q3684" i="1"/>
  <c r="P3684" i="1"/>
  <c r="T3683" i="1"/>
  <c r="S3683" i="1"/>
  <c r="R3683" i="1"/>
  <c r="Q3683" i="1"/>
  <c r="P3683" i="1"/>
  <c r="T3682" i="1"/>
  <c r="S3682" i="1"/>
  <c r="R3682" i="1"/>
  <c r="Q3682" i="1"/>
  <c r="P3682" i="1"/>
  <c r="T3681" i="1"/>
  <c r="S3681" i="1"/>
  <c r="R3681" i="1"/>
  <c r="Q3681" i="1"/>
  <c r="P3681" i="1"/>
  <c r="T3680" i="1"/>
  <c r="S3680" i="1"/>
  <c r="R3680" i="1"/>
  <c r="Q3680" i="1"/>
  <c r="P3680" i="1"/>
  <c r="T3679" i="1"/>
  <c r="S3679" i="1"/>
  <c r="R3679" i="1"/>
  <c r="Q3679" i="1"/>
  <c r="P3679" i="1"/>
  <c r="T3678" i="1"/>
  <c r="S3678" i="1"/>
  <c r="R3678" i="1"/>
  <c r="Q3678" i="1"/>
  <c r="P3678" i="1"/>
  <c r="T3677" i="1"/>
  <c r="S3677" i="1"/>
  <c r="R3677" i="1"/>
  <c r="Q3677" i="1"/>
  <c r="P3677" i="1"/>
  <c r="T3676" i="1"/>
  <c r="S3676" i="1"/>
  <c r="R3676" i="1"/>
  <c r="Q3676" i="1"/>
  <c r="P3676" i="1"/>
  <c r="T3675" i="1"/>
  <c r="S3675" i="1"/>
  <c r="R3675" i="1"/>
  <c r="Q3675" i="1"/>
  <c r="P3675" i="1"/>
  <c r="T3674" i="1"/>
  <c r="S3674" i="1"/>
  <c r="R3674" i="1"/>
  <c r="Q3674" i="1"/>
  <c r="P3674" i="1"/>
  <c r="T3673" i="1"/>
  <c r="S3673" i="1"/>
  <c r="R3673" i="1"/>
  <c r="Q3673" i="1"/>
  <c r="P3673" i="1"/>
  <c r="T3672" i="1"/>
  <c r="S3672" i="1"/>
  <c r="R3672" i="1"/>
  <c r="Q3672" i="1"/>
  <c r="P3672" i="1"/>
  <c r="T3671" i="1"/>
  <c r="S3671" i="1"/>
  <c r="R3671" i="1"/>
  <c r="Q3671" i="1"/>
  <c r="P3671" i="1"/>
  <c r="T3670" i="1"/>
  <c r="S3670" i="1"/>
  <c r="R3670" i="1"/>
  <c r="Q3670" i="1"/>
  <c r="P3670" i="1"/>
  <c r="T3669" i="1"/>
  <c r="S3669" i="1"/>
  <c r="R3669" i="1"/>
  <c r="Q3669" i="1"/>
  <c r="P3669" i="1"/>
  <c r="T3668" i="1"/>
  <c r="S3668" i="1"/>
  <c r="R3668" i="1"/>
  <c r="Q3668" i="1"/>
  <c r="P3668" i="1"/>
  <c r="T3667" i="1"/>
  <c r="S3667" i="1"/>
  <c r="R3667" i="1"/>
  <c r="Q3667" i="1"/>
  <c r="P3667" i="1"/>
  <c r="T3666" i="1"/>
  <c r="S3666" i="1"/>
  <c r="R3666" i="1"/>
  <c r="Q3666" i="1"/>
  <c r="P3666" i="1"/>
  <c r="T3665" i="1"/>
  <c r="S3665" i="1"/>
  <c r="R3665" i="1"/>
  <c r="Q3665" i="1"/>
  <c r="P3665" i="1"/>
  <c r="T3664" i="1"/>
  <c r="S3664" i="1"/>
  <c r="R3664" i="1"/>
  <c r="Q3664" i="1"/>
  <c r="P3664" i="1"/>
  <c r="T3663" i="1"/>
  <c r="S3663" i="1"/>
  <c r="R3663" i="1"/>
  <c r="Q3663" i="1"/>
  <c r="P3663" i="1"/>
  <c r="T3662" i="1"/>
  <c r="S3662" i="1"/>
  <c r="R3662" i="1"/>
  <c r="Q3662" i="1"/>
  <c r="P3662" i="1"/>
  <c r="T3661" i="1"/>
  <c r="S3661" i="1"/>
  <c r="R3661" i="1"/>
  <c r="Q3661" i="1"/>
  <c r="P3661" i="1"/>
  <c r="T3660" i="1"/>
  <c r="S3660" i="1"/>
  <c r="R3660" i="1"/>
  <c r="Q3660" i="1"/>
  <c r="P3660" i="1"/>
  <c r="T3659" i="1"/>
  <c r="S3659" i="1"/>
  <c r="R3659" i="1"/>
  <c r="Q3659" i="1"/>
  <c r="P3659" i="1"/>
  <c r="T3658" i="1"/>
  <c r="S3658" i="1"/>
  <c r="R3658" i="1"/>
  <c r="Q3658" i="1"/>
  <c r="P3658" i="1"/>
  <c r="T3657" i="1"/>
  <c r="S3657" i="1"/>
  <c r="R3657" i="1"/>
  <c r="Q3657" i="1"/>
  <c r="P3657" i="1"/>
  <c r="T3656" i="1"/>
  <c r="S3656" i="1"/>
  <c r="R3656" i="1"/>
  <c r="Q3656" i="1"/>
  <c r="P3656" i="1"/>
  <c r="T3655" i="1"/>
  <c r="S3655" i="1"/>
  <c r="R3655" i="1"/>
  <c r="Q3655" i="1"/>
  <c r="P3655" i="1"/>
  <c r="T3654" i="1"/>
  <c r="S3654" i="1"/>
  <c r="R3654" i="1"/>
  <c r="Q3654" i="1"/>
  <c r="P3654" i="1"/>
  <c r="T3653" i="1"/>
  <c r="S3653" i="1"/>
  <c r="R3653" i="1"/>
  <c r="Q3653" i="1"/>
  <c r="P3653" i="1"/>
  <c r="T3652" i="1"/>
  <c r="S3652" i="1"/>
  <c r="R3652" i="1"/>
  <c r="Q3652" i="1"/>
  <c r="P3652" i="1"/>
  <c r="T3651" i="1"/>
  <c r="S3651" i="1"/>
  <c r="R3651" i="1"/>
  <c r="Q3651" i="1"/>
  <c r="P3651" i="1"/>
  <c r="T3650" i="1"/>
  <c r="S3650" i="1"/>
  <c r="R3650" i="1"/>
  <c r="Q3650" i="1"/>
  <c r="P3650" i="1"/>
  <c r="T3649" i="1"/>
  <c r="S3649" i="1"/>
  <c r="R3649" i="1"/>
  <c r="Q3649" i="1"/>
  <c r="P3649" i="1"/>
  <c r="T3648" i="1"/>
  <c r="S3648" i="1"/>
  <c r="R3648" i="1"/>
  <c r="Q3648" i="1"/>
  <c r="P3648" i="1"/>
  <c r="T3647" i="1"/>
  <c r="S3647" i="1"/>
  <c r="R3647" i="1"/>
  <c r="Q3647" i="1"/>
  <c r="P3647" i="1"/>
  <c r="T3646" i="1"/>
  <c r="S3646" i="1"/>
  <c r="R3646" i="1"/>
  <c r="Q3646" i="1"/>
  <c r="P3646" i="1"/>
  <c r="T3645" i="1"/>
  <c r="S3645" i="1"/>
  <c r="R3645" i="1"/>
  <c r="Q3645" i="1"/>
  <c r="P3645" i="1"/>
  <c r="T3644" i="1"/>
  <c r="S3644" i="1"/>
  <c r="R3644" i="1"/>
  <c r="Q3644" i="1"/>
  <c r="P3644" i="1"/>
  <c r="T3643" i="1"/>
  <c r="S3643" i="1"/>
  <c r="R3643" i="1"/>
  <c r="Q3643" i="1"/>
  <c r="P3643" i="1"/>
  <c r="T3642" i="1"/>
  <c r="S3642" i="1"/>
  <c r="R3642" i="1"/>
  <c r="Q3642" i="1"/>
  <c r="P3642" i="1"/>
  <c r="T3641" i="1"/>
  <c r="S3641" i="1"/>
  <c r="R3641" i="1"/>
  <c r="Q3641" i="1"/>
  <c r="P3641" i="1"/>
  <c r="T3640" i="1"/>
  <c r="S3640" i="1"/>
  <c r="R3640" i="1"/>
  <c r="Q3640" i="1"/>
  <c r="P3640" i="1"/>
  <c r="T3639" i="1"/>
  <c r="S3639" i="1"/>
  <c r="R3639" i="1"/>
  <c r="Q3639" i="1"/>
  <c r="P3639" i="1"/>
  <c r="T3638" i="1"/>
  <c r="S3638" i="1"/>
  <c r="R3638" i="1"/>
  <c r="Q3638" i="1"/>
  <c r="P3638" i="1"/>
  <c r="T3637" i="1"/>
  <c r="S3637" i="1"/>
  <c r="R3637" i="1"/>
  <c r="Q3637" i="1"/>
  <c r="P3637" i="1"/>
  <c r="T3636" i="1"/>
  <c r="S3636" i="1"/>
  <c r="R3636" i="1"/>
  <c r="Q3636" i="1"/>
  <c r="P3636" i="1"/>
  <c r="T3635" i="1"/>
  <c r="S3635" i="1"/>
  <c r="R3635" i="1"/>
  <c r="Q3635" i="1"/>
  <c r="P3635" i="1"/>
  <c r="T3634" i="1"/>
  <c r="S3634" i="1"/>
  <c r="R3634" i="1"/>
  <c r="Q3634" i="1"/>
  <c r="P3634" i="1"/>
  <c r="T3633" i="1"/>
  <c r="S3633" i="1"/>
  <c r="R3633" i="1"/>
  <c r="Q3633" i="1"/>
  <c r="P3633" i="1"/>
  <c r="T3632" i="1"/>
  <c r="S3632" i="1"/>
  <c r="R3632" i="1"/>
  <c r="Q3632" i="1"/>
  <c r="P3632" i="1"/>
  <c r="T3631" i="1"/>
  <c r="S3631" i="1"/>
  <c r="R3631" i="1"/>
  <c r="Q3631" i="1"/>
  <c r="P3631" i="1"/>
  <c r="T3630" i="1"/>
  <c r="S3630" i="1"/>
  <c r="R3630" i="1"/>
  <c r="Q3630" i="1"/>
  <c r="P3630" i="1"/>
  <c r="T3629" i="1"/>
  <c r="S3629" i="1"/>
  <c r="R3629" i="1"/>
  <c r="Q3629" i="1"/>
  <c r="P3629" i="1"/>
  <c r="T3628" i="1"/>
  <c r="S3628" i="1"/>
  <c r="R3628" i="1"/>
  <c r="Q3628" i="1"/>
  <c r="P3628" i="1"/>
  <c r="T3627" i="1"/>
  <c r="S3627" i="1"/>
  <c r="R3627" i="1"/>
  <c r="Q3627" i="1"/>
  <c r="P3627" i="1"/>
  <c r="T3626" i="1"/>
  <c r="S3626" i="1"/>
  <c r="R3626" i="1"/>
  <c r="Q3626" i="1"/>
  <c r="P3626" i="1"/>
  <c r="T3625" i="1"/>
  <c r="S3625" i="1"/>
  <c r="R3625" i="1"/>
  <c r="Q3625" i="1"/>
  <c r="P3625" i="1"/>
  <c r="T3624" i="1"/>
  <c r="S3624" i="1"/>
  <c r="R3624" i="1"/>
  <c r="Q3624" i="1"/>
  <c r="P3624" i="1"/>
  <c r="T3623" i="1"/>
  <c r="S3623" i="1"/>
  <c r="R3623" i="1"/>
  <c r="Q3623" i="1"/>
  <c r="P3623" i="1"/>
  <c r="T3622" i="1"/>
  <c r="S3622" i="1"/>
  <c r="R3622" i="1"/>
  <c r="Q3622" i="1"/>
  <c r="P3622" i="1"/>
  <c r="T3621" i="1"/>
  <c r="S3621" i="1"/>
  <c r="R3621" i="1"/>
  <c r="Q3621" i="1"/>
  <c r="P3621" i="1"/>
  <c r="T3620" i="1"/>
  <c r="S3620" i="1"/>
  <c r="R3620" i="1"/>
  <c r="Q3620" i="1"/>
  <c r="P3620" i="1"/>
  <c r="T3619" i="1"/>
  <c r="S3619" i="1"/>
  <c r="R3619" i="1"/>
  <c r="Q3619" i="1"/>
  <c r="P3619" i="1"/>
  <c r="T3618" i="1"/>
  <c r="S3618" i="1"/>
  <c r="R3618" i="1"/>
  <c r="Q3618" i="1"/>
  <c r="P3618" i="1"/>
  <c r="T3617" i="1"/>
  <c r="S3617" i="1"/>
  <c r="R3617" i="1"/>
  <c r="Q3617" i="1"/>
  <c r="P3617" i="1"/>
  <c r="T3616" i="1"/>
  <c r="S3616" i="1"/>
  <c r="R3616" i="1"/>
  <c r="Q3616" i="1"/>
  <c r="P3616" i="1"/>
  <c r="T3615" i="1"/>
  <c r="S3615" i="1"/>
  <c r="R3615" i="1"/>
  <c r="Q3615" i="1"/>
  <c r="P3615" i="1"/>
  <c r="T3614" i="1"/>
  <c r="S3614" i="1"/>
  <c r="R3614" i="1"/>
  <c r="Q3614" i="1"/>
  <c r="P3614" i="1"/>
  <c r="T3613" i="1"/>
  <c r="S3613" i="1"/>
  <c r="R3613" i="1"/>
  <c r="Q3613" i="1"/>
  <c r="P3613" i="1"/>
  <c r="T3612" i="1"/>
  <c r="S3612" i="1"/>
  <c r="R3612" i="1"/>
  <c r="Q3612" i="1"/>
  <c r="P3612" i="1"/>
  <c r="T3611" i="1"/>
  <c r="S3611" i="1"/>
  <c r="R3611" i="1"/>
  <c r="Q3611" i="1"/>
  <c r="P3611" i="1"/>
  <c r="T3610" i="1"/>
  <c r="S3610" i="1"/>
  <c r="R3610" i="1"/>
  <c r="Q3610" i="1"/>
  <c r="P3610" i="1"/>
  <c r="T3609" i="1"/>
  <c r="S3609" i="1"/>
  <c r="R3609" i="1"/>
  <c r="Q3609" i="1"/>
  <c r="P3609" i="1"/>
  <c r="T3608" i="1"/>
  <c r="S3608" i="1"/>
  <c r="R3608" i="1"/>
  <c r="Q3608" i="1"/>
  <c r="P3608" i="1"/>
  <c r="T3607" i="1"/>
  <c r="S3607" i="1"/>
  <c r="R3607" i="1"/>
  <c r="Q3607" i="1"/>
  <c r="P3607" i="1"/>
  <c r="T3606" i="1"/>
  <c r="S3606" i="1"/>
  <c r="R3606" i="1"/>
  <c r="Q3606" i="1"/>
  <c r="P3606" i="1"/>
  <c r="T3605" i="1"/>
  <c r="S3605" i="1"/>
  <c r="R3605" i="1"/>
  <c r="Q3605" i="1"/>
  <c r="P3605" i="1"/>
  <c r="T3604" i="1"/>
  <c r="S3604" i="1"/>
  <c r="R3604" i="1"/>
  <c r="Q3604" i="1"/>
  <c r="P3604" i="1"/>
  <c r="T3603" i="1"/>
  <c r="S3603" i="1"/>
  <c r="R3603" i="1"/>
  <c r="Q3603" i="1"/>
  <c r="P3603" i="1"/>
  <c r="T3602" i="1"/>
  <c r="S3602" i="1"/>
  <c r="R3602" i="1"/>
  <c r="Q3602" i="1"/>
  <c r="P3602" i="1"/>
  <c r="T3601" i="1"/>
  <c r="S3601" i="1"/>
  <c r="R3601" i="1"/>
  <c r="Q3601" i="1"/>
  <c r="P3601" i="1"/>
  <c r="T3600" i="1"/>
  <c r="S3600" i="1"/>
  <c r="R3600" i="1"/>
  <c r="Q3600" i="1"/>
  <c r="P3600" i="1"/>
  <c r="T3599" i="1"/>
  <c r="S3599" i="1"/>
  <c r="R3599" i="1"/>
  <c r="Q3599" i="1"/>
  <c r="P3599" i="1"/>
  <c r="T3598" i="1"/>
  <c r="S3598" i="1"/>
  <c r="R3598" i="1"/>
  <c r="Q3598" i="1"/>
  <c r="P3598" i="1"/>
  <c r="T3597" i="1"/>
  <c r="S3597" i="1"/>
  <c r="R3597" i="1"/>
  <c r="Q3597" i="1"/>
  <c r="P3597" i="1"/>
  <c r="T3596" i="1"/>
  <c r="S3596" i="1"/>
  <c r="R3596" i="1"/>
  <c r="Q3596" i="1"/>
  <c r="P3596" i="1"/>
  <c r="T3595" i="1"/>
  <c r="S3595" i="1"/>
  <c r="R3595" i="1"/>
  <c r="Q3595" i="1"/>
  <c r="P3595" i="1"/>
  <c r="T3594" i="1"/>
  <c r="S3594" i="1"/>
  <c r="R3594" i="1"/>
  <c r="Q3594" i="1"/>
  <c r="P3594" i="1"/>
  <c r="T3593" i="1"/>
  <c r="S3593" i="1"/>
  <c r="R3593" i="1"/>
  <c r="Q3593" i="1"/>
  <c r="P3593" i="1"/>
  <c r="T3592" i="1"/>
  <c r="S3592" i="1"/>
  <c r="R3592" i="1"/>
  <c r="Q3592" i="1"/>
  <c r="P3592" i="1"/>
  <c r="T3591" i="1"/>
  <c r="S3591" i="1"/>
  <c r="R3591" i="1"/>
  <c r="Q3591" i="1"/>
  <c r="P3591" i="1"/>
  <c r="T3590" i="1"/>
  <c r="S3590" i="1"/>
  <c r="R3590" i="1"/>
  <c r="Q3590" i="1"/>
  <c r="P3590" i="1"/>
  <c r="T3589" i="1"/>
  <c r="S3589" i="1"/>
  <c r="R3589" i="1"/>
  <c r="Q3589" i="1"/>
  <c r="P3589" i="1"/>
  <c r="T3588" i="1"/>
  <c r="S3588" i="1"/>
  <c r="R3588" i="1"/>
  <c r="Q3588" i="1"/>
  <c r="P3588" i="1"/>
  <c r="T3587" i="1"/>
  <c r="S3587" i="1"/>
  <c r="R3587" i="1"/>
  <c r="Q3587" i="1"/>
  <c r="P3587" i="1"/>
  <c r="T3586" i="1"/>
  <c r="S3586" i="1"/>
  <c r="R3586" i="1"/>
  <c r="Q3586" i="1"/>
  <c r="P3586" i="1"/>
  <c r="T3585" i="1"/>
  <c r="S3585" i="1"/>
  <c r="R3585" i="1"/>
  <c r="Q3585" i="1"/>
  <c r="P3585" i="1"/>
  <c r="T3584" i="1"/>
  <c r="S3584" i="1"/>
  <c r="R3584" i="1"/>
  <c r="Q3584" i="1"/>
  <c r="P3584" i="1"/>
  <c r="T3583" i="1"/>
  <c r="S3583" i="1"/>
  <c r="R3583" i="1"/>
  <c r="Q3583" i="1"/>
  <c r="P3583" i="1"/>
  <c r="T3582" i="1"/>
  <c r="S3582" i="1"/>
  <c r="R3582" i="1"/>
  <c r="Q3582" i="1"/>
  <c r="P3582" i="1"/>
  <c r="T3581" i="1"/>
  <c r="S3581" i="1"/>
  <c r="R3581" i="1"/>
  <c r="Q3581" i="1"/>
  <c r="P3581" i="1"/>
  <c r="T3580" i="1"/>
  <c r="S3580" i="1"/>
  <c r="R3580" i="1"/>
  <c r="Q3580" i="1"/>
  <c r="P3580" i="1"/>
  <c r="T3579" i="1"/>
  <c r="S3579" i="1"/>
  <c r="R3579" i="1"/>
  <c r="Q3579" i="1"/>
  <c r="P3579" i="1"/>
  <c r="T3578" i="1"/>
  <c r="S3578" i="1"/>
  <c r="R3578" i="1"/>
  <c r="Q3578" i="1"/>
  <c r="P3578" i="1"/>
  <c r="T3577" i="1"/>
  <c r="S3577" i="1"/>
  <c r="R3577" i="1"/>
  <c r="Q3577" i="1"/>
  <c r="P3577" i="1"/>
  <c r="T3576" i="1"/>
  <c r="S3576" i="1"/>
  <c r="R3576" i="1"/>
  <c r="Q3576" i="1"/>
  <c r="P3576" i="1"/>
  <c r="T3575" i="1"/>
  <c r="S3575" i="1"/>
  <c r="R3575" i="1"/>
  <c r="Q3575" i="1"/>
  <c r="P3575" i="1"/>
  <c r="T3574" i="1"/>
  <c r="S3574" i="1"/>
  <c r="R3574" i="1"/>
  <c r="Q3574" i="1"/>
  <c r="P3574" i="1"/>
  <c r="T3573" i="1"/>
  <c r="S3573" i="1"/>
  <c r="R3573" i="1"/>
  <c r="Q3573" i="1"/>
  <c r="P3573" i="1"/>
  <c r="T3572" i="1"/>
  <c r="S3572" i="1"/>
  <c r="R3572" i="1"/>
  <c r="Q3572" i="1"/>
  <c r="P3572" i="1"/>
  <c r="T3571" i="1"/>
  <c r="S3571" i="1"/>
  <c r="R3571" i="1"/>
  <c r="Q3571" i="1"/>
  <c r="P3571" i="1"/>
  <c r="T3570" i="1"/>
  <c r="S3570" i="1"/>
  <c r="R3570" i="1"/>
  <c r="Q3570" i="1"/>
  <c r="P3570" i="1"/>
  <c r="T3569" i="1"/>
  <c r="S3569" i="1"/>
  <c r="R3569" i="1"/>
  <c r="Q3569" i="1"/>
  <c r="P3569" i="1"/>
  <c r="T3568" i="1"/>
  <c r="S3568" i="1"/>
  <c r="R3568" i="1"/>
  <c r="Q3568" i="1"/>
  <c r="P3568" i="1"/>
  <c r="T3567" i="1"/>
  <c r="S3567" i="1"/>
  <c r="R3567" i="1"/>
  <c r="Q3567" i="1"/>
  <c r="P3567" i="1"/>
  <c r="T3566" i="1"/>
  <c r="S3566" i="1"/>
  <c r="R3566" i="1"/>
  <c r="Q3566" i="1"/>
  <c r="P3566" i="1"/>
  <c r="T3565" i="1"/>
  <c r="S3565" i="1"/>
  <c r="R3565" i="1"/>
  <c r="Q3565" i="1"/>
  <c r="P3565" i="1"/>
  <c r="T3564" i="1"/>
  <c r="S3564" i="1"/>
  <c r="R3564" i="1"/>
  <c r="Q3564" i="1"/>
  <c r="P3564" i="1"/>
  <c r="T3563" i="1"/>
  <c r="S3563" i="1"/>
  <c r="R3563" i="1"/>
  <c r="Q3563" i="1"/>
  <c r="P3563" i="1"/>
  <c r="T3562" i="1"/>
  <c r="S3562" i="1"/>
  <c r="R3562" i="1"/>
  <c r="Q3562" i="1"/>
  <c r="P3562" i="1"/>
  <c r="T3561" i="1"/>
  <c r="S3561" i="1"/>
  <c r="R3561" i="1"/>
  <c r="Q3561" i="1"/>
  <c r="P3561" i="1"/>
  <c r="T3560" i="1"/>
  <c r="S3560" i="1"/>
  <c r="R3560" i="1"/>
  <c r="Q3560" i="1"/>
  <c r="P3560" i="1"/>
  <c r="T3559" i="1"/>
  <c r="S3559" i="1"/>
  <c r="R3559" i="1"/>
  <c r="Q3559" i="1"/>
  <c r="P3559" i="1"/>
  <c r="T3558" i="1"/>
  <c r="S3558" i="1"/>
  <c r="R3558" i="1"/>
  <c r="Q3558" i="1"/>
  <c r="P3558" i="1"/>
  <c r="T3557" i="1"/>
  <c r="S3557" i="1"/>
  <c r="R3557" i="1"/>
  <c r="Q3557" i="1"/>
  <c r="P3557" i="1"/>
  <c r="T3556" i="1"/>
  <c r="S3556" i="1"/>
  <c r="R3556" i="1"/>
  <c r="Q3556" i="1"/>
  <c r="P3556" i="1"/>
  <c r="T3555" i="1"/>
  <c r="S3555" i="1"/>
  <c r="R3555" i="1"/>
  <c r="Q3555" i="1"/>
  <c r="P3555" i="1"/>
  <c r="T3554" i="1"/>
  <c r="S3554" i="1"/>
  <c r="R3554" i="1"/>
  <c r="Q3554" i="1"/>
  <c r="P3554" i="1"/>
  <c r="T3553" i="1"/>
  <c r="S3553" i="1"/>
  <c r="R3553" i="1"/>
  <c r="Q3553" i="1"/>
  <c r="P3553" i="1"/>
  <c r="T3552" i="1"/>
  <c r="S3552" i="1"/>
  <c r="R3552" i="1"/>
  <c r="Q3552" i="1"/>
  <c r="P3552" i="1"/>
  <c r="T3551" i="1"/>
  <c r="S3551" i="1"/>
  <c r="R3551" i="1"/>
  <c r="Q3551" i="1"/>
  <c r="P3551" i="1"/>
  <c r="T3550" i="1"/>
  <c r="S3550" i="1"/>
  <c r="R3550" i="1"/>
  <c r="Q3550" i="1"/>
  <c r="P3550" i="1"/>
  <c r="T3549" i="1"/>
  <c r="S3549" i="1"/>
  <c r="R3549" i="1"/>
  <c r="Q3549" i="1"/>
  <c r="P3549" i="1"/>
  <c r="T3548" i="1"/>
  <c r="S3548" i="1"/>
  <c r="R3548" i="1"/>
  <c r="Q3548" i="1"/>
  <c r="P3548" i="1"/>
  <c r="T3547" i="1"/>
  <c r="S3547" i="1"/>
  <c r="R3547" i="1"/>
  <c r="Q3547" i="1"/>
  <c r="P3547" i="1"/>
  <c r="T3546" i="1"/>
  <c r="S3546" i="1"/>
  <c r="R3546" i="1"/>
  <c r="Q3546" i="1"/>
  <c r="P3546" i="1"/>
  <c r="T3545" i="1"/>
  <c r="S3545" i="1"/>
  <c r="R3545" i="1"/>
  <c r="Q3545" i="1"/>
  <c r="P3545" i="1"/>
  <c r="T3544" i="1"/>
  <c r="S3544" i="1"/>
  <c r="R3544" i="1"/>
  <c r="Q3544" i="1"/>
  <c r="P3544" i="1"/>
  <c r="T3543" i="1"/>
  <c r="S3543" i="1"/>
  <c r="R3543" i="1"/>
  <c r="Q3543" i="1"/>
  <c r="P3543" i="1"/>
  <c r="T3542" i="1"/>
  <c r="S3542" i="1"/>
  <c r="R3542" i="1"/>
  <c r="Q3542" i="1"/>
  <c r="P3542" i="1"/>
  <c r="T3541" i="1"/>
  <c r="S3541" i="1"/>
  <c r="R3541" i="1"/>
  <c r="Q3541" i="1"/>
  <c r="P3541" i="1"/>
  <c r="T3540" i="1"/>
  <c r="S3540" i="1"/>
  <c r="R3540" i="1"/>
  <c r="Q3540" i="1"/>
  <c r="P3540" i="1"/>
  <c r="T3539" i="1"/>
  <c r="S3539" i="1"/>
  <c r="R3539" i="1"/>
  <c r="Q3539" i="1"/>
  <c r="P3539" i="1"/>
  <c r="T3538" i="1"/>
  <c r="S3538" i="1"/>
  <c r="R3538" i="1"/>
  <c r="Q3538" i="1"/>
  <c r="P3538" i="1"/>
  <c r="T3537" i="1"/>
  <c r="S3537" i="1"/>
  <c r="R3537" i="1"/>
  <c r="Q3537" i="1"/>
  <c r="P3537" i="1"/>
  <c r="T3536" i="1"/>
  <c r="S3536" i="1"/>
  <c r="R3536" i="1"/>
  <c r="Q3536" i="1"/>
  <c r="P3536" i="1"/>
  <c r="T3535" i="1"/>
  <c r="S3535" i="1"/>
  <c r="R3535" i="1"/>
  <c r="Q3535" i="1"/>
  <c r="P3535" i="1"/>
  <c r="T3534" i="1"/>
  <c r="S3534" i="1"/>
  <c r="R3534" i="1"/>
  <c r="Q3534" i="1"/>
  <c r="P3534" i="1"/>
  <c r="T3533" i="1"/>
  <c r="S3533" i="1"/>
  <c r="R3533" i="1"/>
  <c r="Q3533" i="1"/>
  <c r="P3533" i="1"/>
  <c r="T3532" i="1"/>
  <c r="S3532" i="1"/>
  <c r="R3532" i="1"/>
  <c r="Q3532" i="1"/>
  <c r="P3532" i="1"/>
  <c r="T3531" i="1"/>
  <c r="S3531" i="1"/>
  <c r="R3531" i="1"/>
  <c r="Q3531" i="1"/>
  <c r="P3531" i="1"/>
  <c r="T3530" i="1"/>
  <c r="S3530" i="1"/>
  <c r="R3530" i="1"/>
  <c r="Q3530" i="1"/>
  <c r="P3530" i="1"/>
  <c r="T3529" i="1"/>
  <c r="S3529" i="1"/>
  <c r="R3529" i="1"/>
  <c r="Q3529" i="1"/>
  <c r="P3529" i="1"/>
  <c r="T3528" i="1"/>
  <c r="S3528" i="1"/>
  <c r="R3528" i="1"/>
  <c r="Q3528" i="1"/>
  <c r="P3528" i="1"/>
  <c r="T3527" i="1"/>
  <c r="S3527" i="1"/>
  <c r="R3527" i="1"/>
  <c r="Q3527" i="1"/>
  <c r="P3527" i="1"/>
  <c r="T3526" i="1"/>
  <c r="S3526" i="1"/>
  <c r="R3526" i="1"/>
  <c r="Q3526" i="1"/>
  <c r="P3526" i="1"/>
  <c r="T3525" i="1"/>
  <c r="S3525" i="1"/>
  <c r="R3525" i="1"/>
  <c r="Q3525" i="1"/>
  <c r="P3525" i="1"/>
  <c r="T3524" i="1"/>
  <c r="S3524" i="1"/>
  <c r="R3524" i="1"/>
  <c r="Q3524" i="1"/>
  <c r="P3524" i="1"/>
  <c r="T3523" i="1"/>
  <c r="S3523" i="1"/>
  <c r="R3523" i="1"/>
  <c r="Q3523" i="1"/>
  <c r="P3523" i="1"/>
  <c r="T3522" i="1"/>
  <c r="S3522" i="1"/>
  <c r="R3522" i="1"/>
  <c r="Q3522" i="1"/>
  <c r="P3522" i="1"/>
  <c r="T3521" i="1"/>
  <c r="S3521" i="1"/>
  <c r="R3521" i="1"/>
  <c r="Q3521" i="1"/>
  <c r="P3521" i="1"/>
  <c r="T3520" i="1"/>
  <c r="S3520" i="1"/>
  <c r="R3520" i="1"/>
  <c r="Q3520" i="1"/>
  <c r="P3520" i="1"/>
  <c r="T3519" i="1"/>
  <c r="S3519" i="1"/>
  <c r="R3519" i="1"/>
  <c r="Q3519" i="1"/>
  <c r="P3519" i="1"/>
  <c r="T3518" i="1"/>
  <c r="S3518" i="1"/>
  <c r="R3518" i="1"/>
  <c r="Q3518" i="1"/>
  <c r="P3518" i="1"/>
  <c r="T3517" i="1"/>
  <c r="S3517" i="1"/>
  <c r="R3517" i="1"/>
  <c r="Q3517" i="1"/>
  <c r="P3517" i="1"/>
  <c r="T3516" i="1"/>
  <c r="S3516" i="1"/>
  <c r="R3516" i="1"/>
  <c r="Q3516" i="1"/>
  <c r="P3516" i="1"/>
  <c r="T3515" i="1"/>
  <c r="S3515" i="1"/>
  <c r="R3515" i="1"/>
  <c r="Q3515" i="1"/>
  <c r="P3515" i="1"/>
  <c r="T3514" i="1"/>
  <c r="S3514" i="1"/>
  <c r="R3514" i="1"/>
  <c r="Q3514" i="1"/>
  <c r="P3514" i="1"/>
  <c r="T3513" i="1"/>
  <c r="S3513" i="1"/>
  <c r="R3513" i="1"/>
  <c r="Q3513" i="1"/>
  <c r="P3513" i="1"/>
  <c r="T3512" i="1"/>
  <c r="S3512" i="1"/>
  <c r="R3512" i="1"/>
  <c r="Q3512" i="1"/>
  <c r="P3512" i="1"/>
  <c r="T3511" i="1"/>
  <c r="S3511" i="1"/>
  <c r="R3511" i="1"/>
  <c r="Q3511" i="1"/>
  <c r="P3511" i="1"/>
  <c r="T3510" i="1"/>
  <c r="S3510" i="1"/>
  <c r="R3510" i="1"/>
  <c r="Q3510" i="1"/>
  <c r="P3510" i="1"/>
  <c r="T3509" i="1"/>
  <c r="S3509" i="1"/>
  <c r="R3509" i="1"/>
  <c r="Q3509" i="1"/>
  <c r="P3509" i="1"/>
  <c r="T3508" i="1"/>
  <c r="S3508" i="1"/>
  <c r="R3508" i="1"/>
  <c r="Q3508" i="1"/>
  <c r="P3508" i="1"/>
  <c r="T3507" i="1"/>
  <c r="S3507" i="1"/>
  <c r="R3507" i="1"/>
  <c r="Q3507" i="1"/>
  <c r="P3507" i="1"/>
  <c r="T3506" i="1"/>
  <c r="S3506" i="1"/>
  <c r="R3506" i="1"/>
  <c r="Q3506" i="1"/>
  <c r="P3506" i="1"/>
  <c r="T3505" i="1"/>
  <c r="S3505" i="1"/>
  <c r="R3505" i="1"/>
  <c r="Q3505" i="1"/>
  <c r="P3505" i="1"/>
  <c r="T3504" i="1"/>
  <c r="S3504" i="1"/>
  <c r="R3504" i="1"/>
  <c r="Q3504" i="1"/>
  <c r="P3504" i="1"/>
  <c r="T3503" i="1"/>
  <c r="S3503" i="1"/>
  <c r="R3503" i="1"/>
  <c r="Q3503" i="1"/>
  <c r="P3503" i="1"/>
  <c r="T3502" i="1"/>
  <c r="S3502" i="1"/>
  <c r="R3502" i="1"/>
  <c r="Q3502" i="1"/>
  <c r="P3502" i="1"/>
  <c r="T3501" i="1"/>
  <c r="S3501" i="1"/>
  <c r="R3501" i="1"/>
  <c r="Q3501" i="1"/>
  <c r="P3501" i="1"/>
  <c r="T3500" i="1"/>
  <c r="S3500" i="1"/>
  <c r="R3500" i="1"/>
  <c r="Q3500" i="1"/>
  <c r="P3500" i="1"/>
  <c r="T3499" i="1"/>
  <c r="S3499" i="1"/>
  <c r="R3499" i="1"/>
  <c r="Q3499" i="1"/>
  <c r="P3499" i="1"/>
  <c r="T3498" i="1"/>
  <c r="S3498" i="1"/>
  <c r="R3498" i="1"/>
  <c r="Q3498" i="1"/>
  <c r="P3498" i="1"/>
  <c r="T3497" i="1"/>
  <c r="S3497" i="1"/>
  <c r="R3497" i="1"/>
  <c r="Q3497" i="1"/>
  <c r="P3497" i="1"/>
  <c r="T3496" i="1"/>
  <c r="S3496" i="1"/>
  <c r="R3496" i="1"/>
  <c r="Q3496" i="1"/>
  <c r="P3496" i="1"/>
  <c r="T3495" i="1"/>
  <c r="S3495" i="1"/>
  <c r="R3495" i="1"/>
  <c r="Q3495" i="1"/>
  <c r="P3495" i="1"/>
  <c r="T3494" i="1"/>
  <c r="S3494" i="1"/>
  <c r="R3494" i="1"/>
  <c r="Q3494" i="1"/>
  <c r="P3494" i="1"/>
  <c r="T3493" i="1"/>
  <c r="S3493" i="1"/>
  <c r="R3493" i="1"/>
  <c r="Q3493" i="1"/>
  <c r="P3493" i="1"/>
  <c r="T3492" i="1"/>
  <c r="S3492" i="1"/>
  <c r="R3492" i="1"/>
  <c r="Q3492" i="1"/>
  <c r="P3492" i="1"/>
  <c r="T3491" i="1"/>
  <c r="S3491" i="1"/>
  <c r="R3491" i="1"/>
  <c r="Q3491" i="1"/>
  <c r="P3491" i="1"/>
  <c r="T3490" i="1"/>
  <c r="S3490" i="1"/>
  <c r="R3490" i="1"/>
  <c r="Q3490" i="1"/>
  <c r="P3490" i="1"/>
  <c r="T3489" i="1"/>
  <c r="S3489" i="1"/>
  <c r="R3489" i="1"/>
  <c r="Q3489" i="1"/>
  <c r="P3489" i="1"/>
  <c r="T3488" i="1"/>
  <c r="S3488" i="1"/>
  <c r="R3488" i="1"/>
  <c r="Q3488" i="1"/>
  <c r="P3488" i="1"/>
  <c r="T3487" i="1"/>
  <c r="S3487" i="1"/>
  <c r="R3487" i="1"/>
  <c r="Q3487" i="1"/>
  <c r="P3487" i="1"/>
  <c r="T3486" i="1"/>
  <c r="S3486" i="1"/>
  <c r="R3486" i="1"/>
  <c r="Q3486" i="1"/>
  <c r="P3486" i="1"/>
  <c r="T3485" i="1"/>
  <c r="S3485" i="1"/>
  <c r="R3485" i="1"/>
  <c r="Q3485" i="1"/>
  <c r="P3485" i="1"/>
  <c r="T3484" i="1"/>
  <c r="S3484" i="1"/>
  <c r="R3484" i="1"/>
  <c r="Q3484" i="1"/>
  <c r="P3484" i="1"/>
  <c r="T3483" i="1"/>
  <c r="S3483" i="1"/>
  <c r="R3483" i="1"/>
  <c r="Q3483" i="1"/>
  <c r="P3483" i="1"/>
  <c r="T3482" i="1"/>
  <c r="S3482" i="1"/>
  <c r="R3482" i="1"/>
  <c r="Q3482" i="1"/>
  <c r="P3482" i="1"/>
  <c r="T3481" i="1"/>
  <c r="S3481" i="1"/>
  <c r="R3481" i="1"/>
  <c r="Q3481" i="1"/>
  <c r="P3481" i="1"/>
  <c r="T3480" i="1"/>
  <c r="S3480" i="1"/>
  <c r="R3480" i="1"/>
  <c r="Q3480" i="1"/>
  <c r="P3480" i="1"/>
  <c r="T3479" i="1"/>
  <c r="S3479" i="1"/>
  <c r="R3479" i="1"/>
  <c r="Q3479" i="1"/>
  <c r="P3479" i="1"/>
  <c r="T3478" i="1"/>
  <c r="S3478" i="1"/>
  <c r="R3478" i="1"/>
  <c r="Q3478" i="1"/>
  <c r="P3478" i="1"/>
  <c r="T3477" i="1"/>
  <c r="S3477" i="1"/>
  <c r="R3477" i="1"/>
  <c r="Q3477" i="1"/>
  <c r="P3477" i="1"/>
  <c r="T3476" i="1"/>
  <c r="S3476" i="1"/>
  <c r="R3476" i="1"/>
  <c r="Q3476" i="1"/>
  <c r="P3476" i="1"/>
  <c r="T3475" i="1"/>
  <c r="S3475" i="1"/>
  <c r="R3475" i="1"/>
  <c r="Q3475" i="1"/>
  <c r="P3475" i="1"/>
  <c r="T3474" i="1"/>
  <c r="S3474" i="1"/>
  <c r="R3474" i="1"/>
  <c r="Q3474" i="1"/>
  <c r="P3474" i="1"/>
  <c r="T3473" i="1"/>
  <c r="S3473" i="1"/>
  <c r="R3473" i="1"/>
  <c r="Q3473" i="1"/>
  <c r="P3473" i="1"/>
  <c r="T3472" i="1"/>
  <c r="S3472" i="1"/>
  <c r="R3472" i="1"/>
  <c r="Q3472" i="1"/>
  <c r="P3472" i="1"/>
  <c r="T3471" i="1"/>
  <c r="S3471" i="1"/>
  <c r="R3471" i="1"/>
  <c r="Q3471" i="1"/>
  <c r="P3471" i="1"/>
  <c r="T3470" i="1"/>
  <c r="S3470" i="1"/>
  <c r="R3470" i="1"/>
  <c r="Q3470" i="1"/>
  <c r="P3470" i="1"/>
  <c r="T3469" i="1"/>
  <c r="S3469" i="1"/>
  <c r="R3469" i="1"/>
  <c r="Q3469" i="1"/>
  <c r="P3469" i="1"/>
  <c r="T3468" i="1"/>
  <c r="S3468" i="1"/>
  <c r="R3468" i="1"/>
  <c r="Q3468" i="1"/>
  <c r="P3468" i="1"/>
  <c r="T3467" i="1"/>
  <c r="S3467" i="1"/>
  <c r="R3467" i="1"/>
  <c r="Q3467" i="1"/>
  <c r="P3467" i="1"/>
  <c r="T3466" i="1"/>
  <c r="S3466" i="1"/>
  <c r="R3466" i="1"/>
  <c r="Q3466" i="1"/>
  <c r="P3466" i="1"/>
  <c r="T3465" i="1"/>
  <c r="S3465" i="1"/>
  <c r="R3465" i="1"/>
  <c r="Q3465" i="1"/>
  <c r="P3465" i="1"/>
  <c r="T3464" i="1"/>
  <c r="S3464" i="1"/>
  <c r="R3464" i="1"/>
  <c r="Q3464" i="1"/>
  <c r="P3464" i="1"/>
  <c r="T3463" i="1"/>
  <c r="S3463" i="1"/>
  <c r="R3463" i="1"/>
  <c r="Q3463" i="1"/>
  <c r="P3463" i="1"/>
  <c r="T3462" i="1"/>
  <c r="S3462" i="1"/>
  <c r="R3462" i="1"/>
  <c r="Q3462" i="1"/>
  <c r="P3462" i="1"/>
  <c r="T3461" i="1"/>
  <c r="S3461" i="1"/>
  <c r="R3461" i="1"/>
  <c r="Q3461" i="1"/>
  <c r="P3461" i="1"/>
  <c r="T3460" i="1"/>
  <c r="S3460" i="1"/>
  <c r="R3460" i="1"/>
  <c r="Q3460" i="1"/>
  <c r="P3460" i="1"/>
  <c r="T3459" i="1"/>
  <c r="S3459" i="1"/>
  <c r="R3459" i="1"/>
  <c r="Q3459" i="1"/>
  <c r="P3459" i="1"/>
  <c r="T3458" i="1"/>
  <c r="S3458" i="1"/>
  <c r="R3458" i="1"/>
  <c r="Q3458" i="1"/>
  <c r="P3458" i="1"/>
  <c r="T3457" i="1"/>
  <c r="S3457" i="1"/>
  <c r="R3457" i="1"/>
  <c r="Q3457" i="1"/>
  <c r="P3457" i="1"/>
  <c r="T3456" i="1"/>
  <c r="S3456" i="1"/>
  <c r="R3456" i="1"/>
  <c r="Q3456" i="1"/>
  <c r="P3456" i="1"/>
  <c r="T3455" i="1"/>
  <c r="S3455" i="1"/>
  <c r="R3455" i="1"/>
  <c r="Q3455" i="1"/>
  <c r="P3455" i="1"/>
  <c r="T3454" i="1"/>
  <c r="S3454" i="1"/>
  <c r="R3454" i="1"/>
  <c r="Q3454" i="1"/>
  <c r="P3454" i="1"/>
  <c r="T3453" i="1"/>
  <c r="S3453" i="1"/>
  <c r="R3453" i="1"/>
  <c r="Q3453" i="1"/>
  <c r="P3453" i="1"/>
  <c r="T3452" i="1"/>
  <c r="S3452" i="1"/>
  <c r="R3452" i="1"/>
  <c r="Q3452" i="1"/>
  <c r="P3452" i="1"/>
  <c r="T3451" i="1"/>
  <c r="S3451" i="1"/>
  <c r="R3451" i="1"/>
  <c r="Q3451" i="1"/>
  <c r="P3451" i="1"/>
  <c r="T3450" i="1"/>
  <c r="S3450" i="1"/>
  <c r="R3450" i="1"/>
  <c r="Q3450" i="1"/>
  <c r="P3450" i="1"/>
  <c r="T3449" i="1"/>
  <c r="S3449" i="1"/>
  <c r="R3449" i="1"/>
  <c r="Q3449" i="1"/>
  <c r="P3449" i="1"/>
  <c r="T3448" i="1"/>
  <c r="S3448" i="1"/>
  <c r="R3448" i="1"/>
  <c r="Q3448" i="1"/>
  <c r="P3448" i="1"/>
  <c r="T3447" i="1"/>
  <c r="S3447" i="1"/>
  <c r="R3447" i="1"/>
  <c r="Q3447" i="1"/>
  <c r="P3447" i="1"/>
  <c r="T3446" i="1"/>
  <c r="S3446" i="1"/>
  <c r="R3446" i="1"/>
  <c r="Q3446" i="1"/>
  <c r="P3446" i="1"/>
  <c r="T3445" i="1"/>
  <c r="S3445" i="1"/>
  <c r="R3445" i="1"/>
  <c r="Q3445" i="1"/>
  <c r="P3445" i="1"/>
  <c r="T3444" i="1"/>
  <c r="S3444" i="1"/>
  <c r="R3444" i="1"/>
  <c r="Q3444" i="1"/>
  <c r="P3444" i="1"/>
  <c r="T3443" i="1"/>
  <c r="S3443" i="1"/>
  <c r="R3443" i="1"/>
  <c r="Q3443" i="1"/>
  <c r="P3443" i="1"/>
  <c r="T3442" i="1"/>
  <c r="S3442" i="1"/>
  <c r="R3442" i="1"/>
  <c r="Q3442" i="1"/>
  <c r="P3442" i="1"/>
  <c r="T3441" i="1"/>
  <c r="S3441" i="1"/>
  <c r="R3441" i="1"/>
  <c r="Q3441" i="1"/>
  <c r="P3441" i="1"/>
  <c r="T3440" i="1"/>
  <c r="S3440" i="1"/>
  <c r="R3440" i="1"/>
  <c r="Q3440" i="1"/>
  <c r="P3440" i="1"/>
  <c r="T3439" i="1"/>
  <c r="S3439" i="1"/>
  <c r="R3439" i="1"/>
  <c r="Q3439" i="1"/>
  <c r="P3439" i="1"/>
  <c r="T3438" i="1"/>
  <c r="S3438" i="1"/>
  <c r="R3438" i="1"/>
  <c r="Q3438" i="1"/>
  <c r="P3438" i="1"/>
  <c r="T3437" i="1"/>
  <c r="S3437" i="1"/>
  <c r="R3437" i="1"/>
  <c r="Q3437" i="1"/>
  <c r="P3437" i="1"/>
  <c r="T3436" i="1"/>
  <c r="S3436" i="1"/>
  <c r="R3436" i="1"/>
  <c r="Q3436" i="1"/>
  <c r="P3436" i="1"/>
  <c r="T3435" i="1"/>
  <c r="S3435" i="1"/>
  <c r="R3435" i="1"/>
  <c r="Q3435" i="1"/>
  <c r="P3435" i="1"/>
  <c r="T3434" i="1"/>
  <c r="S3434" i="1"/>
  <c r="R3434" i="1"/>
  <c r="Q3434" i="1"/>
  <c r="P3434" i="1"/>
  <c r="T3433" i="1"/>
  <c r="S3433" i="1"/>
  <c r="R3433" i="1"/>
  <c r="Q3433" i="1"/>
  <c r="P3433" i="1"/>
  <c r="T3432" i="1"/>
  <c r="S3432" i="1"/>
  <c r="R3432" i="1"/>
  <c r="Q3432" i="1"/>
  <c r="P3432" i="1"/>
  <c r="T3431" i="1"/>
  <c r="S3431" i="1"/>
  <c r="R3431" i="1"/>
  <c r="Q3431" i="1"/>
  <c r="P3431" i="1"/>
  <c r="T3430" i="1"/>
  <c r="S3430" i="1"/>
  <c r="R3430" i="1"/>
  <c r="Q3430" i="1"/>
  <c r="P3430" i="1"/>
  <c r="T3429" i="1"/>
  <c r="S3429" i="1"/>
  <c r="R3429" i="1"/>
  <c r="Q3429" i="1"/>
  <c r="P3429" i="1"/>
  <c r="T3428" i="1"/>
  <c r="S3428" i="1"/>
  <c r="R3428" i="1"/>
  <c r="Q3428" i="1"/>
  <c r="P3428" i="1"/>
  <c r="T3427" i="1"/>
  <c r="S3427" i="1"/>
  <c r="R3427" i="1"/>
  <c r="Q3427" i="1"/>
  <c r="P3427" i="1"/>
  <c r="T3426" i="1"/>
  <c r="S3426" i="1"/>
  <c r="R3426" i="1"/>
  <c r="Q3426" i="1"/>
  <c r="P3426" i="1"/>
  <c r="T3425" i="1"/>
  <c r="S3425" i="1"/>
  <c r="R3425" i="1"/>
  <c r="Q3425" i="1"/>
  <c r="P3425" i="1"/>
  <c r="T3424" i="1"/>
  <c r="S3424" i="1"/>
  <c r="R3424" i="1"/>
  <c r="Q3424" i="1"/>
  <c r="P3424" i="1"/>
  <c r="T3423" i="1"/>
  <c r="S3423" i="1"/>
  <c r="R3423" i="1"/>
  <c r="Q3423" i="1"/>
  <c r="P3423" i="1"/>
  <c r="T3422" i="1"/>
  <c r="S3422" i="1"/>
  <c r="R3422" i="1"/>
  <c r="Q3422" i="1"/>
  <c r="P3422" i="1"/>
  <c r="T3421" i="1"/>
  <c r="S3421" i="1"/>
  <c r="R3421" i="1"/>
  <c r="Q3421" i="1"/>
  <c r="P3421" i="1"/>
  <c r="T3420" i="1"/>
  <c r="S3420" i="1"/>
  <c r="R3420" i="1"/>
  <c r="Q3420" i="1"/>
  <c r="P3420" i="1"/>
  <c r="T3419" i="1"/>
  <c r="S3419" i="1"/>
  <c r="R3419" i="1"/>
  <c r="Q3419" i="1"/>
  <c r="P3419" i="1"/>
  <c r="T3418" i="1"/>
  <c r="S3418" i="1"/>
  <c r="R3418" i="1"/>
  <c r="Q3418" i="1"/>
  <c r="P3418" i="1"/>
  <c r="T3417" i="1"/>
  <c r="S3417" i="1"/>
  <c r="R3417" i="1"/>
  <c r="Q3417" i="1"/>
  <c r="P3417" i="1"/>
  <c r="T3416" i="1"/>
  <c r="S3416" i="1"/>
  <c r="R3416" i="1"/>
  <c r="Q3416" i="1"/>
  <c r="P3416" i="1"/>
  <c r="T3415" i="1"/>
  <c r="S3415" i="1"/>
  <c r="R3415" i="1"/>
  <c r="Q3415" i="1"/>
  <c r="P3415" i="1"/>
  <c r="T3414" i="1"/>
  <c r="S3414" i="1"/>
  <c r="R3414" i="1"/>
  <c r="Q3414" i="1"/>
  <c r="P3414" i="1"/>
  <c r="T3413" i="1"/>
  <c r="S3413" i="1"/>
  <c r="R3413" i="1"/>
  <c r="Q3413" i="1"/>
  <c r="P3413" i="1"/>
  <c r="T3412" i="1"/>
  <c r="S3412" i="1"/>
  <c r="R3412" i="1"/>
  <c r="Q3412" i="1"/>
  <c r="P3412" i="1"/>
  <c r="T3411" i="1"/>
  <c r="S3411" i="1"/>
  <c r="R3411" i="1"/>
  <c r="Q3411" i="1"/>
  <c r="P3411" i="1"/>
  <c r="T3410" i="1"/>
  <c r="S3410" i="1"/>
  <c r="R3410" i="1"/>
  <c r="Q3410" i="1"/>
  <c r="P3410" i="1"/>
  <c r="T3409" i="1"/>
  <c r="S3409" i="1"/>
  <c r="R3409" i="1"/>
  <c r="Q3409" i="1"/>
  <c r="P3409" i="1"/>
  <c r="T3408" i="1"/>
  <c r="S3408" i="1"/>
  <c r="R3408" i="1"/>
  <c r="Q3408" i="1"/>
  <c r="P3408" i="1"/>
  <c r="T3407" i="1"/>
  <c r="S3407" i="1"/>
  <c r="R3407" i="1"/>
  <c r="Q3407" i="1"/>
  <c r="P3407" i="1"/>
  <c r="T3406" i="1"/>
  <c r="S3406" i="1"/>
  <c r="R3406" i="1"/>
  <c r="Q3406" i="1"/>
  <c r="P3406" i="1"/>
  <c r="T3405" i="1"/>
  <c r="S3405" i="1"/>
  <c r="R3405" i="1"/>
  <c r="Q3405" i="1"/>
  <c r="P3405" i="1"/>
  <c r="T3404" i="1"/>
  <c r="S3404" i="1"/>
  <c r="R3404" i="1"/>
  <c r="Q3404" i="1"/>
  <c r="P3404" i="1"/>
  <c r="T3403" i="1"/>
  <c r="S3403" i="1"/>
  <c r="R3403" i="1"/>
  <c r="Q3403" i="1"/>
  <c r="P3403" i="1"/>
  <c r="T3402" i="1"/>
  <c r="S3402" i="1"/>
  <c r="R3402" i="1"/>
  <c r="Q3402" i="1"/>
  <c r="P3402" i="1"/>
  <c r="T3401" i="1"/>
  <c r="S3401" i="1"/>
  <c r="R3401" i="1"/>
  <c r="Q3401" i="1"/>
  <c r="P3401" i="1"/>
  <c r="T3400" i="1"/>
  <c r="S3400" i="1"/>
  <c r="R3400" i="1"/>
  <c r="Q3400" i="1"/>
  <c r="P3400" i="1"/>
  <c r="T3399" i="1"/>
  <c r="S3399" i="1"/>
  <c r="R3399" i="1"/>
  <c r="Q3399" i="1"/>
  <c r="P3399" i="1"/>
  <c r="T3398" i="1"/>
  <c r="S3398" i="1"/>
  <c r="R3398" i="1"/>
  <c r="Q3398" i="1"/>
  <c r="P3398" i="1"/>
  <c r="T3397" i="1"/>
  <c r="S3397" i="1"/>
  <c r="R3397" i="1"/>
  <c r="Q3397" i="1"/>
  <c r="P3397" i="1"/>
  <c r="T3396" i="1"/>
  <c r="S3396" i="1"/>
  <c r="R3396" i="1"/>
  <c r="Q3396" i="1"/>
  <c r="P3396" i="1"/>
  <c r="T3395" i="1"/>
  <c r="S3395" i="1"/>
  <c r="R3395" i="1"/>
  <c r="Q3395" i="1"/>
  <c r="P3395" i="1"/>
  <c r="T3394" i="1"/>
  <c r="S3394" i="1"/>
  <c r="R3394" i="1"/>
  <c r="Q3394" i="1"/>
  <c r="P3394" i="1"/>
  <c r="T3393" i="1"/>
  <c r="S3393" i="1"/>
  <c r="R3393" i="1"/>
  <c r="Q3393" i="1"/>
  <c r="P3393" i="1"/>
  <c r="T3392" i="1"/>
  <c r="S3392" i="1"/>
  <c r="R3392" i="1"/>
  <c r="Q3392" i="1"/>
  <c r="P3392" i="1"/>
  <c r="T3391" i="1"/>
  <c r="S3391" i="1"/>
  <c r="R3391" i="1"/>
  <c r="Q3391" i="1"/>
  <c r="P3391" i="1"/>
  <c r="T3390" i="1"/>
  <c r="S3390" i="1"/>
  <c r="R3390" i="1"/>
  <c r="Q3390" i="1"/>
  <c r="P3390" i="1"/>
  <c r="T3389" i="1"/>
  <c r="S3389" i="1"/>
  <c r="R3389" i="1"/>
  <c r="Q3389" i="1"/>
  <c r="P3389" i="1"/>
  <c r="T3388" i="1"/>
  <c r="S3388" i="1"/>
  <c r="R3388" i="1"/>
  <c r="Q3388" i="1"/>
  <c r="P3388" i="1"/>
  <c r="T3387" i="1"/>
  <c r="S3387" i="1"/>
  <c r="R3387" i="1"/>
  <c r="Q3387" i="1"/>
  <c r="P3387" i="1"/>
  <c r="T3386" i="1"/>
  <c r="S3386" i="1"/>
  <c r="R3386" i="1"/>
  <c r="Q3386" i="1"/>
  <c r="P3386" i="1"/>
  <c r="T3385" i="1"/>
  <c r="S3385" i="1"/>
  <c r="R3385" i="1"/>
  <c r="Q3385" i="1"/>
  <c r="P3385" i="1"/>
  <c r="T3384" i="1"/>
  <c r="S3384" i="1"/>
  <c r="R3384" i="1"/>
  <c r="Q3384" i="1"/>
  <c r="P3384" i="1"/>
  <c r="T3383" i="1"/>
  <c r="S3383" i="1"/>
  <c r="R3383" i="1"/>
  <c r="Q3383" i="1"/>
  <c r="P3383" i="1"/>
  <c r="T3382" i="1"/>
  <c r="S3382" i="1"/>
  <c r="R3382" i="1"/>
  <c r="Q3382" i="1"/>
  <c r="P3382" i="1"/>
  <c r="T3381" i="1"/>
  <c r="S3381" i="1"/>
  <c r="R3381" i="1"/>
  <c r="Q3381" i="1"/>
  <c r="P3381" i="1"/>
  <c r="T3380" i="1"/>
  <c r="S3380" i="1"/>
  <c r="R3380" i="1"/>
  <c r="Q3380" i="1"/>
  <c r="P3380" i="1"/>
  <c r="T3379" i="1"/>
  <c r="S3379" i="1"/>
  <c r="R3379" i="1"/>
  <c r="Q3379" i="1"/>
  <c r="P3379" i="1"/>
  <c r="T3378" i="1"/>
  <c r="S3378" i="1"/>
  <c r="R3378" i="1"/>
  <c r="Q3378" i="1"/>
  <c r="P3378" i="1"/>
  <c r="T3377" i="1"/>
  <c r="S3377" i="1"/>
  <c r="R3377" i="1"/>
  <c r="Q3377" i="1"/>
  <c r="P3377" i="1"/>
  <c r="T3376" i="1"/>
  <c r="S3376" i="1"/>
  <c r="R3376" i="1"/>
  <c r="Q3376" i="1"/>
  <c r="P3376" i="1"/>
  <c r="T3375" i="1"/>
  <c r="S3375" i="1"/>
  <c r="R3375" i="1"/>
  <c r="Q3375" i="1"/>
  <c r="P3375" i="1"/>
  <c r="T3374" i="1"/>
  <c r="S3374" i="1"/>
  <c r="R3374" i="1"/>
  <c r="Q3374" i="1"/>
  <c r="P3374" i="1"/>
  <c r="T3373" i="1"/>
  <c r="S3373" i="1"/>
  <c r="R3373" i="1"/>
  <c r="Q3373" i="1"/>
  <c r="P3373" i="1"/>
  <c r="T3372" i="1"/>
  <c r="S3372" i="1"/>
  <c r="R3372" i="1"/>
  <c r="Q3372" i="1"/>
  <c r="P3372" i="1"/>
  <c r="T3371" i="1"/>
  <c r="S3371" i="1"/>
  <c r="R3371" i="1"/>
  <c r="Q3371" i="1"/>
  <c r="P3371" i="1"/>
  <c r="T3370" i="1"/>
  <c r="S3370" i="1"/>
  <c r="R3370" i="1"/>
  <c r="Q3370" i="1"/>
  <c r="P3370" i="1"/>
  <c r="T3369" i="1"/>
  <c r="S3369" i="1"/>
  <c r="R3369" i="1"/>
  <c r="Q3369" i="1"/>
  <c r="P3369" i="1"/>
  <c r="T3368" i="1"/>
  <c r="S3368" i="1"/>
  <c r="R3368" i="1"/>
  <c r="Q3368" i="1"/>
  <c r="P3368" i="1"/>
  <c r="T3367" i="1"/>
  <c r="S3367" i="1"/>
  <c r="R3367" i="1"/>
  <c r="Q3367" i="1"/>
  <c r="P3367" i="1"/>
  <c r="T3366" i="1"/>
  <c r="S3366" i="1"/>
  <c r="R3366" i="1"/>
  <c r="Q3366" i="1"/>
  <c r="P3366" i="1"/>
  <c r="T3365" i="1"/>
  <c r="S3365" i="1"/>
  <c r="R3365" i="1"/>
  <c r="Q3365" i="1"/>
  <c r="P3365" i="1"/>
  <c r="T3364" i="1"/>
  <c r="S3364" i="1"/>
  <c r="R3364" i="1"/>
  <c r="Q3364" i="1"/>
  <c r="P3364" i="1"/>
  <c r="T3363" i="1"/>
  <c r="S3363" i="1"/>
  <c r="R3363" i="1"/>
  <c r="Q3363" i="1"/>
  <c r="P3363" i="1"/>
  <c r="T3362" i="1"/>
  <c r="S3362" i="1"/>
  <c r="R3362" i="1"/>
  <c r="Q3362" i="1"/>
  <c r="P3362" i="1"/>
  <c r="T3361" i="1"/>
  <c r="S3361" i="1"/>
  <c r="R3361" i="1"/>
  <c r="Q3361" i="1"/>
  <c r="P3361" i="1"/>
  <c r="T3360" i="1"/>
  <c r="S3360" i="1"/>
  <c r="R3360" i="1"/>
  <c r="Q3360" i="1"/>
  <c r="P3360" i="1"/>
  <c r="T3359" i="1"/>
  <c r="S3359" i="1"/>
  <c r="R3359" i="1"/>
  <c r="Q3359" i="1"/>
  <c r="P3359" i="1"/>
  <c r="T3358" i="1"/>
  <c r="S3358" i="1"/>
  <c r="R3358" i="1"/>
  <c r="Q3358" i="1"/>
  <c r="P3358" i="1"/>
  <c r="T3357" i="1"/>
  <c r="S3357" i="1"/>
  <c r="R3357" i="1"/>
  <c r="Q3357" i="1"/>
  <c r="P3357" i="1"/>
  <c r="T3356" i="1"/>
  <c r="S3356" i="1"/>
  <c r="R3356" i="1"/>
  <c r="Q3356" i="1"/>
  <c r="P3356" i="1"/>
  <c r="T3355" i="1"/>
  <c r="S3355" i="1"/>
  <c r="R3355" i="1"/>
  <c r="Q3355" i="1"/>
  <c r="P3355" i="1"/>
  <c r="T3354" i="1"/>
  <c r="S3354" i="1"/>
  <c r="R3354" i="1"/>
  <c r="Q3354" i="1"/>
  <c r="P3354" i="1"/>
  <c r="T3353" i="1"/>
  <c r="S3353" i="1"/>
  <c r="R3353" i="1"/>
  <c r="Q3353" i="1"/>
  <c r="P3353" i="1"/>
  <c r="T3352" i="1"/>
  <c r="S3352" i="1"/>
  <c r="R3352" i="1"/>
  <c r="Q3352" i="1"/>
  <c r="P3352" i="1"/>
  <c r="T3351" i="1"/>
  <c r="S3351" i="1"/>
  <c r="R3351" i="1"/>
  <c r="Q3351" i="1"/>
  <c r="P3351" i="1"/>
  <c r="T3350" i="1"/>
  <c r="S3350" i="1"/>
  <c r="R3350" i="1"/>
  <c r="Q3350" i="1"/>
  <c r="P3350" i="1"/>
  <c r="T3349" i="1"/>
  <c r="S3349" i="1"/>
  <c r="R3349" i="1"/>
  <c r="Q3349" i="1"/>
  <c r="P3349" i="1"/>
  <c r="T3348" i="1"/>
  <c r="S3348" i="1"/>
  <c r="R3348" i="1"/>
  <c r="Q3348" i="1"/>
  <c r="P3348" i="1"/>
  <c r="T3347" i="1"/>
  <c r="S3347" i="1"/>
  <c r="R3347" i="1"/>
  <c r="Q3347" i="1"/>
  <c r="P3347" i="1"/>
  <c r="T3346" i="1"/>
  <c r="S3346" i="1"/>
  <c r="R3346" i="1"/>
  <c r="Q3346" i="1"/>
  <c r="P3346" i="1"/>
  <c r="T3345" i="1"/>
  <c r="S3345" i="1"/>
  <c r="R3345" i="1"/>
  <c r="Q3345" i="1"/>
  <c r="P3345" i="1"/>
  <c r="T3344" i="1"/>
  <c r="S3344" i="1"/>
  <c r="R3344" i="1"/>
  <c r="Q3344" i="1"/>
  <c r="P3344" i="1"/>
  <c r="T3343" i="1"/>
  <c r="S3343" i="1"/>
  <c r="R3343" i="1"/>
  <c r="Q3343" i="1"/>
  <c r="P3343" i="1"/>
  <c r="T3342" i="1"/>
  <c r="S3342" i="1"/>
  <c r="R3342" i="1"/>
  <c r="Q3342" i="1"/>
  <c r="P3342" i="1"/>
  <c r="T3341" i="1"/>
  <c r="S3341" i="1"/>
  <c r="R3341" i="1"/>
  <c r="Q3341" i="1"/>
  <c r="P3341" i="1"/>
  <c r="T3340" i="1"/>
  <c r="S3340" i="1"/>
  <c r="R3340" i="1"/>
  <c r="Q3340" i="1"/>
  <c r="P3340" i="1"/>
  <c r="T3339" i="1"/>
  <c r="S3339" i="1"/>
  <c r="R3339" i="1"/>
  <c r="Q3339" i="1"/>
  <c r="P3339" i="1"/>
  <c r="T3338" i="1"/>
  <c r="S3338" i="1"/>
  <c r="R3338" i="1"/>
  <c r="Q3338" i="1"/>
  <c r="P3338" i="1"/>
  <c r="T3337" i="1"/>
  <c r="S3337" i="1"/>
  <c r="R3337" i="1"/>
  <c r="Q3337" i="1"/>
  <c r="P3337" i="1"/>
  <c r="T3336" i="1"/>
  <c r="S3336" i="1"/>
  <c r="R3336" i="1"/>
  <c r="Q3336" i="1"/>
  <c r="P3336" i="1"/>
  <c r="T3335" i="1"/>
  <c r="S3335" i="1"/>
  <c r="R3335" i="1"/>
  <c r="Q3335" i="1"/>
  <c r="P3335" i="1"/>
  <c r="T3334" i="1"/>
  <c r="S3334" i="1"/>
  <c r="R3334" i="1"/>
  <c r="Q3334" i="1"/>
  <c r="P3334" i="1"/>
  <c r="T3333" i="1"/>
  <c r="S3333" i="1"/>
  <c r="R3333" i="1"/>
  <c r="Q3333" i="1"/>
  <c r="P3333" i="1"/>
  <c r="T3332" i="1"/>
  <c r="S3332" i="1"/>
  <c r="R3332" i="1"/>
  <c r="Q3332" i="1"/>
  <c r="P3332" i="1"/>
  <c r="T3331" i="1"/>
  <c r="S3331" i="1"/>
  <c r="R3331" i="1"/>
  <c r="Q3331" i="1"/>
  <c r="P3331" i="1"/>
  <c r="T3330" i="1"/>
  <c r="S3330" i="1"/>
  <c r="R3330" i="1"/>
  <c r="Q3330" i="1"/>
  <c r="P3330" i="1"/>
  <c r="T3329" i="1"/>
  <c r="S3329" i="1"/>
  <c r="R3329" i="1"/>
  <c r="Q3329" i="1"/>
  <c r="P3329" i="1"/>
  <c r="T3328" i="1"/>
  <c r="S3328" i="1"/>
  <c r="R3328" i="1"/>
  <c r="Q3328" i="1"/>
  <c r="P3328" i="1"/>
  <c r="T3327" i="1"/>
  <c r="S3327" i="1"/>
  <c r="R3327" i="1"/>
  <c r="Q3327" i="1"/>
  <c r="P3327" i="1"/>
  <c r="T3326" i="1"/>
  <c r="S3326" i="1"/>
  <c r="R3326" i="1"/>
  <c r="Q3326" i="1"/>
  <c r="P3326" i="1"/>
  <c r="T3325" i="1"/>
  <c r="S3325" i="1"/>
  <c r="R3325" i="1"/>
  <c r="Q3325" i="1"/>
  <c r="P3325" i="1"/>
  <c r="T3324" i="1"/>
  <c r="S3324" i="1"/>
  <c r="R3324" i="1"/>
  <c r="Q3324" i="1"/>
  <c r="P3324" i="1"/>
  <c r="T3323" i="1"/>
  <c r="S3323" i="1"/>
  <c r="R3323" i="1"/>
  <c r="Q3323" i="1"/>
  <c r="P3323" i="1"/>
  <c r="T3322" i="1"/>
  <c r="S3322" i="1"/>
  <c r="R3322" i="1"/>
  <c r="Q3322" i="1"/>
  <c r="P3322" i="1"/>
  <c r="T3321" i="1"/>
  <c r="S3321" i="1"/>
  <c r="R3321" i="1"/>
  <c r="Q3321" i="1"/>
  <c r="P3321" i="1"/>
  <c r="T3320" i="1"/>
  <c r="S3320" i="1"/>
  <c r="R3320" i="1"/>
  <c r="Q3320" i="1"/>
  <c r="P3320" i="1"/>
  <c r="T3319" i="1"/>
  <c r="S3319" i="1"/>
  <c r="R3319" i="1"/>
  <c r="Q3319" i="1"/>
  <c r="P3319" i="1"/>
  <c r="T3318" i="1"/>
  <c r="S3318" i="1"/>
  <c r="R3318" i="1"/>
  <c r="Q3318" i="1"/>
  <c r="P3318" i="1"/>
  <c r="T3317" i="1"/>
  <c r="S3317" i="1"/>
  <c r="R3317" i="1"/>
  <c r="Q3317" i="1"/>
  <c r="P3317" i="1"/>
  <c r="T3316" i="1"/>
  <c r="S3316" i="1"/>
  <c r="R3316" i="1"/>
  <c r="Q3316" i="1"/>
  <c r="P3316" i="1"/>
  <c r="T3315" i="1"/>
  <c r="S3315" i="1"/>
  <c r="R3315" i="1"/>
  <c r="Q3315" i="1"/>
  <c r="P3315" i="1"/>
  <c r="T3314" i="1"/>
  <c r="S3314" i="1"/>
  <c r="R3314" i="1"/>
  <c r="Q3314" i="1"/>
  <c r="P3314" i="1"/>
  <c r="T3313" i="1"/>
  <c r="S3313" i="1"/>
  <c r="R3313" i="1"/>
  <c r="Q3313" i="1"/>
  <c r="P3313" i="1"/>
  <c r="T3312" i="1"/>
  <c r="S3312" i="1"/>
  <c r="R3312" i="1"/>
  <c r="Q3312" i="1"/>
  <c r="P3312" i="1"/>
  <c r="T3311" i="1"/>
  <c r="S3311" i="1"/>
  <c r="R3311" i="1"/>
  <c r="Q3311" i="1"/>
  <c r="P3311" i="1"/>
  <c r="T3310" i="1"/>
  <c r="S3310" i="1"/>
  <c r="R3310" i="1"/>
  <c r="Q3310" i="1"/>
  <c r="P3310" i="1"/>
  <c r="T3309" i="1"/>
  <c r="S3309" i="1"/>
  <c r="R3309" i="1"/>
  <c r="Q3309" i="1"/>
  <c r="P3309" i="1"/>
  <c r="T3308" i="1"/>
  <c r="S3308" i="1"/>
  <c r="R3308" i="1"/>
  <c r="Q3308" i="1"/>
  <c r="P3308" i="1"/>
  <c r="T3307" i="1"/>
  <c r="S3307" i="1"/>
  <c r="R3307" i="1"/>
  <c r="Q3307" i="1"/>
  <c r="P3307" i="1"/>
  <c r="T3306" i="1"/>
  <c r="S3306" i="1"/>
  <c r="R3306" i="1"/>
  <c r="Q3306" i="1"/>
  <c r="P3306" i="1"/>
  <c r="T3305" i="1"/>
  <c r="S3305" i="1"/>
  <c r="R3305" i="1"/>
  <c r="Q3305" i="1"/>
  <c r="P3305" i="1"/>
  <c r="T3304" i="1"/>
  <c r="S3304" i="1"/>
  <c r="R3304" i="1"/>
  <c r="Q3304" i="1"/>
  <c r="P3304" i="1"/>
  <c r="T3303" i="1"/>
  <c r="S3303" i="1"/>
  <c r="R3303" i="1"/>
  <c r="Q3303" i="1"/>
  <c r="P3303" i="1"/>
  <c r="T3302" i="1"/>
  <c r="S3302" i="1"/>
  <c r="R3302" i="1"/>
  <c r="Q3302" i="1"/>
  <c r="P3302" i="1"/>
  <c r="T3301" i="1"/>
  <c r="S3301" i="1"/>
  <c r="R3301" i="1"/>
  <c r="Q3301" i="1"/>
  <c r="P3301" i="1"/>
  <c r="T3300" i="1"/>
  <c r="S3300" i="1"/>
  <c r="R3300" i="1"/>
  <c r="Q3300" i="1"/>
  <c r="P3300" i="1"/>
  <c r="T3299" i="1"/>
  <c r="S3299" i="1"/>
  <c r="R3299" i="1"/>
  <c r="Q3299" i="1"/>
  <c r="P3299" i="1"/>
  <c r="T3298" i="1"/>
  <c r="S3298" i="1"/>
  <c r="R3298" i="1"/>
  <c r="Q3298" i="1"/>
  <c r="P3298" i="1"/>
  <c r="T3297" i="1"/>
  <c r="S3297" i="1"/>
  <c r="R3297" i="1"/>
  <c r="Q3297" i="1"/>
  <c r="P3297" i="1"/>
  <c r="T3296" i="1"/>
  <c r="S3296" i="1"/>
  <c r="R3296" i="1"/>
  <c r="Q3296" i="1"/>
  <c r="P3296" i="1"/>
  <c r="T3295" i="1"/>
  <c r="S3295" i="1"/>
  <c r="R3295" i="1"/>
  <c r="Q3295" i="1"/>
  <c r="P3295" i="1"/>
  <c r="T3294" i="1"/>
  <c r="S3294" i="1"/>
  <c r="R3294" i="1"/>
  <c r="Q3294" i="1"/>
  <c r="P3294" i="1"/>
  <c r="T3293" i="1"/>
  <c r="S3293" i="1"/>
  <c r="R3293" i="1"/>
  <c r="Q3293" i="1"/>
  <c r="P3293" i="1"/>
  <c r="T3292" i="1"/>
  <c r="S3292" i="1"/>
  <c r="R3292" i="1"/>
  <c r="Q3292" i="1"/>
  <c r="P3292" i="1"/>
  <c r="T3291" i="1"/>
  <c r="S3291" i="1"/>
  <c r="R3291" i="1"/>
  <c r="Q3291" i="1"/>
  <c r="P3291" i="1"/>
  <c r="T3290" i="1"/>
  <c r="S3290" i="1"/>
  <c r="R3290" i="1"/>
  <c r="Q3290" i="1"/>
  <c r="P3290" i="1"/>
  <c r="T3289" i="1"/>
  <c r="S3289" i="1"/>
  <c r="R3289" i="1"/>
  <c r="Q3289" i="1"/>
  <c r="P3289" i="1"/>
  <c r="T3288" i="1"/>
  <c r="S3288" i="1"/>
  <c r="R3288" i="1"/>
  <c r="Q3288" i="1"/>
  <c r="P3288" i="1"/>
  <c r="T3287" i="1"/>
  <c r="S3287" i="1"/>
  <c r="R3287" i="1"/>
  <c r="Q3287" i="1"/>
  <c r="P3287" i="1"/>
  <c r="T3286" i="1"/>
  <c r="S3286" i="1"/>
  <c r="R3286" i="1"/>
  <c r="Q3286" i="1"/>
  <c r="P3286" i="1"/>
  <c r="T3285" i="1"/>
  <c r="S3285" i="1"/>
  <c r="R3285" i="1"/>
  <c r="Q3285" i="1"/>
  <c r="P3285" i="1"/>
  <c r="T3284" i="1"/>
  <c r="S3284" i="1"/>
  <c r="R3284" i="1"/>
  <c r="Q3284" i="1"/>
  <c r="P3284" i="1"/>
  <c r="T3283" i="1"/>
  <c r="S3283" i="1"/>
  <c r="R3283" i="1"/>
  <c r="Q3283" i="1"/>
  <c r="P3283" i="1"/>
  <c r="T3282" i="1"/>
  <c r="S3282" i="1"/>
  <c r="R3282" i="1"/>
  <c r="Q3282" i="1"/>
  <c r="P3282" i="1"/>
  <c r="T3281" i="1"/>
  <c r="S3281" i="1"/>
  <c r="R3281" i="1"/>
  <c r="Q3281" i="1"/>
  <c r="P3281" i="1"/>
  <c r="T3280" i="1"/>
  <c r="S3280" i="1"/>
  <c r="R3280" i="1"/>
  <c r="Q3280" i="1"/>
  <c r="P3280" i="1"/>
  <c r="T3279" i="1"/>
  <c r="S3279" i="1"/>
  <c r="R3279" i="1"/>
  <c r="Q3279" i="1"/>
  <c r="P3279" i="1"/>
  <c r="T3278" i="1"/>
  <c r="S3278" i="1"/>
  <c r="R3278" i="1"/>
  <c r="Q3278" i="1"/>
  <c r="P3278" i="1"/>
  <c r="T3277" i="1"/>
  <c r="S3277" i="1"/>
  <c r="R3277" i="1"/>
  <c r="Q3277" i="1"/>
  <c r="P3277" i="1"/>
  <c r="T3276" i="1"/>
  <c r="S3276" i="1"/>
  <c r="R3276" i="1"/>
  <c r="Q3276" i="1"/>
  <c r="P3276" i="1"/>
  <c r="T3275" i="1"/>
  <c r="S3275" i="1"/>
  <c r="R3275" i="1"/>
  <c r="Q3275" i="1"/>
  <c r="P3275" i="1"/>
  <c r="T3274" i="1"/>
  <c r="S3274" i="1"/>
  <c r="R3274" i="1"/>
  <c r="Q3274" i="1"/>
  <c r="P3274" i="1"/>
  <c r="T3273" i="1"/>
  <c r="S3273" i="1"/>
  <c r="R3273" i="1"/>
  <c r="Q3273" i="1"/>
  <c r="P3273" i="1"/>
  <c r="T3272" i="1"/>
  <c r="S3272" i="1"/>
  <c r="R3272" i="1"/>
  <c r="Q3272" i="1"/>
  <c r="P3272" i="1"/>
  <c r="T3271" i="1"/>
  <c r="S3271" i="1"/>
  <c r="R3271" i="1"/>
  <c r="Q3271" i="1"/>
  <c r="P3271" i="1"/>
  <c r="T3270" i="1"/>
  <c r="S3270" i="1"/>
  <c r="R3270" i="1"/>
  <c r="Q3270" i="1"/>
  <c r="P3270" i="1"/>
  <c r="T3269" i="1"/>
  <c r="S3269" i="1"/>
  <c r="R3269" i="1"/>
  <c r="Q3269" i="1"/>
  <c r="P3269" i="1"/>
  <c r="T3268" i="1"/>
  <c r="S3268" i="1"/>
  <c r="R3268" i="1"/>
  <c r="Q3268" i="1"/>
  <c r="P3268" i="1"/>
  <c r="T3267" i="1"/>
  <c r="S3267" i="1"/>
  <c r="R3267" i="1"/>
  <c r="Q3267" i="1"/>
  <c r="P3267" i="1"/>
  <c r="T3266" i="1"/>
  <c r="S3266" i="1"/>
  <c r="R3266" i="1"/>
  <c r="Q3266" i="1"/>
  <c r="P3266" i="1"/>
  <c r="T3265" i="1"/>
  <c r="S3265" i="1"/>
  <c r="R3265" i="1"/>
  <c r="Q3265" i="1"/>
  <c r="P3265" i="1"/>
  <c r="T3264" i="1"/>
  <c r="S3264" i="1"/>
  <c r="R3264" i="1"/>
  <c r="Q3264" i="1"/>
  <c r="P3264" i="1"/>
  <c r="T3263" i="1"/>
  <c r="S3263" i="1"/>
  <c r="R3263" i="1"/>
  <c r="Q3263" i="1"/>
  <c r="P3263" i="1"/>
  <c r="T3262" i="1"/>
  <c r="S3262" i="1"/>
  <c r="R3262" i="1"/>
  <c r="Q3262" i="1"/>
  <c r="P3262" i="1"/>
  <c r="T3261" i="1"/>
  <c r="S3261" i="1"/>
  <c r="R3261" i="1"/>
  <c r="Q3261" i="1"/>
  <c r="P3261" i="1"/>
  <c r="T3260" i="1"/>
  <c r="S3260" i="1"/>
  <c r="R3260" i="1"/>
  <c r="Q3260" i="1"/>
  <c r="P3260" i="1"/>
  <c r="T3259" i="1"/>
  <c r="S3259" i="1"/>
  <c r="R3259" i="1"/>
  <c r="Q3259" i="1"/>
  <c r="P3259" i="1"/>
  <c r="T3258" i="1"/>
  <c r="S3258" i="1"/>
  <c r="R3258" i="1"/>
  <c r="Q3258" i="1"/>
  <c r="P3258" i="1"/>
  <c r="T3257" i="1"/>
  <c r="S3257" i="1"/>
  <c r="R3257" i="1"/>
  <c r="Q3257" i="1"/>
  <c r="P3257" i="1"/>
  <c r="T3256" i="1"/>
  <c r="S3256" i="1"/>
  <c r="R3256" i="1"/>
  <c r="Q3256" i="1"/>
  <c r="P3256" i="1"/>
  <c r="T3255" i="1"/>
  <c r="S3255" i="1"/>
  <c r="R3255" i="1"/>
  <c r="Q3255" i="1"/>
  <c r="P3255" i="1"/>
  <c r="T3254" i="1"/>
  <c r="S3254" i="1"/>
  <c r="R3254" i="1"/>
  <c r="Q3254" i="1"/>
  <c r="P3254" i="1"/>
  <c r="T3253" i="1"/>
  <c r="S3253" i="1"/>
  <c r="R3253" i="1"/>
  <c r="Q3253" i="1"/>
  <c r="P3253" i="1"/>
  <c r="T3252" i="1"/>
  <c r="S3252" i="1"/>
  <c r="R3252" i="1"/>
  <c r="Q3252" i="1"/>
  <c r="P3252" i="1"/>
  <c r="T3251" i="1"/>
  <c r="S3251" i="1"/>
  <c r="R3251" i="1"/>
  <c r="Q3251" i="1"/>
  <c r="P3251" i="1"/>
  <c r="T3250" i="1"/>
  <c r="S3250" i="1"/>
  <c r="R3250" i="1"/>
  <c r="Q3250" i="1"/>
  <c r="P3250" i="1"/>
  <c r="T3249" i="1"/>
  <c r="S3249" i="1"/>
  <c r="R3249" i="1"/>
  <c r="Q3249" i="1"/>
  <c r="P3249" i="1"/>
  <c r="T3248" i="1"/>
  <c r="S3248" i="1"/>
  <c r="R3248" i="1"/>
  <c r="Q3248" i="1"/>
  <c r="P3248" i="1"/>
  <c r="T3247" i="1"/>
  <c r="S3247" i="1"/>
  <c r="R3247" i="1"/>
  <c r="Q3247" i="1"/>
  <c r="P3247" i="1"/>
  <c r="T3246" i="1"/>
  <c r="S3246" i="1"/>
  <c r="R3246" i="1"/>
  <c r="Q3246" i="1"/>
  <c r="P3246" i="1"/>
  <c r="T3245" i="1"/>
  <c r="S3245" i="1"/>
  <c r="R3245" i="1"/>
  <c r="Q3245" i="1"/>
  <c r="P3245" i="1"/>
  <c r="T3244" i="1"/>
  <c r="S3244" i="1"/>
  <c r="R3244" i="1"/>
  <c r="Q3244" i="1"/>
  <c r="P3244" i="1"/>
  <c r="T3243" i="1"/>
  <c r="S3243" i="1"/>
  <c r="R3243" i="1"/>
  <c r="Q3243" i="1"/>
  <c r="P3243" i="1"/>
  <c r="T3242" i="1"/>
  <c r="S3242" i="1"/>
  <c r="R3242" i="1"/>
  <c r="Q3242" i="1"/>
  <c r="P3242" i="1"/>
  <c r="T3241" i="1"/>
  <c r="S3241" i="1"/>
  <c r="R3241" i="1"/>
  <c r="Q3241" i="1"/>
  <c r="P3241" i="1"/>
  <c r="T3240" i="1"/>
  <c r="S3240" i="1"/>
  <c r="R3240" i="1"/>
  <c r="Q3240" i="1"/>
  <c r="P3240" i="1"/>
  <c r="T3239" i="1"/>
  <c r="S3239" i="1"/>
  <c r="R3239" i="1"/>
  <c r="Q3239" i="1"/>
  <c r="P3239" i="1"/>
  <c r="T3238" i="1"/>
  <c r="S3238" i="1"/>
  <c r="R3238" i="1"/>
  <c r="Q3238" i="1"/>
  <c r="P3238" i="1"/>
  <c r="T3237" i="1"/>
  <c r="S3237" i="1"/>
  <c r="R3237" i="1"/>
  <c r="Q3237" i="1"/>
  <c r="P3237" i="1"/>
  <c r="T3236" i="1"/>
  <c r="S3236" i="1"/>
  <c r="R3236" i="1"/>
  <c r="Q3236" i="1"/>
  <c r="P3236" i="1"/>
  <c r="T3235" i="1"/>
  <c r="S3235" i="1"/>
  <c r="R3235" i="1"/>
  <c r="Q3235" i="1"/>
  <c r="P3235" i="1"/>
  <c r="T3234" i="1"/>
  <c r="S3234" i="1"/>
  <c r="R3234" i="1"/>
  <c r="Q3234" i="1"/>
  <c r="P3234" i="1"/>
  <c r="T3233" i="1"/>
  <c r="S3233" i="1"/>
  <c r="R3233" i="1"/>
  <c r="Q3233" i="1"/>
  <c r="P3233" i="1"/>
  <c r="T3232" i="1"/>
  <c r="S3232" i="1"/>
  <c r="R3232" i="1"/>
  <c r="Q3232" i="1"/>
  <c r="P3232" i="1"/>
  <c r="T3231" i="1"/>
  <c r="S3231" i="1"/>
  <c r="R3231" i="1"/>
  <c r="Q3231" i="1"/>
  <c r="P3231" i="1"/>
  <c r="T3230" i="1"/>
  <c r="S3230" i="1"/>
  <c r="R3230" i="1"/>
  <c r="Q3230" i="1"/>
  <c r="P3230" i="1"/>
  <c r="T3229" i="1"/>
  <c r="S3229" i="1"/>
  <c r="R3229" i="1"/>
  <c r="Q3229" i="1"/>
  <c r="P3229" i="1"/>
  <c r="T3228" i="1"/>
  <c r="S3228" i="1"/>
  <c r="R3228" i="1"/>
  <c r="Q3228" i="1"/>
  <c r="P3228" i="1"/>
  <c r="T3227" i="1"/>
  <c r="S3227" i="1"/>
  <c r="R3227" i="1"/>
  <c r="Q3227" i="1"/>
  <c r="P3227" i="1"/>
  <c r="T3226" i="1"/>
  <c r="S3226" i="1"/>
  <c r="R3226" i="1"/>
  <c r="Q3226" i="1"/>
  <c r="P3226" i="1"/>
  <c r="T3225" i="1"/>
  <c r="S3225" i="1"/>
  <c r="R3225" i="1"/>
  <c r="Q3225" i="1"/>
  <c r="P3225" i="1"/>
  <c r="T3224" i="1"/>
  <c r="S3224" i="1"/>
  <c r="R3224" i="1"/>
  <c r="Q3224" i="1"/>
  <c r="P3224" i="1"/>
  <c r="T3223" i="1"/>
  <c r="S3223" i="1"/>
  <c r="R3223" i="1"/>
  <c r="Q3223" i="1"/>
  <c r="P3223" i="1"/>
  <c r="T3222" i="1"/>
  <c r="S3222" i="1"/>
  <c r="R3222" i="1"/>
  <c r="Q3222" i="1"/>
  <c r="P3222" i="1"/>
  <c r="T3221" i="1"/>
  <c r="S3221" i="1"/>
  <c r="R3221" i="1"/>
  <c r="Q3221" i="1"/>
  <c r="P3221" i="1"/>
  <c r="T3220" i="1"/>
  <c r="S3220" i="1"/>
  <c r="R3220" i="1"/>
  <c r="Q3220" i="1"/>
  <c r="P3220" i="1"/>
  <c r="T3219" i="1"/>
  <c r="S3219" i="1"/>
  <c r="R3219" i="1"/>
  <c r="Q3219" i="1"/>
  <c r="P3219" i="1"/>
  <c r="T3218" i="1"/>
  <c r="S3218" i="1"/>
  <c r="R3218" i="1"/>
  <c r="Q3218" i="1"/>
  <c r="P3218" i="1"/>
  <c r="T3217" i="1"/>
  <c r="S3217" i="1"/>
  <c r="R3217" i="1"/>
  <c r="Q3217" i="1"/>
  <c r="P3217" i="1"/>
  <c r="T3216" i="1"/>
  <c r="S3216" i="1"/>
  <c r="R3216" i="1"/>
  <c r="Q3216" i="1"/>
  <c r="P3216" i="1"/>
  <c r="T3215" i="1"/>
  <c r="S3215" i="1"/>
  <c r="R3215" i="1"/>
  <c r="Q3215" i="1"/>
  <c r="P3215" i="1"/>
  <c r="T3214" i="1"/>
  <c r="S3214" i="1"/>
  <c r="R3214" i="1"/>
  <c r="Q3214" i="1"/>
  <c r="P3214" i="1"/>
  <c r="T3213" i="1"/>
  <c r="S3213" i="1"/>
  <c r="R3213" i="1"/>
  <c r="Q3213" i="1"/>
  <c r="P3213" i="1"/>
  <c r="T3212" i="1"/>
  <c r="S3212" i="1"/>
  <c r="R3212" i="1"/>
  <c r="Q3212" i="1"/>
  <c r="P3212" i="1"/>
  <c r="T3211" i="1"/>
  <c r="S3211" i="1"/>
  <c r="R3211" i="1"/>
  <c r="Q3211" i="1"/>
  <c r="P3211" i="1"/>
  <c r="T3210" i="1"/>
  <c r="S3210" i="1"/>
  <c r="R3210" i="1"/>
  <c r="Q3210" i="1"/>
  <c r="P3210" i="1"/>
  <c r="T3209" i="1"/>
  <c r="S3209" i="1"/>
  <c r="R3209" i="1"/>
  <c r="Q3209" i="1"/>
  <c r="P3209" i="1"/>
  <c r="T3208" i="1"/>
  <c r="S3208" i="1"/>
  <c r="R3208" i="1"/>
  <c r="Q3208" i="1"/>
  <c r="P3208" i="1"/>
  <c r="T3207" i="1"/>
  <c r="S3207" i="1"/>
  <c r="R3207" i="1"/>
  <c r="Q3207" i="1"/>
  <c r="P3207" i="1"/>
  <c r="T3206" i="1"/>
  <c r="S3206" i="1"/>
  <c r="R3206" i="1"/>
  <c r="Q3206" i="1"/>
  <c r="P3206" i="1"/>
  <c r="T3205" i="1"/>
  <c r="S3205" i="1"/>
  <c r="R3205" i="1"/>
  <c r="Q3205" i="1"/>
  <c r="P3205" i="1"/>
  <c r="T3204" i="1"/>
  <c r="S3204" i="1"/>
  <c r="R3204" i="1"/>
  <c r="Q3204" i="1"/>
  <c r="P3204" i="1"/>
  <c r="T3203" i="1"/>
  <c r="S3203" i="1"/>
  <c r="R3203" i="1"/>
  <c r="Q3203" i="1"/>
  <c r="P3203" i="1"/>
  <c r="T3202" i="1"/>
  <c r="S3202" i="1"/>
  <c r="R3202" i="1"/>
  <c r="Q3202" i="1"/>
  <c r="P3202" i="1"/>
  <c r="T3201" i="1"/>
  <c r="S3201" i="1"/>
  <c r="R3201" i="1"/>
  <c r="Q3201" i="1"/>
  <c r="P3201" i="1"/>
  <c r="T3200" i="1"/>
  <c r="S3200" i="1"/>
  <c r="R3200" i="1"/>
  <c r="Q3200" i="1"/>
  <c r="P3200" i="1"/>
  <c r="T3199" i="1"/>
  <c r="S3199" i="1"/>
  <c r="R3199" i="1"/>
  <c r="Q3199" i="1"/>
  <c r="P3199" i="1"/>
  <c r="T3198" i="1"/>
  <c r="S3198" i="1"/>
  <c r="R3198" i="1"/>
  <c r="Q3198" i="1"/>
  <c r="P3198" i="1"/>
  <c r="T3197" i="1"/>
  <c r="S3197" i="1"/>
  <c r="R3197" i="1"/>
  <c r="Q3197" i="1"/>
  <c r="P3197" i="1"/>
  <c r="T3196" i="1"/>
  <c r="S3196" i="1"/>
  <c r="R3196" i="1"/>
  <c r="Q3196" i="1"/>
  <c r="P3196" i="1"/>
  <c r="T3195" i="1"/>
  <c r="S3195" i="1"/>
  <c r="R3195" i="1"/>
  <c r="Q3195" i="1"/>
  <c r="P3195" i="1"/>
  <c r="T3194" i="1"/>
  <c r="S3194" i="1"/>
  <c r="R3194" i="1"/>
  <c r="Q3194" i="1"/>
  <c r="P3194" i="1"/>
  <c r="T3193" i="1"/>
  <c r="S3193" i="1"/>
  <c r="R3193" i="1"/>
  <c r="Q3193" i="1"/>
  <c r="P3193" i="1"/>
  <c r="T3192" i="1"/>
  <c r="S3192" i="1"/>
  <c r="R3192" i="1"/>
  <c r="Q3192" i="1"/>
  <c r="P3192" i="1"/>
  <c r="T3191" i="1"/>
  <c r="S3191" i="1"/>
  <c r="R3191" i="1"/>
  <c r="Q3191" i="1"/>
  <c r="P3191" i="1"/>
  <c r="T3190" i="1"/>
  <c r="S3190" i="1"/>
  <c r="R3190" i="1"/>
  <c r="Q3190" i="1"/>
  <c r="P3190" i="1"/>
  <c r="T3189" i="1"/>
  <c r="S3189" i="1"/>
  <c r="R3189" i="1"/>
  <c r="Q3189" i="1"/>
  <c r="P3189" i="1"/>
  <c r="T3188" i="1"/>
  <c r="S3188" i="1"/>
  <c r="R3188" i="1"/>
  <c r="Q3188" i="1"/>
  <c r="P3188" i="1"/>
  <c r="T3187" i="1"/>
  <c r="S3187" i="1"/>
  <c r="R3187" i="1"/>
  <c r="Q3187" i="1"/>
  <c r="P3187" i="1"/>
  <c r="T3186" i="1"/>
  <c r="S3186" i="1"/>
  <c r="R3186" i="1"/>
  <c r="Q3186" i="1"/>
  <c r="P3186" i="1"/>
  <c r="T3185" i="1"/>
  <c r="S3185" i="1"/>
  <c r="R3185" i="1"/>
  <c r="Q3185" i="1"/>
  <c r="P3185" i="1"/>
  <c r="T3184" i="1"/>
  <c r="S3184" i="1"/>
  <c r="R3184" i="1"/>
  <c r="Q3184" i="1"/>
  <c r="P3184" i="1"/>
  <c r="T3183" i="1"/>
  <c r="S3183" i="1"/>
  <c r="R3183" i="1"/>
  <c r="Q3183" i="1"/>
  <c r="P3183" i="1"/>
  <c r="T3182" i="1"/>
  <c r="S3182" i="1"/>
  <c r="R3182" i="1"/>
  <c r="Q3182" i="1"/>
  <c r="P3182" i="1"/>
  <c r="T3181" i="1"/>
  <c r="S3181" i="1"/>
  <c r="R3181" i="1"/>
  <c r="Q3181" i="1"/>
  <c r="P3181" i="1"/>
  <c r="T3180" i="1"/>
  <c r="S3180" i="1"/>
  <c r="R3180" i="1"/>
  <c r="Q3180" i="1"/>
  <c r="P3180" i="1"/>
  <c r="T3179" i="1"/>
  <c r="S3179" i="1"/>
  <c r="R3179" i="1"/>
  <c r="Q3179" i="1"/>
  <c r="P3179" i="1"/>
  <c r="T3178" i="1"/>
  <c r="S3178" i="1"/>
  <c r="R3178" i="1"/>
  <c r="Q3178" i="1"/>
  <c r="P3178" i="1"/>
  <c r="T3177" i="1"/>
  <c r="S3177" i="1"/>
  <c r="R3177" i="1"/>
  <c r="Q3177" i="1"/>
  <c r="P3177" i="1"/>
  <c r="T3176" i="1"/>
  <c r="S3176" i="1"/>
  <c r="R3176" i="1"/>
  <c r="Q3176" i="1"/>
  <c r="P3176" i="1"/>
  <c r="T3175" i="1"/>
  <c r="S3175" i="1"/>
  <c r="R3175" i="1"/>
  <c r="Q3175" i="1"/>
  <c r="P3175" i="1"/>
  <c r="T3174" i="1"/>
  <c r="S3174" i="1"/>
  <c r="R3174" i="1"/>
  <c r="Q3174" i="1"/>
  <c r="P3174" i="1"/>
  <c r="T3173" i="1"/>
  <c r="S3173" i="1"/>
  <c r="R3173" i="1"/>
  <c r="Q3173" i="1"/>
  <c r="P3173" i="1"/>
  <c r="T3172" i="1"/>
  <c r="S3172" i="1"/>
  <c r="R3172" i="1"/>
  <c r="Q3172" i="1"/>
  <c r="P3172" i="1"/>
  <c r="T3171" i="1"/>
  <c r="S3171" i="1"/>
  <c r="R3171" i="1"/>
  <c r="Q3171" i="1"/>
  <c r="P3171" i="1"/>
  <c r="T3170" i="1"/>
  <c r="S3170" i="1"/>
  <c r="R3170" i="1"/>
  <c r="Q3170" i="1"/>
  <c r="P3170" i="1"/>
  <c r="T3169" i="1"/>
  <c r="S3169" i="1"/>
  <c r="R3169" i="1"/>
  <c r="Q3169" i="1"/>
  <c r="P3169" i="1"/>
  <c r="T3168" i="1"/>
  <c r="S3168" i="1"/>
  <c r="R3168" i="1"/>
  <c r="Q3168" i="1"/>
  <c r="P3168" i="1"/>
  <c r="T3167" i="1"/>
  <c r="S3167" i="1"/>
  <c r="R3167" i="1"/>
  <c r="Q3167" i="1"/>
  <c r="P3167" i="1"/>
  <c r="T3166" i="1"/>
  <c r="S3166" i="1"/>
  <c r="R3166" i="1"/>
  <c r="Q3166" i="1"/>
  <c r="P3166" i="1"/>
  <c r="T3165" i="1"/>
  <c r="S3165" i="1"/>
  <c r="R3165" i="1"/>
  <c r="Q3165" i="1"/>
  <c r="P3165" i="1"/>
  <c r="T3164" i="1"/>
  <c r="S3164" i="1"/>
  <c r="R3164" i="1"/>
  <c r="Q3164" i="1"/>
  <c r="P3164" i="1"/>
  <c r="T3163" i="1"/>
  <c r="S3163" i="1"/>
  <c r="R3163" i="1"/>
  <c r="Q3163" i="1"/>
  <c r="P3163" i="1"/>
  <c r="T3162" i="1"/>
  <c r="S3162" i="1"/>
  <c r="R3162" i="1"/>
  <c r="Q3162" i="1"/>
  <c r="P3162" i="1"/>
  <c r="T3161" i="1"/>
  <c r="S3161" i="1"/>
  <c r="R3161" i="1"/>
  <c r="Q3161" i="1"/>
  <c r="P3161" i="1"/>
  <c r="T3160" i="1"/>
  <c r="S3160" i="1"/>
  <c r="R3160" i="1"/>
  <c r="Q3160" i="1"/>
  <c r="P3160" i="1"/>
  <c r="T3159" i="1"/>
  <c r="S3159" i="1"/>
  <c r="R3159" i="1"/>
  <c r="Q3159" i="1"/>
  <c r="P3159" i="1"/>
  <c r="T3158" i="1"/>
  <c r="S3158" i="1"/>
  <c r="R3158" i="1"/>
  <c r="Q3158" i="1"/>
  <c r="P3158" i="1"/>
  <c r="T3157" i="1"/>
  <c r="S3157" i="1"/>
  <c r="R3157" i="1"/>
  <c r="Q3157" i="1"/>
  <c r="P3157" i="1"/>
  <c r="T3156" i="1"/>
  <c r="S3156" i="1"/>
  <c r="R3156" i="1"/>
  <c r="Q3156" i="1"/>
  <c r="P3156" i="1"/>
  <c r="T3155" i="1"/>
  <c r="S3155" i="1"/>
  <c r="R3155" i="1"/>
  <c r="Q3155" i="1"/>
  <c r="P3155" i="1"/>
  <c r="T3154" i="1"/>
  <c r="S3154" i="1"/>
  <c r="R3154" i="1"/>
  <c r="Q3154" i="1"/>
  <c r="P3154" i="1"/>
  <c r="T3153" i="1"/>
  <c r="S3153" i="1"/>
  <c r="R3153" i="1"/>
  <c r="Q3153" i="1"/>
  <c r="P3153" i="1"/>
  <c r="T3152" i="1"/>
  <c r="S3152" i="1"/>
  <c r="R3152" i="1"/>
  <c r="Q3152" i="1"/>
  <c r="P3152" i="1"/>
  <c r="T3151" i="1"/>
  <c r="S3151" i="1"/>
  <c r="R3151" i="1"/>
  <c r="Q3151" i="1"/>
  <c r="P3151" i="1"/>
  <c r="T3150" i="1"/>
  <c r="S3150" i="1"/>
  <c r="R3150" i="1"/>
  <c r="Q3150" i="1"/>
  <c r="P3150" i="1"/>
  <c r="T3149" i="1"/>
  <c r="S3149" i="1"/>
  <c r="R3149" i="1"/>
  <c r="Q3149" i="1"/>
  <c r="P3149" i="1"/>
  <c r="T3148" i="1"/>
  <c r="S3148" i="1"/>
  <c r="R3148" i="1"/>
  <c r="Q3148" i="1"/>
  <c r="P3148" i="1"/>
  <c r="T3147" i="1"/>
  <c r="S3147" i="1"/>
  <c r="R3147" i="1"/>
  <c r="Q3147" i="1"/>
  <c r="P3147" i="1"/>
  <c r="T3146" i="1"/>
  <c r="S3146" i="1"/>
  <c r="R3146" i="1"/>
  <c r="Q3146" i="1"/>
  <c r="P3146" i="1"/>
  <c r="T3145" i="1"/>
  <c r="S3145" i="1"/>
  <c r="R3145" i="1"/>
  <c r="Q3145" i="1"/>
  <c r="P3145" i="1"/>
  <c r="T3144" i="1"/>
  <c r="S3144" i="1"/>
  <c r="R3144" i="1"/>
  <c r="Q3144" i="1"/>
  <c r="P3144" i="1"/>
  <c r="T3143" i="1"/>
  <c r="S3143" i="1"/>
  <c r="R3143" i="1"/>
  <c r="Q3143" i="1"/>
  <c r="P3143" i="1"/>
  <c r="T3142" i="1"/>
  <c r="S3142" i="1"/>
  <c r="R3142" i="1"/>
  <c r="Q3142" i="1"/>
  <c r="P3142" i="1"/>
  <c r="T3141" i="1"/>
  <c r="S3141" i="1"/>
  <c r="R3141" i="1"/>
  <c r="Q3141" i="1"/>
  <c r="P3141" i="1"/>
  <c r="T3140" i="1"/>
  <c r="S3140" i="1"/>
  <c r="R3140" i="1"/>
  <c r="Q3140" i="1"/>
  <c r="P3140" i="1"/>
  <c r="T3139" i="1"/>
  <c r="S3139" i="1"/>
  <c r="R3139" i="1"/>
  <c r="Q3139" i="1"/>
  <c r="P3139" i="1"/>
  <c r="T3138" i="1"/>
  <c r="S3138" i="1"/>
  <c r="R3138" i="1"/>
  <c r="Q3138" i="1"/>
  <c r="P3138" i="1"/>
  <c r="T3137" i="1"/>
  <c r="S3137" i="1"/>
  <c r="R3137" i="1"/>
  <c r="Q3137" i="1"/>
  <c r="P3137" i="1"/>
  <c r="T3136" i="1"/>
  <c r="S3136" i="1"/>
  <c r="R3136" i="1"/>
  <c r="Q3136" i="1"/>
  <c r="P3136" i="1"/>
  <c r="T3135" i="1"/>
  <c r="S3135" i="1"/>
  <c r="R3135" i="1"/>
  <c r="Q3135" i="1"/>
  <c r="P3135" i="1"/>
  <c r="T3134" i="1"/>
  <c r="S3134" i="1"/>
  <c r="R3134" i="1"/>
  <c r="Q3134" i="1"/>
  <c r="P3134" i="1"/>
  <c r="T3133" i="1"/>
  <c r="S3133" i="1"/>
  <c r="R3133" i="1"/>
  <c r="Q3133" i="1"/>
  <c r="P3133" i="1"/>
  <c r="T3132" i="1"/>
  <c r="S3132" i="1"/>
  <c r="R3132" i="1"/>
  <c r="Q3132" i="1"/>
  <c r="P3132" i="1"/>
  <c r="T3131" i="1"/>
  <c r="S3131" i="1"/>
  <c r="R3131" i="1"/>
  <c r="Q3131" i="1"/>
  <c r="P3131" i="1"/>
  <c r="T3130" i="1"/>
  <c r="S3130" i="1"/>
  <c r="R3130" i="1"/>
  <c r="Q3130" i="1"/>
  <c r="P3130" i="1"/>
  <c r="T3129" i="1"/>
  <c r="S3129" i="1"/>
  <c r="R3129" i="1"/>
  <c r="Q3129" i="1"/>
  <c r="P3129" i="1"/>
  <c r="T3128" i="1"/>
  <c r="S3128" i="1"/>
  <c r="R3128" i="1"/>
  <c r="Q3128" i="1"/>
  <c r="P3128" i="1"/>
  <c r="T3127" i="1"/>
  <c r="S3127" i="1"/>
  <c r="R3127" i="1"/>
  <c r="Q3127" i="1"/>
  <c r="P3127" i="1"/>
  <c r="T3126" i="1"/>
  <c r="S3126" i="1"/>
  <c r="R3126" i="1"/>
  <c r="Q3126" i="1"/>
  <c r="P3126" i="1"/>
  <c r="T3125" i="1"/>
  <c r="S3125" i="1"/>
  <c r="R3125" i="1"/>
  <c r="Q3125" i="1"/>
  <c r="P3125" i="1"/>
  <c r="T3124" i="1"/>
  <c r="S3124" i="1"/>
  <c r="R3124" i="1"/>
  <c r="Q3124" i="1"/>
  <c r="P3124" i="1"/>
  <c r="T3123" i="1"/>
  <c r="S3123" i="1"/>
  <c r="R3123" i="1"/>
  <c r="Q3123" i="1"/>
  <c r="P3123" i="1"/>
  <c r="T3122" i="1"/>
  <c r="S3122" i="1"/>
  <c r="R3122" i="1"/>
  <c r="Q3122" i="1"/>
  <c r="P3122" i="1"/>
  <c r="T3121" i="1"/>
  <c r="S3121" i="1"/>
  <c r="R3121" i="1"/>
  <c r="Q3121" i="1"/>
  <c r="P3121" i="1"/>
  <c r="T3120" i="1"/>
  <c r="S3120" i="1"/>
  <c r="R3120" i="1"/>
  <c r="Q3120" i="1"/>
  <c r="P3120" i="1"/>
  <c r="T3119" i="1"/>
  <c r="S3119" i="1"/>
  <c r="R3119" i="1"/>
  <c r="Q3119" i="1"/>
  <c r="P3119" i="1"/>
  <c r="T3118" i="1"/>
  <c r="S3118" i="1"/>
  <c r="R3118" i="1"/>
  <c r="Q3118" i="1"/>
  <c r="P3118" i="1"/>
  <c r="T3117" i="1"/>
  <c r="S3117" i="1"/>
  <c r="R3117" i="1"/>
  <c r="Q3117" i="1"/>
  <c r="P3117" i="1"/>
  <c r="T3116" i="1"/>
  <c r="S3116" i="1"/>
  <c r="R3116" i="1"/>
  <c r="Q3116" i="1"/>
  <c r="P3116" i="1"/>
  <c r="T3115" i="1"/>
  <c r="S3115" i="1"/>
  <c r="R3115" i="1"/>
  <c r="Q3115" i="1"/>
  <c r="P3115" i="1"/>
  <c r="T3114" i="1"/>
  <c r="S3114" i="1"/>
  <c r="R3114" i="1"/>
  <c r="Q3114" i="1"/>
  <c r="P3114" i="1"/>
  <c r="T3113" i="1"/>
  <c r="S3113" i="1"/>
  <c r="R3113" i="1"/>
  <c r="Q3113" i="1"/>
  <c r="P3113" i="1"/>
  <c r="T3112" i="1"/>
  <c r="S3112" i="1"/>
  <c r="R3112" i="1"/>
  <c r="Q3112" i="1"/>
  <c r="P3112" i="1"/>
  <c r="T3111" i="1"/>
  <c r="S3111" i="1"/>
  <c r="R3111" i="1"/>
  <c r="Q3111" i="1"/>
  <c r="P3111" i="1"/>
  <c r="T3110" i="1"/>
  <c r="S3110" i="1"/>
  <c r="R3110" i="1"/>
  <c r="Q3110" i="1"/>
  <c r="P3110" i="1"/>
  <c r="T3109" i="1"/>
  <c r="S3109" i="1"/>
  <c r="R3109" i="1"/>
  <c r="Q3109" i="1"/>
  <c r="P3109" i="1"/>
  <c r="T3108" i="1"/>
  <c r="S3108" i="1"/>
  <c r="R3108" i="1"/>
  <c r="Q3108" i="1"/>
  <c r="P3108" i="1"/>
  <c r="T3107" i="1"/>
  <c r="S3107" i="1"/>
  <c r="R3107" i="1"/>
  <c r="Q3107" i="1"/>
  <c r="P3107" i="1"/>
  <c r="T3106" i="1"/>
  <c r="S3106" i="1"/>
  <c r="R3106" i="1"/>
  <c r="Q3106" i="1"/>
  <c r="P3106" i="1"/>
  <c r="T3105" i="1"/>
  <c r="S3105" i="1"/>
  <c r="R3105" i="1"/>
  <c r="Q3105" i="1"/>
  <c r="P3105" i="1"/>
  <c r="T3104" i="1"/>
  <c r="S3104" i="1"/>
  <c r="R3104" i="1"/>
  <c r="Q3104" i="1"/>
  <c r="P3104" i="1"/>
  <c r="T3103" i="1"/>
  <c r="S3103" i="1"/>
  <c r="R3103" i="1"/>
  <c r="Q3103" i="1"/>
  <c r="P3103" i="1"/>
  <c r="T3102" i="1"/>
  <c r="S3102" i="1"/>
  <c r="R3102" i="1"/>
  <c r="Q3102" i="1"/>
  <c r="P3102" i="1"/>
  <c r="T3101" i="1"/>
  <c r="S3101" i="1"/>
  <c r="R3101" i="1"/>
  <c r="Q3101" i="1"/>
  <c r="P3101" i="1"/>
  <c r="T3100" i="1"/>
  <c r="S3100" i="1"/>
  <c r="R3100" i="1"/>
  <c r="Q3100" i="1"/>
  <c r="P3100" i="1"/>
  <c r="T3099" i="1"/>
  <c r="S3099" i="1"/>
  <c r="R3099" i="1"/>
  <c r="Q3099" i="1"/>
  <c r="P3099" i="1"/>
  <c r="T3098" i="1"/>
  <c r="S3098" i="1"/>
  <c r="R3098" i="1"/>
  <c r="Q3098" i="1"/>
  <c r="P3098" i="1"/>
  <c r="T3097" i="1"/>
  <c r="S3097" i="1"/>
  <c r="R3097" i="1"/>
  <c r="Q3097" i="1"/>
  <c r="P3097" i="1"/>
  <c r="T3096" i="1"/>
  <c r="S3096" i="1"/>
  <c r="R3096" i="1"/>
  <c r="Q3096" i="1"/>
  <c r="P3096" i="1"/>
  <c r="T3095" i="1"/>
  <c r="S3095" i="1"/>
  <c r="R3095" i="1"/>
  <c r="Q3095" i="1"/>
  <c r="P3095" i="1"/>
  <c r="T3094" i="1"/>
  <c r="S3094" i="1"/>
  <c r="R3094" i="1"/>
  <c r="Q3094" i="1"/>
  <c r="P3094" i="1"/>
  <c r="T3093" i="1"/>
  <c r="S3093" i="1"/>
  <c r="R3093" i="1"/>
  <c r="Q3093" i="1"/>
  <c r="P3093" i="1"/>
  <c r="T3092" i="1"/>
  <c r="S3092" i="1"/>
  <c r="R3092" i="1"/>
  <c r="Q3092" i="1"/>
  <c r="P3092" i="1"/>
  <c r="T3091" i="1"/>
  <c r="S3091" i="1"/>
  <c r="R3091" i="1"/>
  <c r="Q3091" i="1"/>
  <c r="P3091" i="1"/>
  <c r="T3090" i="1"/>
  <c r="S3090" i="1"/>
  <c r="R3090" i="1"/>
  <c r="Q3090" i="1"/>
  <c r="P3090" i="1"/>
  <c r="T3089" i="1"/>
  <c r="S3089" i="1"/>
  <c r="R3089" i="1"/>
  <c r="Q3089" i="1"/>
  <c r="P3089" i="1"/>
  <c r="T3088" i="1"/>
  <c r="S3088" i="1"/>
  <c r="R3088" i="1"/>
  <c r="Q3088" i="1"/>
  <c r="P3088" i="1"/>
  <c r="T3087" i="1"/>
  <c r="S3087" i="1"/>
  <c r="R3087" i="1"/>
  <c r="Q3087" i="1"/>
  <c r="P3087" i="1"/>
  <c r="T3086" i="1"/>
  <c r="S3086" i="1"/>
  <c r="R3086" i="1"/>
  <c r="Q3086" i="1"/>
  <c r="P3086" i="1"/>
  <c r="T3085" i="1"/>
  <c r="S3085" i="1"/>
  <c r="R3085" i="1"/>
  <c r="Q3085" i="1"/>
  <c r="P3085" i="1"/>
  <c r="T3084" i="1"/>
  <c r="S3084" i="1"/>
  <c r="R3084" i="1"/>
  <c r="Q3084" i="1"/>
  <c r="P3084" i="1"/>
  <c r="T3083" i="1"/>
  <c r="S3083" i="1"/>
  <c r="R3083" i="1"/>
  <c r="Q3083" i="1"/>
  <c r="P3083" i="1"/>
  <c r="T3082" i="1"/>
  <c r="S3082" i="1"/>
  <c r="R3082" i="1"/>
  <c r="Q3082" i="1"/>
  <c r="P3082" i="1"/>
  <c r="T3081" i="1"/>
  <c r="S3081" i="1"/>
  <c r="R3081" i="1"/>
  <c r="Q3081" i="1"/>
  <c r="P3081" i="1"/>
  <c r="T3080" i="1"/>
  <c r="S3080" i="1"/>
  <c r="R3080" i="1"/>
  <c r="Q3080" i="1"/>
  <c r="P3080" i="1"/>
  <c r="T3079" i="1"/>
  <c r="S3079" i="1"/>
  <c r="R3079" i="1"/>
  <c r="Q3079" i="1"/>
  <c r="P3079" i="1"/>
  <c r="T3078" i="1"/>
  <c r="S3078" i="1"/>
  <c r="R3078" i="1"/>
  <c r="Q3078" i="1"/>
  <c r="P3078" i="1"/>
  <c r="T3077" i="1"/>
  <c r="S3077" i="1"/>
  <c r="R3077" i="1"/>
  <c r="Q3077" i="1"/>
  <c r="P3077" i="1"/>
  <c r="T3076" i="1"/>
  <c r="S3076" i="1"/>
  <c r="R3076" i="1"/>
  <c r="Q3076" i="1"/>
  <c r="P3076" i="1"/>
  <c r="T3075" i="1"/>
  <c r="S3075" i="1"/>
  <c r="R3075" i="1"/>
  <c r="Q3075" i="1"/>
  <c r="P3075" i="1"/>
  <c r="T3074" i="1"/>
  <c r="S3074" i="1"/>
  <c r="R3074" i="1"/>
  <c r="Q3074" i="1"/>
  <c r="P3074" i="1"/>
  <c r="T3073" i="1"/>
  <c r="S3073" i="1"/>
  <c r="R3073" i="1"/>
  <c r="Q3073" i="1"/>
  <c r="P3073" i="1"/>
  <c r="T3072" i="1"/>
  <c r="S3072" i="1"/>
  <c r="R3072" i="1"/>
  <c r="Q3072" i="1"/>
  <c r="P3072" i="1"/>
  <c r="T3071" i="1"/>
  <c r="S3071" i="1"/>
  <c r="R3071" i="1"/>
  <c r="Q3071" i="1"/>
  <c r="P3071" i="1"/>
  <c r="T3070" i="1"/>
  <c r="S3070" i="1"/>
  <c r="R3070" i="1"/>
  <c r="Q3070" i="1"/>
  <c r="P3070" i="1"/>
  <c r="T3069" i="1"/>
  <c r="S3069" i="1"/>
  <c r="R3069" i="1"/>
  <c r="Q3069" i="1"/>
  <c r="P3069" i="1"/>
  <c r="T3068" i="1"/>
  <c r="S3068" i="1"/>
  <c r="R3068" i="1"/>
  <c r="Q3068" i="1"/>
  <c r="P3068" i="1"/>
  <c r="T3067" i="1"/>
  <c r="S3067" i="1"/>
  <c r="R3067" i="1"/>
  <c r="Q3067" i="1"/>
  <c r="P3067" i="1"/>
  <c r="T3066" i="1"/>
  <c r="S3066" i="1"/>
  <c r="R3066" i="1"/>
  <c r="Q3066" i="1"/>
  <c r="P3066" i="1"/>
  <c r="T3065" i="1"/>
  <c r="S3065" i="1"/>
  <c r="R3065" i="1"/>
  <c r="Q3065" i="1"/>
  <c r="P3065" i="1"/>
  <c r="T3064" i="1"/>
  <c r="S3064" i="1"/>
  <c r="R3064" i="1"/>
  <c r="Q3064" i="1"/>
  <c r="P3064" i="1"/>
  <c r="T3063" i="1"/>
  <c r="S3063" i="1"/>
  <c r="R3063" i="1"/>
  <c r="Q3063" i="1"/>
  <c r="P3063" i="1"/>
  <c r="T3062" i="1"/>
  <c r="S3062" i="1"/>
  <c r="R3062" i="1"/>
  <c r="Q3062" i="1"/>
  <c r="P3062" i="1"/>
  <c r="T3061" i="1"/>
  <c r="S3061" i="1"/>
  <c r="R3061" i="1"/>
  <c r="Q3061" i="1"/>
  <c r="P3061" i="1"/>
  <c r="T3060" i="1"/>
  <c r="S3060" i="1"/>
  <c r="R3060" i="1"/>
  <c r="Q3060" i="1"/>
  <c r="P3060" i="1"/>
  <c r="T3059" i="1"/>
  <c r="S3059" i="1"/>
  <c r="R3059" i="1"/>
  <c r="Q3059" i="1"/>
  <c r="P3059" i="1"/>
  <c r="T3058" i="1"/>
  <c r="S3058" i="1"/>
  <c r="R3058" i="1"/>
  <c r="Q3058" i="1"/>
  <c r="P3058" i="1"/>
  <c r="T3057" i="1"/>
  <c r="S3057" i="1"/>
  <c r="R3057" i="1"/>
  <c r="Q3057" i="1"/>
  <c r="P3057" i="1"/>
  <c r="T3056" i="1"/>
  <c r="S3056" i="1"/>
  <c r="R3056" i="1"/>
  <c r="Q3056" i="1"/>
  <c r="P3056" i="1"/>
  <c r="T3055" i="1"/>
  <c r="S3055" i="1"/>
  <c r="R3055" i="1"/>
  <c r="Q3055" i="1"/>
  <c r="P3055" i="1"/>
  <c r="T3054" i="1"/>
  <c r="S3054" i="1"/>
  <c r="R3054" i="1"/>
  <c r="Q3054" i="1"/>
  <c r="P3054" i="1"/>
  <c r="T3053" i="1"/>
  <c r="S3053" i="1"/>
  <c r="R3053" i="1"/>
  <c r="Q3053" i="1"/>
  <c r="P3053" i="1"/>
  <c r="T3052" i="1"/>
  <c r="S3052" i="1"/>
  <c r="R3052" i="1"/>
  <c r="Q3052" i="1"/>
  <c r="P3052" i="1"/>
  <c r="T3051" i="1"/>
  <c r="S3051" i="1"/>
  <c r="R3051" i="1"/>
  <c r="Q3051" i="1"/>
  <c r="P3051" i="1"/>
  <c r="T3050" i="1"/>
  <c r="S3050" i="1"/>
  <c r="R3050" i="1"/>
  <c r="Q3050" i="1"/>
  <c r="P3050" i="1"/>
  <c r="T3049" i="1"/>
  <c r="S3049" i="1"/>
  <c r="R3049" i="1"/>
  <c r="Q3049" i="1"/>
  <c r="P3049" i="1"/>
  <c r="T3048" i="1"/>
  <c r="S3048" i="1"/>
  <c r="R3048" i="1"/>
  <c r="Q3048" i="1"/>
  <c r="P3048" i="1"/>
  <c r="T3047" i="1"/>
  <c r="S3047" i="1"/>
  <c r="R3047" i="1"/>
  <c r="Q3047" i="1"/>
  <c r="P3047" i="1"/>
  <c r="T3046" i="1"/>
  <c r="S3046" i="1"/>
  <c r="R3046" i="1"/>
  <c r="Q3046" i="1"/>
  <c r="P3046" i="1"/>
  <c r="T3045" i="1"/>
  <c r="S3045" i="1"/>
  <c r="R3045" i="1"/>
  <c r="Q3045" i="1"/>
  <c r="P3045" i="1"/>
  <c r="T3044" i="1"/>
  <c r="S3044" i="1"/>
  <c r="R3044" i="1"/>
  <c r="Q3044" i="1"/>
  <c r="P3044" i="1"/>
  <c r="T3043" i="1"/>
  <c r="S3043" i="1"/>
  <c r="R3043" i="1"/>
  <c r="Q3043" i="1"/>
  <c r="P3043" i="1"/>
  <c r="T3042" i="1"/>
  <c r="S3042" i="1"/>
  <c r="R3042" i="1"/>
  <c r="Q3042" i="1"/>
  <c r="P3042" i="1"/>
  <c r="T3041" i="1"/>
  <c r="S3041" i="1"/>
  <c r="R3041" i="1"/>
  <c r="Q3041" i="1"/>
  <c r="P3041" i="1"/>
  <c r="T3040" i="1"/>
  <c r="S3040" i="1"/>
  <c r="R3040" i="1"/>
  <c r="Q3040" i="1"/>
  <c r="P3040" i="1"/>
  <c r="T3039" i="1"/>
  <c r="S3039" i="1"/>
  <c r="R3039" i="1"/>
  <c r="Q3039" i="1"/>
  <c r="P3039" i="1"/>
  <c r="T3038" i="1"/>
  <c r="S3038" i="1"/>
  <c r="R3038" i="1"/>
  <c r="Q3038" i="1"/>
  <c r="P3038" i="1"/>
  <c r="T3037" i="1"/>
  <c r="S3037" i="1"/>
  <c r="R3037" i="1"/>
  <c r="Q3037" i="1"/>
  <c r="P3037" i="1"/>
  <c r="T3036" i="1"/>
  <c r="S3036" i="1"/>
  <c r="R3036" i="1"/>
  <c r="Q3036" i="1"/>
  <c r="P3036" i="1"/>
  <c r="T3035" i="1"/>
  <c r="S3035" i="1"/>
  <c r="R3035" i="1"/>
  <c r="Q3035" i="1"/>
  <c r="P3035" i="1"/>
  <c r="T3034" i="1"/>
  <c r="S3034" i="1"/>
  <c r="R3034" i="1"/>
  <c r="Q3034" i="1"/>
  <c r="P3034" i="1"/>
  <c r="T3033" i="1"/>
  <c r="S3033" i="1"/>
  <c r="R3033" i="1"/>
  <c r="Q3033" i="1"/>
  <c r="P3033" i="1"/>
  <c r="T3032" i="1"/>
  <c r="S3032" i="1"/>
  <c r="R3032" i="1"/>
  <c r="Q3032" i="1"/>
  <c r="P3032" i="1"/>
  <c r="T3031" i="1"/>
  <c r="S3031" i="1"/>
  <c r="R3031" i="1"/>
  <c r="Q3031" i="1"/>
  <c r="P3031" i="1"/>
  <c r="T3030" i="1"/>
  <c r="S3030" i="1"/>
  <c r="R3030" i="1"/>
  <c r="Q3030" i="1"/>
  <c r="P3030" i="1"/>
  <c r="T3029" i="1"/>
  <c r="S3029" i="1"/>
  <c r="R3029" i="1"/>
  <c r="Q3029" i="1"/>
  <c r="P3029" i="1"/>
  <c r="T3028" i="1"/>
  <c r="S3028" i="1"/>
  <c r="R3028" i="1"/>
  <c r="Q3028" i="1"/>
  <c r="P3028" i="1"/>
  <c r="T3027" i="1"/>
  <c r="S3027" i="1"/>
  <c r="R3027" i="1"/>
  <c r="Q3027" i="1"/>
  <c r="P3027" i="1"/>
  <c r="T3026" i="1"/>
  <c r="S3026" i="1"/>
  <c r="R3026" i="1"/>
  <c r="Q3026" i="1"/>
  <c r="P3026" i="1"/>
  <c r="T3025" i="1"/>
  <c r="S3025" i="1"/>
  <c r="R3025" i="1"/>
  <c r="Q3025" i="1"/>
  <c r="P3025" i="1"/>
  <c r="T3024" i="1"/>
  <c r="S3024" i="1"/>
  <c r="R3024" i="1"/>
  <c r="Q3024" i="1"/>
  <c r="P3024" i="1"/>
  <c r="T3023" i="1"/>
  <c r="S3023" i="1"/>
  <c r="R3023" i="1"/>
  <c r="Q3023" i="1"/>
  <c r="P3023" i="1"/>
  <c r="T3022" i="1"/>
  <c r="S3022" i="1"/>
  <c r="R3022" i="1"/>
  <c r="Q3022" i="1"/>
  <c r="P3022" i="1"/>
  <c r="T3021" i="1"/>
  <c r="S3021" i="1"/>
  <c r="R3021" i="1"/>
  <c r="Q3021" i="1"/>
  <c r="P3021" i="1"/>
  <c r="T3020" i="1"/>
  <c r="S3020" i="1"/>
  <c r="R3020" i="1"/>
  <c r="Q3020" i="1"/>
  <c r="P3020" i="1"/>
  <c r="T3019" i="1"/>
  <c r="S3019" i="1"/>
  <c r="R3019" i="1"/>
  <c r="Q3019" i="1"/>
  <c r="P3019" i="1"/>
  <c r="T3018" i="1"/>
  <c r="S3018" i="1"/>
  <c r="R3018" i="1"/>
  <c r="Q3018" i="1"/>
  <c r="P3018" i="1"/>
  <c r="T3017" i="1"/>
  <c r="S3017" i="1"/>
  <c r="R3017" i="1"/>
  <c r="Q3017" i="1"/>
  <c r="P3017" i="1"/>
  <c r="T3016" i="1"/>
  <c r="S3016" i="1"/>
  <c r="R3016" i="1"/>
  <c r="Q3016" i="1"/>
  <c r="P3016" i="1"/>
  <c r="T3015" i="1"/>
  <c r="S3015" i="1"/>
  <c r="R3015" i="1"/>
  <c r="Q3015" i="1"/>
  <c r="P3015" i="1"/>
  <c r="T3014" i="1"/>
  <c r="S3014" i="1"/>
  <c r="R3014" i="1"/>
  <c r="Q3014" i="1"/>
  <c r="P3014" i="1"/>
  <c r="T3013" i="1"/>
  <c r="S3013" i="1"/>
  <c r="R3013" i="1"/>
  <c r="Q3013" i="1"/>
  <c r="P3013" i="1"/>
  <c r="T3012" i="1"/>
  <c r="S3012" i="1"/>
  <c r="R3012" i="1"/>
  <c r="Q3012" i="1"/>
  <c r="P3012" i="1"/>
  <c r="T3011" i="1"/>
  <c r="S3011" i="1"/>
  <c r="R3011" i="1"/>
  <c r="Q3011" i="1"/>
  <c r="P3011" i="1"/>
  <c r="T3010" i="1"/>
  <c r="S3010" i="1"/>
  <c r="R3010" i="1"/>
  <c r="Q3010" i="1"/>
  <c r="P3010" i="1"/>
  <c r="T3009" i="1"/>
  <c r="S3009" i="1"/>
  <c r="R3009" i="1"/>
  <c r="Q3009" i="1"/>
  <c r="P3009" i="1"/>
  <c r="T3008" i="1"/>
  <c r="S3008" i="1"/>
  <c r="R3008" i="1"/>
  <c r="Q3008" i="1"/>
  <c r="P3008" i="1"/>
  <c r="T3007" i="1"/>
  <c r="S3007" i="1"/>
  <c r="R3007" i="1"/>
  <c r="Q3007" i="1"/>
  <c r="P3007" i="1"/>
  <c r="T3006" i="1"/>
  <c r="S3006" i="1"/>
  <c r="R3006" i="1"/>
  <c r="Q3006" i="1"/>
  <c r="P3006" i="1"/>
  <c r="T3005" i="1"/>
  <c r="S3005" i="1"/>
  <c r="R3005" i="1"/>
  <c r="Q3005" i="1"/>
  <c r="P3005" i="1"/>
  <c r="T3004" i="1"/>
  <c r="S3004" i="1"/>
  <c r="R3004" i="1"/>
  <c r="Q3004" i="1"/>
  <c r="P3004" i="1"/>
  <c r="T3003" i="1"/>
  <c r="S3003" i="1"/>
  <c r="R3003" i="1"/>
  <c r="Q3003" i="1"/>
  <c r="P3003" i="1"/>
  <c r="T3002" i="1"/>
  <c r="S3002" i="1"/>
  <c r="R3002" i="1"/>
  <c r="Q3002" i="1"/>
  <c r="P3002" i="1"/>
  <c r="T3001" i="1"/>
  <c r="S3001" i="1"/>
  <c r="R3001" i="1"/>
  <c r="Q3001" i="1"/>
  <c r="P3001" i="1"/>
  <c r="T3000" i="1"/>
  <c r="S3000" i="1"/>
  <c r="R3000" i="1"/>
  <c r="Q3000" i="1"/>
  <c r="P3000" i="1"/>
  <c r="T2999" i="1"/>
  <c r="S2999" i="1"/>
  <c r="R2999" i="1"/>
  <c r="Q2999" i="1"/>
  <c r="P2999" i="1"/>
  <c r="T2998" i="1"/>
  <c r="S2998" i="1"/>
  <c r="R2998" i="1"/>
  <c r="Q2998" i="1"/>
  <c r="P2998" i="1"/>
  <c r="T2997" i="1"/>
  <c r="S2997" i="1"/>
  <c r="R2997" i="1"/>
  <c r="Q2997" i="1"/>
  <c r="P2997" i="1"/>
  <c r="T2996" i="1"/>
  <c r="S2996" i="1"/>
  <c r="R2996" i="1"/>
  <c r="Q2996" i="1"/>
  <c r="P2996" i="1"/>
  <c r="T2995" i="1"/>
  <c r="S2995" i="1"/>
  <c r="R2995" i="1"/>
  <c r="Q2995" i="1"/>
  <c r="P2995" i="1"/>
  <c r="T2994" i="1"/>
  <c r="S2994" i="1"/>
  <c r="R2994" i="1"/>
  <c r="Q2994" i="1"/>
  <c r="P2994" i="1"/>
  <c r="T2993" i="1"/>
  <c r="S2993" i="1"/>
  <c r="R2993" i="1"/>
  <c r="Q2993" i="1"/>
  <c r="P2993" i="1"/>
  <c r="T2992" i="1"/>
  <c r="S2992" i="1"/>
  <c r="R2992" i="1"/>
  <c r="Q2992" i="1"/>
  <c r="P2992" i="1"/>
  <c r="T2991" i="1"/>
  <c r="S2991" i="1"/>
  <c r="R2991" i="1"/>
  <c r="Q2991" i="1"/>
  <c r="P2991" i="1"/>
  <c r="T2990" i="1"/>
  <c r="S2990" i="1"/>
  <c r="R2990" i="1"/>
  <c r="Q2990" i="1"/>
  <c r="P2990" i="1"/>
  <c r="T2989" i="1"/>
  <c r="S2989" i="1"/>
  <c r="R2989" i="1"/>
  <c r="Q2989" i="1"/>
  <c r="P2989" i="1"/>
  <c r="T2988" i="1"/>
  <c r="S2988" i="1"/>
  <c r="R2988" i="1"/>
  <c r="Q2988" i="1"/>
  <c r="P2988" i="1"/>
  <c r="T2987" i="1"/>
  <c r="S2987" i="1"/>
  <c r="R2987" i="1"/>
  <c r="Q2987" i="1"/>
  <c r="P2987" i="1"/>
  <c r="T2986" i="1"/>
  <c r="S2986" i="1"/>
  <c r="R2986" i="1"/>
  <c r="Q2986" i="1"/>
  <c r="P2986" i="1"/>
  <c r="T2985" i="1"/>
  <c r="S2985" i="1"/>
  <c r="R2985" i="1"/>
  <c r="Q2985" i="1"/>
  <c r="P2985" i="1"/>
  <c r="T2984" i="1"/>
  <c r="S2984" i="1"/>
  <c r="R2984" i="1"/>
  <c r="Q2984" i="1"/>
  <c r="P2984" i="1"/>
  <c r="T2983" i="1"/>
  <c r="S2983" i="1"/>
  <c r="R2983" i="1"/>
  <c r="Q2983" i="1"/>
  <c r="P2983" i="1"/>
  <c r="T2982" i="1"/>
  <c r="S2982" i="1"/>
  <c r="R2982" i="1"/>
  <c r="Q2982" i="1"/>
  <c r="P2982" i="1"/>
  <c r="T2981" i="1"/>
  <c r="S2981" i="1"/>
  <c r="R2981" i="1"/>
  <c r="Q2981" i="1"/>
  <c r="P2981" i="1"/>
  <c r="T2980" i="1"/>
  <c r="S2980" i="1"/>
  <c r="R2980" i="1"/>
  <c r="Q2980" i="1"/>
  <c r="P2980" i="1"/>
  <c r="T2979" i="1"/>
  <c r="S2979" i="1"/>
  <c r="R2979" i="1"/>
  <c r="Q2979" i="1"/>
  <c r="P2979" i="1"/>
  <c r="T2978" i="1"/>
  <c r="S2978" i="1"/>
  <c r="R2978" i="1"/>
  <c r="Q2978" i="1"/>
  <c r="P2978" i="1"/>
  <c r="T2977" i="1"/>
  <c r="S2977" i="1"/>
  <c r="R2977" i="1"/>
  <c r="Q2977" i="1"/>
  <c r="P2977" i="1"/>
  <c r="T2976" i="1"/>
  <c r="S2976" i="1"/>
  <c r="R2976" i="1"/>
  <c r="Q2976" i="1"/>
  <c r="P2976" i="1"/>
  <c r="T2975" i="1"/>
  <c r="S2975" i="1"/>
  <c r="R2975" i="1"/>
  <c r="Q2975" i="1"/>
  <c r="P2975" i="1"/>
  <c r="T2974" i="1"/>
  <c r="S2974" i="1"/>
  <c r="R2974" i="1"/>
  <c r="Q2974" i="1"/>
  <c r="P2974" i="1"/>
  <c r="T2973" i="1"/>
  <c r="S2973" i="1"/>
  <c r="R2973" i="1"/>
  <c r="Q2973" i="1"/>
  <c r="P2973" i="1"/>
  <c r="T2972" i="1"/>
  <c r="S2972" i="1"/>
  <c r="R2972" i="1"/>
  <c r="Q2972" i="1"/>
  <c r="P2972" i="1"/>
  <c r="T2971" i="1"/>
  <c r="S2971" i="1"/>
  <c r="R2971" i="1"/>
  <c r="Q2971" i="1"/>
  <c r="P2971" i="1"/>
  <c r="T2970" i="1"/>
  <c r="S2970" i="1"/>
  <c r="R2970" i="1"/>
  <c r="Q2970" i="1"/>
  <c r="P2970" i="1"/>
  <c r="T2969" i="1"/>
  <c r="S2969" i="1"/>
  <c r="R2969" i="1"/>
  <c r="Q2969" i="1"/>
  <c r="P2969" i="1"/>
  <c r="T2968" i="1"/>
  <c r="S2968" i="1"/>
  <c r="R2968" i="1"/>
  <c r="Q2968" i="1"/>
  <c r="P2968" i="1"/>
  <c r="T2967" i="1"/>
  <c r="S2967" i="1"/>
  <c r="R2967" i="1"/>
  <c r="Q2967" i="1"/>
  <c r="P2967" i="1"/>
  <c r="T2966" i="1"/>
  <c r="S2966" i="1"/>
  <c r="R2966" i="1"/>
  <c r="Q2966" i="1"/>
  <c r="P2966" i="1"/>
  <c r="T2965" i="1"/>
  <c r="S2965" i="1"/>
  <c r="R2965" i="1"/>
  <c r="Q2965" i="1"/>
  <c r="P2965" i="1"/>
  <c r="T2964" i="1"/>
  <c r="S2964" i="1"/>
  <c r="R2964" i="1"/>
  <c r="Q2964" i="1"/>
  <c r="P2964" i="1"/>
  <c r="T2963" i="1"/>
  <c r="S2963" i="1"/>
  <c r="R2963" i="1"/>
  <c r="Q2963" i="1"/>
  <c r="P2963" i="1"/>
  <c r="T2962" i="1"/>
  <c r="S2962" i="1"/>
  <c r="R2962" i="1"/>
  <c r="Q2962" i="1"/>
  <c r="P2962" i="1"/>
  <c r="T2961" i="1"/>
  <c r="S2961" i="1"/>
  <c r="R2961" i="1"/>
  <c r="Q2961" i="1"/>
  <c r="P2961" i="1"/>
  <c r="T2960" i="1"/>
  <c r="S2960" i="1"/>
  <c r="R2960" i="1"/>
  <c r="Q2960" i="1"/>
  <c r="P2960" i="1"/>
  <c r="T2959" i="1"/>
  <c r="S2959" i="1"/>
  <c r="R2959" i="1"/>
  <c r="Q2959" i="1"/>
  <c r="P2959" i="1"/>
  <c r="T2958" i="1"/>
  <c r="S2958" i="1"/>
  <c r="R2958" i="1"/>
  <c r="Q2958" i="1"/>
  <c r="P2958" i="1"/>
  <c r="T2957" i="1"/>
  <c r="S2957" i="1"/>
  <c r="R2957" i="1"/>
  <c r="Q2957" i="1"/>
  <c r="P2957" i="1"/>
  <c r="T2956" i="1"/>
  <c r="S2956" i="1"/>
  <c r="R2956" i="1"/>
  <c r="Q2956" i="1"/>
  <c r="P2956" i="1"/>
  <c r="T2955" i="1"/>
  <c r="S2955" i="1"/>
  <c r="R2955" i="1"/>
  <c r="Q2955" i="1"/>
  <c r="P2955" i="1"/>
  <c r="T2954" i="1"/>
  <c r="S2954" i="1"/>
  <c r="R2954" i="1"/>
  <c r="Q2954" i="1"/>
  <c r="P2954" i="1"/>
  <c r="T2953" i="1"/>
  <c r="S2953" i="1"/>
  <c r="R2953" i="1"/>
  <c r="Q2953" i="1"/>
  <c r="P2953" i="1"/>
  <c r="T2952" i="1"/>
  <c r="S2952" i="1"/>
  <c r="R2952" i="1"/>
  <c r="Q2952" i="1"/>
  <c r="P2952" i="1"/>
  <c r="T2951" i="1"/>
  <c r="S2951" i="1"/>
  <c r="R2951" i="1"/>
  <c r="Q2951" i="1"/>
  <c r="P2951" i="1"/>
  <c r="T2950" i="1"/>
  <c r="S2950" i="1"/>
  <c r="R2950" i="1"/>
  <c r="Q2950" i="1"/>
  <c r="P2950" i="1"/>
  <c r="T2949" i="1"/>
  <c r="S2949" i="1"/>
  <c r="R2949" i="1"/>
  <c r="Q2949" i="1"/>
  <c r="P2949" i="1"/>
  <c r="T2948" i="1"/>
  <c r="S2948" i="1"/>
  <c r="R2948" i="1"/>
  <c r="Q2948" i="1"/>
  <c r="P2948" i="1"/>
  <c r="T2947" i="1"/>
  <c r="S2947" i="1"/>
  <c r="R2947" i="1"/>
  <c r="Q2947" i="1"/>
  <c r="P2947" i="1"/>
  <c r="T2946" i="1"/>
  <c r="S2946" i="1"/>
  <c r="R2946" i="1"/>
  <c r="Q2946" i="1"/>
  <c r="P2946" i="1"/>
  <c r="T2945" i="1"/>
  <c r="S2945" i="1"/>
  <c r="R2945" i="1"/>
  <c r="Q2945" i="1"/>
  <c r="P2945" i="1"/>
  <c r="T2944" i="1"/>
  <c r="S2944" i="1"/>
  <c r="R2944" i="1"/>
  <c r="Q2944" i="1"/>
  <c r="P2944" i="1"/>
  <c r="T2943" i="1"/>
  <c r="S2943" i="1"/>
  <c r="R2943" i="1"/>
  <c r="Q2943" i="1"/>
  <c r="P2943" i="1"/>
  <c r="T2942" i="1"/>
  <c r="S2942" i="1"/>
  <c r="R2942" i="1"/>
  <c r="Q2942" i="1"/>
  <c r="P2942" i="1"/>
  <c r="T2941" i="1"/>
  <c r="S2941" i="1"/>
  <c r="R2941" i="1"/>
  <c r="Q2941" i="1"/>
  <c r="P2941" i="1"/>
  <c r="T2940" i="1"/>
  <c r="S2940" i="1"/>
  <c r="R2940" i="1"/>
  <c r="Q2940" i="1"/>
  <c r="P2940" i="1"/>
  <c r="T2939" i="1"/>
  <c r="S2939" i="1"/>
  <c r="R2939" i="1"/>
  <c r="Q2939" i="1"/>
  <c r="P2939" i="1"/>
  <c r="T2938" i="1"/>
  <c r="S2938" i="1"/>
  <c r="R2938" i="1"/>
  <c r="Q2938" i="1"/>
  <c r="P2938" i="1"/>
  <c r="T2937" i="1"/>
  <c r="S2937" i="1"/>
  <c r="R2937" i="1"/>
  <c r="Q2937" i="1"/>
  <c r="P2937" i="1"/>
  <c r="T2936" i="1"/>
  <c r="S2936" i="1"/>
  <c r="R2936" i="1"/>
  <c r="Q2936" i="1"/>
  <c r="P2936" i="1"/>
  <c r="T2935" i="1"/>
  <c r="S2935" i="1"/>
  <c r="R2935" i="1"/>
  <c r="Q2935" i="1"/>
  <c r="P2935" i="1"/>
  <c r="T2934" i="1"/>
  <c r="S2934" i="1"/>
  <c r="R2934" i="1"/>
  <c r="Q2934" i="1"/>
  <c r="P2934" i="1"/>
  <c r="T2933" i="1"/>
  <c r="S2933" i="1"/>
  <c r="R2933" i="1"/>
  <c r="Q2933" i="1"/>
  <c r="P2933" i="1"/>
  <c r="T2932" i="1"/>
  <c r="S2932" i="1"/>
  <c r="R2932" i="1"/>
  <c r="Q2932" i="1"/>
  <c r="P2932" i="1"/>
  <c r="T2931" i="1"/>
  <c r="S2931" i="1"/>
  <c r="R2931" i="1"/>
  <c r="Q2931" i="1"/>
  <c r="P2931" i="1"/>
  <c r="T2930" i="1"/>
  <c r="S2930" i="1"/>
  <c r="R2930" i="1"/>
  <c r="Q2930" i="1"/>
  <c r="P2930" i="1"/>
  <c r="T2929" i="1"/>
  <c r="S2929" i="1"/>
  <c r="R2929" i="1"/>
  <c r="Q2929" i="1"/>
  <c r="P2929" i="1"/>
  <c r="T2928" i="1"/>
  <c r="S2928" i="1"/>
  <c r="R2928" i="1"/>
  <c r="Q2928" i="1"/>
  <c r="P2928" i="1"/>
  <c r="T2927" i="1"/>
  <c r="S2927" i="1"/>
  <c r="R2927" i="1"/>
  <c r="Q2927" i="1"/>
  <c r="P2927" i="1"/>
  <c r="T2926" i="1"/>
  <c r="S2926" i="1"/>
  <c r="R2926" i="1"/>
  <c r="Q2926" i="1"/>
  <c r="P2926" i="1"/>
  <c r="T2925" i="1"/>
  <c r="S2925" i="1"/>
  <c r="R2925" i="1"/>
  <c r="Q2925" i="1"/>
  <c r="P2925" i="1"/>
  <c r="T2924" i="1"/>
  <c r="S2924" i="1"/>
  <c r="R2924" i="1"/>
  <c r="Q2924" i="1"/>
  <c r="P2924" i="1"/>
  <c r="T2923" i="1"/>
  <c r="S2923" i="1"/>
  <c r="R2923" i="1"/>
  <c r="Q2923" i="1"/>
  <c r="P2923" i="1"/>
  <c r="T2922" i="1"/>
  <c r="S2922" i="1"/>
  <c r="R2922" i="1"/>
  <c r="Q2922" i="1"/>
  <c r="P2922" i="1"/>
  <c r="T2921" i="1"/>
  <c r="S2921" i="1"/>
  <c r="R2921" i="1"/>
  <c r="Q2921" i="1"/>
  <c r="P2921" i="1"/>
  <c r="T2920" i="1"/>
  <c r="S2920" i="1"/>
  <c r="R2920" i="1"/>
  <c r="Q2920" i="1"/>
  <c r="P2920" i="1"/>
  <c r="T2919" i="1"/>
  <c r="S2919" i="1"/>
  <c r="R2919" i="1"/>
  <c r="Q2919" i="1"/>
  <c r="P2919" i="1"/>
  <c r="T2918" i="1"/>
  <c r="S2918" i="1"/>
  <c r="R2918" i="1"/>
  <c r="Q2918" i="1"/>
  <c r="P2918" i="1"/>
  <c r="T2917" i="1"/>
  <c r="S2917" i="1"/>
  <c r="R2917" i="1"/>
  <c r="Q2917" i="1"/>
  <c r="P2917" i="1"/>
  <c r="T2916" i="1"/>
  <c r="S2916" i="1"/>
  <c r="R2916" i="1"/>
  <c r="Q2916" i="1"/>
  <c r="P2916" i="1"/>
  <c r="T2915" i="1"/>
  <c r="S2915" i="1"/>
  <c r="R2915" i="1"/>
  <c r="Q2915" i="1"/>
  <c r="P2915" i="1"/>
  <c r="T2914" i="1"/>
  <c r="S2914" i="1"/>
  <c r="R2914" i="1"/>
  <c r="Q2914" i="1"/>
  <c r="P2914" i="1"/>
  <c r="T2913" i="1"/>
  <c r="S2913" i="1"/>
  <c r="R2913" i="1"/>
  <c r="Q2913" i="1"/>
  <c r="P2913" i="1"/>
  <c r="T2912" i="1"/>
  <c r="S2912" i="1"/>
  <c r="R2912" i="1"/>
  <c r="Q2912" i="1"/>
  <c r="P2912" i="1"/>
  <c r="T2911" i="1"/>
  <c r="S2911" i="1"/>
  <c r="R2911" i="1"/>
  <c r="Q2911" i="1"/>
  <c r="P2911" i="1"/>
  <c r="T2910" i="1"/>
  <c r="S2910" i="1"/>
  <c r="R2910" i="1"/>
  <c r="Q2910" i="1"/>
  <c r="P2910" i="1"/>
  <c r="T2909" i="1"/>
  <c r="S2909" i="1"/>
  <c r="R2909" i="1"/>
  <c r="Q2909" i="1"/>
  <c r="P2909" i="1"/>
  <c r="T2908" i="1"/>
  <c r="S2908" i="1"/>
  <c r="R2908" i="1"/>
  <c r="Q2908" i="1"/>
  <c r="P2908" i="1"/>
  <c r="T2907" i="1"/>
  <c r="S2907" i="1"/>
  <c r="R2907" i="1"/>
  <c r="Q2907" i="1"/>
  <c r="P2907" i="1"/>
  <c r="T2906" i="1"/>
  <c r="S2906" i="1"/>
  <c r="R2906" i="1"/>
  <c r="Q2906" i="1"/>
  <c r="P2906" i="1"/>
  <c r="T2905" i="1"/>
  <c r="S2905" i="1"/>
  <c r="R2905" i="1"/>
  <c r="Q2905" i="1"/>
  <c r="P2905" i="1"/>
  <c r="T2904" i="1"/>
  <c r="S2904" i="1"/>
  <c r="R2904" i="1"/>
  <c r="Q2904" i="1"/>
  <c r="P2904" i="1"/>
  <c r="T2903" i="1"/>
  <c r="S2903" i="1"/>
  <c r="R2903" i="1"/>
  <c r="Q2903" i="1"/>
  <c r="P2903" i="1"/>
  <c r="T2902" i="1"/>
  <c r="S2902" i="1"/>
  <c r="R2902" i="1"/>
  <c r="Q2902" i="1"/>
  <c r="P2902" i="1"/>
  <c r="T2901" i="1"/>
  <c r="S2901" i="1"/>
  <c r="R2901" i="1"/>
  <c r="Q2901" i="1"/>
  <c r="P2901" i="1"/>
  <c r="T2900" i="1"/>
  <c r="S2900" i="1"/>
  <c r="R2900" i="1"/>
  <c r="Q2900" i="1"/>
  <c r="P2900" i="1"/>
  <c r="T2899" i="1"/>
  <c r="S2899" i="1"/>
  <c r="R2899" i="1"/>
  <c r="Q2899" i="1"/>
  <c r="P2899" i="1"/>
  <c r="T2898" i="1"/>
  <c r="S2898" i="1"/>
  <c r="R2898" i="1"/>
  <c r="Q2898" i="1"/>
  <c r="P2898" i="1"/>
  <c r="T2897" i="1"/>
  <c r="S2897" i="1"/>
  <c r="R2897" i="1"/>
  <c r="Q2897" i="1"/>
  <c r="P2897" i="1"/>
  <c r="T2896" i="1"/>
  <c r="S2896" i="1"/>
  <c r="R2896" i="1"/>
  <c r="Q2896" i="1"/>
  <c r="P2896" i="1"/>
  <c r="T2895" i="1"/>
  <c r="S2895" i="1"/>
  <c r="R2895" i="1"/>
  <c r="Q2895" i="1"/>
  <c r="P2895" i="1"/>
  <c r="T2894" i="1"/>
  <c r="S2894" i="1"/>
  <c r="R2894" i="1"/>
  <c r="Q2894" i="1"/>
  <c r="P2894" i="1"/>
  <c r="T2893" i="1"/>
  <c r="S2893" i="1"/>
  <c r="R2893" i="1"/>
  <c r="Q2893" i="1"/>
  <c r="P2893" i="1"/>
  <c r="T2892" i="1"/>
  <c r="S2892" i="1"/>
  <c r="R2892" i="1"/>
  <c r="Q2892" i="1"/>
  <c r="P2892" i="1"/>
  <c r="T2891" i="1"/>
  <c r="S2891" i="1"/>
  <c r="R2891" i="1"/>
  <c r="Q2891" i="1"/>
  <c r="P2891" i="1"/>
  <c r="T2890" i="1"/>
  <c r="S2890" i="1"/>
  <c r="R2890" i="1"/>
  <c r="Q2890" i="1"/>
  <c r="P2890" i="1"/>
  <c r="T2889" i="1"/>
  <c r="S2889" i="1"/>
  <c r="R2889" i="1"/>
  <c r="Q2889" i="1"/>
  <c r="P2889" i="1"/>
  <c r="T2888" i="1"/>
  <c r="S2888" i="1"/>
  <c r="R2888" i="1"/>
  <c r="Q2888" i="1"/>
  <c r="P2888" i="1"/>
  <c r="T2887" i="1"/>
  <c r="S2887" i="1"/>
  <c r="R2887" i="1"/>
  <c r="Q2887" i="1"/>
  <c r="P2887" i="1"/>
  <c r="T2886" i="1"/>
  <c r="S2886" i="1"/>
  <c r="R2886" i="1"/>
  <c r="Q2886" i="1"/>
  <c r="P2886" i="1"/>
  <c r="T2885" i="1"/>
  <c r="S2885" i="1"/>
  <c r="R2885" i="1"/>
  <c r="Q2885" i="1"/>
  <c r="P2885" i="1"/>
  <c r="T2884" i="1"/>
  <c r="S2884" i="1"/>
  <c r="R2884" i="1"/>
  <c r="Q2884" i="1"/>
  <c r="P2884" i="1"/>
  <c r="T2883" i="1"/>
  <c r="S2883" i="1"/>
  <c r="R2883" i="1"/>
  <c r="Q2883" i="1"/>
  <c r="P2883" i="1"/>
  <c r="T2882" i="1"/>
  <c r="S2882" i="1"/>
  <c r="R2882" i="1"/>
  <c r="Q2882" i="1"/>
  <c r="P2882" i="1"/>
  <c r="T2881" i="1"/>
  <c r="S2881" i="1"/>
  <c r="R2881" i="1"/>
  <c r="Q2881" i="1"/>
  <c r="P2881" i="1"/>
  <c r="T2880" i="1"/>
  <c r="S2880" i="1"/>
  <c r="R2880" i="1"/>
  <c r="Q2880" i="1"/>
  <c r="P2880" i="1"/>
  <c r="T2879" i="1"/>
  <c r="S2879" i="1"/>
  <c r="R2879" i="1"/>
  <c r="Q2879" i="1"/>
  <c r="P2879" i="1"/>
  <c r="T2878" i="1"/>
  <c r="S2878" i="1"/>
  <c r="R2878" i="1"/>
  <c r="Q2878" i="1"/>
  <c r="P2878" i="1"/>
  <c r="T2877" i="1"/>
  <c r="S2877" i="1"/>
  <c r="R2877" i="1"/>
  <c r="Q2877" i="1"/>
  <c r="P2877" i="1"/>
  <c r="T2876" i="1"/>
  <c r="S2876" i="1"/>
  <c r="R2876" i="1"/>
  <c r="Q2876" i="1"/>
  <c r="P2876" i="1"/>
  <c r="T2875" i="1"/>
  <c r="S2875" i="1"/>
  <c r="R2875" i="1"/>
  <c r="Q2875" i="1"/>
  <c r="P2875" i="1"/>
  <c r="T2874" i="1"/>
  <c r="S2874" i="1"/>
  <c r="R2874" i="1"/>
  <c r="Q2874" i="1"/>
  <c r="P2874" i="1"/>
  <c r="T2873" i="1"/>
  <c r="S2873" i="1"/>
  <c r="R2873" i="1"/>
  <c r="Q2873" i="1"/>
  <c r="P2873" i="1"/>
  <c r="T2872" i="1"/>
  <c r="S2872" i="1"/>
  <c r="R2872" i="1"/>
  <c r="Q2872" i="1"/>
  <c r="P2872" i="1"/>
  <c r="T2871" i="1"/>
  <c r="S2871" i="1"/>
  <c r="R2871" i="1"/>
  <c r="Q2871" i="1"/>
  <c r="P2871" i="1"/>
  <c r="T2870" i="1"/>
  <c r="S2870" i="1"/>
  <c r="R2870" i="1"/>
  <c r="Q2870" i="1"/>
  <c r="P2870" i="1"/>
  <c r="T2869" i="1"/>
  <c r="S2869" i="1"/>
  <c r="R2869" i="1"/>
  <c r="Q2869" i="1"/>
  <c r="P2869" i="1"/>
  <c r="T2868" i="1"/>
  <c r="S2868" i="1"/>
  <c r="R2868" i="1"/>
  <c r="Q2868" i="1"/>
  <c r="P2868" i="1"/>
  <c r="T2867" i="1"/>
  <c r="S2867" i="1"/>
  <c r="R2867" i="1"/>
  <c r="Q2867" i="1"/>
  <c r="P2867" i="1"/>
  <c r="T2866" i="1"/>
  <c r="S2866" i="1"/>
  <c r="R2866" i="1"/>
  <c r="Q2866" i="1"/>
  <c r="P2866" i="1"/>
  <c r="T2865" i="1"/>
  <c r="S2865" i="1"/>
  <c r="R2865" i="1"/>
  <c r="Q2865" i="1"/>
  <c r="P2865" i="1"/>
  <c r="T2864" i="1"/>
  <c r="S2864" i="1"/>
  <c r="R2864" i="1"/>
  <c r="Q2864" i="1"/>
  <c r="P2864" i="1"/>
  <c r="T2863" i="1"/>
  <c r="S2863" i="1"/>
  <c r="R2863" i="1"/>
  <c r="Q2863" i="1"/>
  <c r="P2863" i="1"/>
  <c r="T2862" i="1"/>
  <c r="S2862" i="1"/>
  <c r="R2862" i="1"/>
  <c r="Q2862" i="1"/>
  <c r="P2862" i="1"/>
  <c r="T2861" i="1"/>
  <c r="S2861" i="1"/>
  <c r="R2861" i="1"/>
  <c r="Q2861" i="1"/>
  <c r="P2861" i="1"/>
  <c r="T2860" i="1"/>
  <c r="S2860" i="1"/>
  <c r="R2860" i="1"/>
  <c r="Q2860" i="1"/>
  <c r="P2860" i="1"/>
  <c r="T2859" i="1"/>
  <c r="S2859" i="1"/>
  <c r="R2859" i="1"/>
  <c r="Q2859" i="1"/>
  <c r="P2859" i="1"/>
  <c r="T2858" i="1"/>
  <c r="S2858" i="1"/>
  <c r="R2858" i="1"/>
  <c r="Q2858" i="1"/>
  <c r="P2858" i="1"/>
  <c r="T2857" i="1"/>
  <c r="S2857" i="1"/>
  <c r="R2857" i="1"/>
  <c r="Q2857" i="1"/>
  <c r="P2857" i="1"/>
  <c r="T2856" i="1"/>
  <c r="S2856" i="1"/>
  <c r="R2856" i="1"/>
  <c r="Q2856" i="1"/>
  <c r="P2856" i="1"/>
  <c r="T2855" i="1"/>
  <c r="S2855" i="1"/>
  <c r="R2855" i="1"/>
  <c r="Q2855" i="1"/>
  <c r="P2855" i="1"/>
  <c r="T2854" i="1"/>
  <c r="S2854" i="1"/>
  <c r="R2854" i="1"/>
  <c r="Q2854" i="1"/>
  <c r="P2854" i="1"/>
  <c r="T2853" i="1"/>
  <c r="S2853" i="1"/>
  <c r="R2853" i="1"/>
  <c r="Q2853" i="1"/>
  <c r="P2853" i="1"/>
  <c r="T2852" i="1"/>
  <c r="S2852" i="1"/>
  <c r="R2852" i="1"/>
  <c r="Q2852" i="1"/>
  <c r="P2852" i="1"/>
  <c r="T2851" i="1"/>
  <c r="S2851" i="1"/>
  <c r="R2851" i="1"/>
  <c r="Q2851" i="1"/>
  <c r="P2851" i="1"/>
  <c r="T2850" i="1"/>
  <c r="S2850" i="1"/>
  <c r="R2850" i="1"/>
  <c r="Q2850" i="1"/>
  <c r="P2850" i="1"/>
  <c r="T2849" i="1"/>
  <c r="S2849" i="1"/>
  <c r="R2849" i="1"/>
  <c r="Q2849" i="1"/>
  <c r="P2849" i="1"/>
  <c r="T2848" i="1"/>
  <c r="S2848" i="1"/>
  <c r="R2848" i="1"/>
  <c r="Q2848" i="1"/>
  <c r="P2848" i="1"/>
  <c r="T2847" i="1"/>
  <c r="S2847" i="1"/>
  <c r="R2847" i="1"/>
  <c r="Q2847" i="1"/>
  <c r="P2847" i="1"/>
  <c r="T2846" i="1"/>
  <c r="S2846" i="1"/>
  <c r="R2846" i="1"/>
  <c r="Q2846" i="1"/>
  <c r="P2846" i="1"/>
  <c r="T2845" i="1"/>
  <c r="S2845" i="1"/>
  <c r="R2845" i="1"/>
  <c r="Q2845" i="1"/>
  <c r="P2845" i="1"/>
  <c r="T2844" i="1"/>
  <c r="S2844" i="1"/>
  <c r="R2844" i="1"/>
  <c r="Q2844" i="1"/>
  <c r="P2844" i="1"/>
  <c r="T2843" i="1"/>
  <c r="S2843" i="1"/>
  <c r="R2843" i="1"/>
  <c r="Q2843" i="1"/>
  <c r="P2843" i="1"/>
  <c r="T2842" i="1"/>
  <c r="S2842" i="1"/>
  <c r="R2842" i="1"/>
  <c r="Q2842" i="1"/>
  <c r="P2842" i="1"/>
  <c r="T2841" i="1"/>
  <c r="S2841" i="1"/>
  <c r="R2841" i="1"/>
  <c r="Q2841" i="1"/>
  <c r="P2841" i="1"/>
  <c r="T2840" i="1"/>
  <c r="S2840" i="1"/>
  <c r="R2840" i="1"/>
  <c r="Q2840" i="1"/>
  <c r="P2840" i="1"/>
  <c r="T2839" i="1"/>
  <c r="S2839" i="1"/>
  <c r="R2839" i="1"/>
  <c r="Q2839" i="1"/>
  <c r="P2839" i="1"/>
  <c r="T2838" i="1"/>
  <c r="S2838" i="1"/>
  <c r="R2838" i="1"/>
  <c r="Q2838" i="1"/>
  <c r="P2838" i="1"/>
  <c r="T2837" i="1"/>
  <c r="S2837" i="1"/>
  <c r="R2837" i="1"/>
  <c r="Q2837" i="1"/>
  <c r="P2837" i="1"/>
  <c r="T2836" i="1"/>
  <c r="S2836" i="1"/>
  <c r="R2836" i="1"/>
  <c r="Q2836" i="1"/>
  <c r="P2836" i="1"/>
  <c r="T2835" i="1"/>
  <c r="S2835" i="1"/>
  <c r="R2835" i="1"/>
  <c r="Q2835" i="1"/>
  <c r="P2835" i="1"/>
  <c r="T2834" i="1"/>
  <c r="S2834" i="1"/>
  <c r="R2834" i="1"/>
  <c r="Q2834" i="1"/>
  <c r="P2834" i="1"/>
  <c r="T2833" i="1"/>
  <c r="S2833" i="1"/>
  <c r="R2833" i="1"/>
  <c r="Q2833" i="1"/>
  <c r="P2833" i="1"/>
  <c r="T2832" i="1"/>
  <c r="S2832" i="1"/>
  <c r="R2832" i="1"/>
  <c r="Q2832" i="1"/>
  <c r="P2832" i="1"/>
  <c r="T2831" i="1"/>
  <c r="S2831" i="1"/>
  <c r="R2831" i="1"/>
  <c r="Q2831" i="1"/>
  <c r="P2831" i="1"/>
  <c r="T2830" i="1"/>
  <c r="S2830" i="1"/>
  <c r="R2830" i="1"/>
  <c r="Q2830" i="1"/>
  <c r="P2830" i="1"/>
  <c r="T2829" i="1"/>
  <c r="S2829" i="1"/>
  <c r="R2829" i="1"/>
  <c r="Q2829" i="1"/>
  <c r="P2829" i="1"/>
  <c r="T2828" i="1"/>
  <c r="S2828" i="1"/>
  <c r="R2828" i="1"/>
  <c r="Q2828" i="1"/>
  <c r="P2828" i="1"/>
  <c r="T2827" i="1"/>
  <c r="S2827" i="1"/>
  <c r="R2827" i="1"/>
  <c r="Q2827" i="1"/>
  <c r="P2827" i="1"/>
  <c r="T2826" i="1"/>
  <c r="S2826" i="1"/>
  <c r="R2826" i="1"/>
  <c r="Q2826" i="1"/>
  <c r="P2826" i="1"/>
  <c r="T2825" i="1"/>
  <c r="S2825" i="1"/>
  <c r="R2825" i="1"/>
  <c r="Q2825" i="1"/>
  <c r="P2825" i="1"/>
  <c r="T2824" i="1"/>
  <c r="S2824" i="1"/>
  <c r="R2824" i="1"/>
  <c r="Q2824" i="1"/>
  <c r="P2824" i="1"/>
  <c r="T2823" i="1"/>
  <c r="S2823" i="1"/>
  <c r="R2823" i="1"/>
  <c r="Q2823" i="1"/>
  <c r="P2823" i="1"/>
  <c r="T2822" i="1"/>
  <c r="S2822" i="1"/>
  <c r="R2822" i="1"/>
  <c r="Q2822" i="1"/>
  <c r="P2822" i="1"/>
  <c r="T2821" i="1"/>
  <c r="S2821" i="1"/>
  <c r="R2821" i="1"/>
  <c r="Q2821" i="1"/>
  <c r="P2821" i="1"/>
  <c r="T2820" i="1"/>
  <c r="S2820" i="1"/>
  <c r="R2820" i="1"/>
  <c r="Q2820" i="1"/>
  <c r="P2820" i="1"/>
  <c r="T2819" i="1"/>
  <c r="S2819" i="1"/>
  <c r="R2819" i="1"/>
  <c r="Q2819" i="1"/>
  <c r="P2819" i="1"/>
  <c r="T2818" i="1"/>
  <c r="S2818" i="1"/>
  <c r="R2818" i="1"/>
  <c r="Q2818" i="1"/>
  <c r="P2818" i="1"/>
  <c r="T2817" i="1"/>
  <c r="S2817" i="1"/>
  <c r="R2817" i="1"/>
  <c r="Q2817" i="1"/>
  <c r="P2817" i="1"/>
  <c r="T2816" i="1"/>
  <c r="S2816" i="1"/>
  <c r="R2816" i="1"/>
  <c r="Q2816" i="1"/>
  <c r="P2816" i="1"/>
  <c r="T2815" i="1"/>
  <c r="S2815" i="1"/>
  <c r="R2815" i="1"/>
  <c r="Q2815" i="1"/>
  <c r="P2815" i="1"/>
  <c r="T2814" i="1"/>
  <c r="S2814" i="1"/>
  <c r="R2814" i="1"/>
  <c r="Q2814" i="1"/>
  <c r="P2814" i="1"/>
  <c r="T2813" i="1"/>
  <c r="S2813" i="1"/>
  <c r="R2813" i="1"/>
  <c r="Q2813" i="1"/>
  <c r="P2813" i="1"/>
  <c r="T2812" i="1"/>
  <c r="S2812" i="1"/>
  <c r="R2812" i="1"/>
  <c r="Q2812" i="1"/>
  <c r="P2812" i="1"/>
  <c r="T2811" i="1"/>
  <c r="S2811" i="1"/>
  <c r="R2811" i="1"/>
  <c r="Q2811" i="1"/>
  <c r="P2811" i="1"/>
  <c r="T2810" i="1"/>
  <c r="S2810" i="1"/>
  <c r="R2810" i="1"/>
  <c r="Q2810" i="1"/>
  <c r="P2810" i="1"/>
  <c r="T2809" i="1"/>
  <c r="S2809" i="1"/>
  <c r="R2809" i="1"/>
  <c r="Q2809" i="1"/>
  <c r="P2809" i="1"/>
  <c r="T2808" i="1"/>
  <c r="S2808" i="1"/>
  <c r="R2808" i="1"/>
  <c r="Q2808" i="1"/>
  <c r="P2808" i="1"/>
  <c r="T2807" i="1"/>
  <c r="S2807" i="1"/>
  <c r="R2807" i="1"/>
  <c r="Q2807" i="1"/>
  <c r="P2807" i="1"/>
  <c r="T2806" i="1"/>
  <c r="S2806" i="1"/>
  <c r="R2806" i="1"/>
  <c r="Q2806" i="1"/>
  <c r="P2806" i="1"/>
  <c r="T2805" i="1"/>
  <c r="S2805" i="1"/>
  <c r="R2805" i="1"/>
  <c r="Q2805" i="1"/>
  <c r="P2805" i="1"/>
  <c r="T2804" i="1"/>
  <c r="S2804" i="1"/>
  <c r="R2804" i="1"/>
  <c r="Q2804" i="1"/>
  <c r="P2804" i="1"/>
  <c r="T2803" i="1"/>
  <c r="S2803" i="1"/>
  <c r="R2803" i="1"/>
  <c r="Q2803" i="1"/>
  <c r="P2803" i="1"/>
  <c r="T2802" i="1"/>
  <c r="S2802" i="1"/>
  <c r="R2802" i="1"/>
  <c r="Q2802" i="1"/>
  <c r="P2802" i="1"/>
  <c r="T2801" i="1"/>
  <c r="S2801" i="1"/>
  <c r="R2801" i="1"/>
  <c r="Q2801" i="1"/>
  <c r="P2801" i="1"/>
  <c r="T2800" i="1"/>
  <c r="S2800" i="1"/>
  <c r="R2800" i="1"/>
  <c r="Q2800" i="1"/>
  <c r="P2800" i="1"/>
  <c r="T2799" i="1"/>
  <c r="S2799" i="1"/>
  <c r="R2799" i="1"/>
  <c r="Q2799" i="1"/>
  <c r="P2799" i="1"/>
  <c r="T2798" i="1"/>
  <c r="S2798" i="1"/>
  <c r="R2798" i="1"/>
  <c r="Q2798" i="1"/>
  <c r="P2798" i="1"/>
  <c r="T2797" i="1"/>
  <c r="S2797" i="1"/>
  <c r="R2797" i="1"/>
  <c r="Q2797" i="1"/>
  <c r="P2797" i="1"/>
  <c r="T2796" i="1"/>
  <c r="S2796" i="1"/>
  <c r="R2796" i="1"/>
  <c r="Q2796" i="1"/>
  <c r="P2796" i="1"/>
  <c r="T2795" i="1"/>
  <c r="S2795" i="1"/>
  <c r="R2795" i="1"/>
  <c r="Q2795" i="1"/>
  <c r="P2795" i="1"/>
  <c r="T2794" i="1"/>
  <c r="S2794" i="1"/>
  <c r="R2794" i="1"/>
  <c r="Q2794" i="1"/>
  <c r="P2794" i="1"/>
  <c r="T2793" i="1"/>
  <c r="S2793" i="1"/>
  <c r="R2793" i="1"/>
  <c r="Q2793" i="1"/>
  <c r="P2793" i="1"/>
  <c r="T2792" i="1"/>
  <c r="S2792" i="1"/>
  <c r="R2792" i="1"/>
  <c r="Q2792" i="1"/>
  <c r="P2792" i="1"/>
  <c r="T2791" i="1"/>
  <c r="S2791" i="1"/>
  <c r="R2791" i="1"/>
  <c r="Q2791" i="1"/>
  <c r="P2791" i="1"/>
  <c r="T2790" i="1"/>
  <c r="S2790" i="1"/>
  <c r="R2790" i="1"/>
  <c r="Q2790" i="1"/>
  <c r="P2790" i="1"/>
  <c r="T2789" i="1"/>
  <c r="S2789" i="1"/>
  <c r="R2789" i="1"/>
  <c r="Q2789" i="1"/>
  <c r="P2789" i="1"/>
  <c r="T2788" i="1"/>
  <c r="S2788" i="1"/>
  <c r="R2788" i="1"/>
  <c r="Q2788" i="1"/>
  <c r="P2788" i="1"/>
  <c r="T2787" i="1"/>
  <c r="S2787" i="1"/>
  <c r="R2787" i="1"/>
  <c r="Q2787" i="1"/>
  <c r="P2787" i="1"/>
  <c r="T2786" i="1"/>
  <c r="S2786" i="1"/>
  <c r="R2786" i="1"/>
  <c r="Q2786" i="1"/>
  <c r="P2786" i="1"/>
  <c r="T2785" i="1"/>
  <c r="S2785" i="1"/>
  <c r="R2785" i="1"/>
  <c r="Q2785" i="1"/>
  <c r="P2785" i="1"/>
  <c r="T2784" i="1"/>
  <c r="S2784" i="1"/>
  <c r="R2784" i="1"/>
  <c r="Q2784" i="1"/>
  <c r="P2784" i="1"/>
  <c r="T2783" i="1"/>
  <c r="S2783" i="1"/>
  <c r="R2783" i="1"/>
  <c r="Q2783" i="1"/>
  <c r="P2783" i="1"/>
  <c r="T2782" i="1"/>
  <c r="S2782" i="1"/>
  <c r="R2782" i="1"/>
  <c r="Q2782" i="1"/>
  <c r="P2782" i="1"/>
  <c r="T2781" i="1"/>
  <c r="S2781" i="1"/>
  <c r="R2781" i="1"/>
  <c r="Q2781" i="1"/>
  <c r="P2781" i="1"/>
  <c r="T2780" i="1"/>
  <c r="S2780" i="1"/>
  <c r="R2780" i="1"/>
  <c r="Q2780" i="1"/>
  <c r="P2780" i="1"/>
  <c r="T2779" i="1"/>
  <c r="S2779" i="1"/>
  <c r="R2779" i="1"/>
  <c r="Q2779" i="1"/>
  <c r="P2779" i="1"/>
  <c r="T2778" i="1"/>
  <c r="S2778" i="1"/>
  <c r="R2778" i="1"/>
  <c r="Q2778" i="1"/>
  <c r="P2778" i="1"/>
  <c r="T2777" i="1"/>
  <c r="S2777" i="1"/>
  <c r="R2777" i="1"/>
  <c r="Q2777" i="1"/>
  <c r="P2777" i="1"/>
  <c r="T2776" i="1"/>
  <c r="S2776" i="1"/>
  <c r="R2776" i="1"/>
  <c r="Q2776" i="1"/>
  <c r="P2776" i="1"/>
  <c r="T2775" i="1"/>
  <c r="S2775" i="1"/>
  <c r="R2775" i="1"/>
  <c r="Q2775" i="1"/>
  <c r="P2775" i="1"/>
  <c r="T2774" i="1"/>
  <c r="S2774" i="1"/>
  <c r="R2774" i="1"/>
  <c r="Q2774" i="1"/>
  <c r="P2774" i="1"/>
  <c r="T2773" i="1"/>
  <c r="S2773" i="1"/>
  <c r="R2773" i="1"/>
  <c r="Q2773" i="1"/>
  <c r="P2773" i="1"/>
  <c r="T2772" i="1"/>
  <c r="S2772" i="1"/>
  <c r="R2772" i="1"/>
  <c r="Q2772" i="1"/>
  <c r="P2772" i="1"/>
  <c r="T2771" i="1"/>
  <c r="S2771" i="1"/>
  <c r="R2771" i="1"/>
  <c r="Q2771" i="1"/>
  <c r="P2771" i="1"/>
  <c r="T2770" i="1"/>
  <c r="S2770" i="1"/>
  <c r="R2770" i="1"/>
  <c r="Q2770" i="1"/>
  <c r="P2770" i="1"/>
  <c r="T2769" i="1"/>
  <c r="S2769" i="1"/>
  <c r="R2769" i="1"/>
  <c r="Q2769" i="1"/>
  <c r="P2769" i="1"/>
  <c r="T2768" i="1"/>
  <c r="S2768" i="1"/>
  <c r="R2768" i="1"/>
  <c r="Q2768" i="1"/>
  <c r="P2768" i="1"/>
  <c r="T2767" i="1"/>
  <c r="S2767" i="1"/>
  <c r="R2767" i="1"/>
  <c r="Q2767" i="1"/>
  <c r="P2767" i="1"/>
  <c r="T2766" i="1"/>
  <c r="S2766" i="1"/>
  <c r="R2766" i="1"/>
  <c r="Q2766" i="1"/>
  <c r="P2766" i="1"/>
  <c r="T2765" i="1"/>
  <c r="S2765" i="1"/>
  <c r="R2765" i="1"/>
  <c r="Q2765" i="1"/>
  <c r="P2765" i="1"/>
  <c r="T2764" i="1"/>
  <c r="S2764" i="1"/>
  <c r="R2764" i="1"/>
  <c r="Q2764" i="1"/>
  <c r="P2764" i="1"/>
  <c r="T2763" i="1"/>
  <c r="S2763" i="1"/>
  <c r="R2763" i="1"/>
  <c r="Q2763" i="1"/>
  <c r="P2763" i="1"/>
  <c r="T2762" i="1"/>
  <c r="S2762" i="1"/>
  <c r="R2762" i="1"/>
  <c r="Q2762" i="1"/>
  <c r="P2762" i="1"/>
  <c r="T2761" i="1"/>
  <c r="S2761" i="1"/>
  <c r="R2761" i="1"/>
  <c r="Q2761" i="1"/>
  <c r="P2761" i="1"/>
  <c r="T2760" i="1"/>
  <c r="S2760" i="1"/>
  <c r="R2760" i="1"/>
  <c r="Q2760" i="1"/>
  <c r="P2760" i="1"/>
  <c r="T2759" i="1"/>
  <c r="S2759" i="1"/>
  <c r="R2759" i="1"/>
  <c r="Q2759" i="1"/>
  <c r="P2759" i="1"/>
  <c r="T2758" i="1"/>
  <c r="S2758" i="1"/>
  <c r="R2758" i="1"/>
  <c r="Q2758" i="1"/>
  <c r="P2758" i="1"/>
  <c r="T2757" i="1"/>
  <c r="S2757" i="1"/>
  <c r="R2757" i="1"/>
  <c r="Q2757" i="1"/>
  <c r="P2757" i="1"/>
  <c r="T2756" i="1"/>
  <c r="S2756" i="1"/>
  <c r="R2756" i="1"/>
  <c r="Q2756" i="1"/>
  <c r="P2756" i="1"/>
  <c r="T2755" i="1"/>
  <c r="S2755" i="1"/>
  <c r="R2755" i="1"/>
  <c r="Q2755" i="1"/>
  <c r="P2755" i="1"/>
  <c r="T2754" i="1"/>
  <c r="S2754" i="1"/>
  <c r="R2754" i="1"/>
  <c r="Q2754" i="1"/>
  <c r="P2754" i="1"/>
  <c r="T2753" i="1"/>
  <c r="S2753" i="1"/>
  <c r="R2753" i="1"/>
  <c r="Q2753" i="1"/>
  <c r="P2753" i="1"/>
  <c r="T2752" i="1"/>
  <c r="S2752" i="1"/>
  <c r="R2752" i="1"/>
  <c r="Q2752" i="1"/>
  <c r="P2752" i="1"/>
  <c r="T2751" i="1"/>
  <c r="S2751" i="1"/>
  <c r="R2751" i="1"/>
  <c r="Q2751" i="1"/>
  <c r="P2751" i="1"/>
  <c r="T2750" i="1"/>
  <c r="S2750" i="1"/>
  <c r="R2750" i="1"/>
  <c r="Q2750" i="1"/>
  <c r="P2750" i="1"/>
  <c r="T2749" i="1"/>
  <c r="S2749" i="1"/>
  <c r="R2749" i="1"/>
  <c r="Q2749" i="1"/>
  <c r="P2749" i="1"/>
  <c r="T2748" i="1"/>
  <c r="S2748" i="1"/>
  <c r="R2748" i="1"/>
  <c r="Q2748" i="1"/>
  <c r="P2748" i="1"/>
  <c r="T2747" i="1"/>
  <c r="S2747" i="1"/>
  <c r="R2747" i="1"/>
  <c r="Q2747" i="1"/>
  <c r="P2747" i="1"/>
  <c r="T2746" i="1"/>
  <c r="S2746" i="1"/>
  <c r="R2746" i="1"/>
  <c r="Q2746" i="1"/>
  <c r="P2746" i="1"/>
  <c r="T2745" i="1"/>
  <c r="S2745" i="1"/>
  <c r="R2745" i="1"/>
  <c r="Q2745" i="1"/>
  <c r="P2745" i="1"/>
  <c r="T2744" i="1"/>
  <c r="S2744" i="1"/>
  <c r="R2744" i="1"/>
  <c r="Q2744" i="1"/>
  <c r="P2744" i="1"/>
  <c r="T2743" i="1"/>
  <c r="S2743" i="1"/>
  <c r="R2743" i="1"/>
  <c r="Q2743" i="1"/>
  <c r="P2743" i="1"/>
  <c r="T2742" i="1"/>
  <c r="S2742" i="1"/>
  <c r="R2742" i="1"/>
  <c r="Q2742" i="1"/>
  <c r="P2742" i="1"/>
  <c r="T2741" i="1"/>
  <c r="S2741" i="1"/>
  <c r="R2741" i="1"/>
  <c r="Q2741" i="1"/>
  <c r="P2741" i="1"/>
  <c r="T2740" i="1"/>
  <c r="S2740" i="1"/>
  <c r="R2740" i="1"/>
  <c r="Q2740" i="1"/>
  <c r="P2740" i="1"/>
  <c r="T2739" i="1"/>
  <c r="S2739" i="1"/>
  <c r="R2739" i="1"/>
  <c r="Q2739" i="1"/>
  <c r="P2739" i="1"/>
  <c r="T2738" i="1"/>
  <c r="S2738" i="1"/>
  <c r="R2738" i="1"/>
  <c r="Q2738" i="1"/>
  <c r="P2738" i="1"/>
  <c r="T2737" i="1"/>
  <c r="S2737" i="1"/>
  <c r="R2737" i="1"/>
  <c r="Q2737" i="1"/>
  <c r="P2737" i="1"/>
  <c r="T2736" i="1"/>
  <c r="S2736" i="1"/>
  <c r="R2736" i="1"/>
  <c r="Q2736" i="1"/>
  <c r="P2736" i="1"/>
  <c r="T2735" i="1"/>
  <c r="S2735" i="1"/>
  <c r="R2735" i="1"/>
  <c r="Q2735" i="1"/>
  <c r="P2735" i="1"/>
  <c r="T2734" i="1"/>
  <c r="S2734" i="1"/>
  <c r="R2734" i="1"/>
  <c r="Q2734" i="1"/>
  <c r="P2734" i="1"/>
  <c r="T2733" i="1"/>
  <c r="S2733" i="1"/>
  <c r="R2733" i="1"/>
  <c r="Q2733" i="1"/>
  <c r="P2733" i="1"/>
  <c r="T2732" i="1"/>
  <c r="S2732" i="1"/>
  <c r="R2732" i="1"/>
  <c r="Q2732" i="1"/>
  <c r="P2732" i="1"/>
  <c r="T2731" i="1"/>
  <c r="S2731" i="1"/>
  <c r="R2731" i="1"/>
  <c r="Q2731" i="1"/>
  <c r="P2731" i="1"/>
  <c r="T2730" i="1"/>
  <c r="S2730" i="1"/>
  <c r="R2730" i="1"/>
  <c r="Q2730" i="1"/>
  <c r="P2730" i="1"/>
  <c r="T2729" i="1"/>
  <c r="S2729" i="1"/>
  <c r="R2729" i="1"/>
  <c r="Q2729" i="1"/>
  <c r="P2729" i="1"/>
  <c r="T2728" i="1"/>
  <c r="S2728" i="1"/>
  <c r="R2728" i="1"/>
  <c r="Q2728" i="1"/>
  <c r="P2728" i="1"/>
  <c r="T2727" i="1"/>
  <c r="S2727" i="1"/>
  <c r="R2727" i="1"/>
  <c r="Q2727" i="1"/>
  <c r="P2727" i="1"/>
  <c r="T2726" i="1"/>
  <c r="S2726" i="1"/>
  <c r="R2726" i="1"/>
  <c r="Q2726" i="1"/>
  <c r="P2726" i="1"/>
  <c r="T2725" i="1"/>
  <c r="S2725" i="1"/>
  <c r="R2725" i="1"/>
  <c r="Q2725" i="1"/>
  <c r="P2725" i="1"/>
  <c r="T2724" i="1"/>
  <c r="S2724" i="1"/>
  <c r="R2724" i="1"/>
  <c r="Q2724" i="1"/>
  <c r="P2724" i="1"/>
  <c r="T2723" i="1"/>
  <c r="S2723" i="1"/>
  <c r="R2723" i="1"/>
  <c r="Q2723" i="1"/>
  <c r="P2723" i="1"/>
  <c r="T2722" i="1"/>
  <c r="S2722" i="1"/>
  <c r="R2722" i="1"/>
  <c r="Q2722" i="1"/>
  <c r="P2722" i="1"/>
  <c r="T2721" i="1"/>
  <c r="S2721" i="1"/>
  <c r="R2721" i="1"/>
  <c r="Q2721" i="1"/>
  <c r="P2721" i="1"/>
  <c r="T2720" i="1"/>
  <c r="S2720" i="1"/>
  <c r="R2720" i="1"/>
  <c r="Q2720" i="1"/>
  <c r="P2720" i="1"/>
  <c r="T2719" i="1"/>
  <c r="S2719" i="1"/>
  <c r="R2719" i="1"/>
  <c r="Q2719" i="1"/>
  <c r="P2719" i="1"/>
  <c r="T2718" i="1"/>
  <c r="S2718" i="1"/>
  <c r="R2718" i="1"/>
  <c r="Q2718" i="1"/>
  <c r="P2718" i="1"/>
  <c r="T2717" i="1"/>
  <c r="S2717" i="1"/>
  <c r="R2717" i="1"/>
  <c r="Q2717" i="1"/>
  <c r="P2717" i="1"/>
  <c r="T2716" i="1"/>
  <c r="S2716" i="1"/>
  <c r="R2716" i="1"/>
  <c r="Q2716" i="1"/>
  <c r="P2716" i="1"/>
  <c r="T2715" i="1"/>
  <c r="S2715" i="1"/>
  <c r="R2715" i="1"/>
  <c r="Q2715" i="1"/>
  <c r="P2715" i="1"/>
  <c r="T2714" i="1"/>
  <c r="S2714" i="1"/>
  <c r="R2714" i="1"/>
  <c r="Q2714" i="1"/>
  <c r="P2714" i="1"/>
  <c r="T2713" i="1"/>
  <c r="S2713" i="1"/>
  <c r="R2713" i="1"/>
  <c r="Q2713" i="1"/>
  <c r="P2713" i="1"/>
  <c r="T2712" i="1"/>
  <c r="S2712" i="1"/>
  <c r="R2712" i="1"/>
  <c r="Q2712" i="1"/>
  <c r="P2712" i="1"/>
  <c r="T2711" i="1"/>
  <c r="S2711" i="1"/>
  <c r="R2711" i="1"/>
  <c r="Q2711" i="1"/>
  <c r="P2711" i="1"/>
  <c r="T2710" i="1"/>
  <c r="S2710" i="1"/>
  <c r="R2710" i="1"/>
  <c r="Q2710" i="1"/>
  <c r="P2710" i="1"/>
  <c r="T2709" i="1"/>
  <c r="S2709" i="1"/>
  <c r="R2709" i="1"/>
  <c r="Q2709" i="1"/>
  <c r="P2709" i="1"/>
  <c r="T2708" i="1"/>
  <c r="S2708" i="1"/>
  <c r="R2708" i="1"/>
  <c r="Q2708" i="1"/>
  <c r="P2708" i="1"/>
  <c r="T2707" i="1"/>
  <c r="S2707" i="1"/>
  <c r="R2707" i="1"/>
  <c r="Q2707" i="1"/>
  <c r="P2707" i="1"/>
  <c r="T2706" i="1"/>
  <c r="S2706" i="1"/>
  <c r="R2706" i="1"/>
  <c r="Q2706" i="1"/>
  <c r="P2706" i="1"/>
  <c r="T2705" i="1"/>
  <c r="S2705" i="1"/>
  <c r="R2705" i="1"/>
  <c r="Q2705" i="1"/>
  <c r="P2705" i="1"/>
  <c r="T2704" i="1"/>
  <c r="S2704" i="1"/>
  <c r="R2704" i="1"/>
  <c r="Q2704" i="1"/>
  <c r="P2704" i="1"/>
  <c r="T2703" i="1"/>
  <c r="S2703" i="1"/>
  <c r="R2703" i="1"/>
  <c r="Q2703" i="1"/>
  <c r="P2703" i="1"/>
  <c r="T2702" i="1"/>
  <c r="S2702" i="1"/>
  <c r="R2702" i="1"/>
  <c r="Q2702" i="1"/>
  <c r="P2702" i="1"/>
  <c r="T2701" i="1"/>
  <c r="S2701" i="1"/>
  <c r="R2701" i="1"/>
  <c r="Q2701" i="1"/>
  <c r="P2701" i="1"/>
  <c r="T2700" i="1"/>
  <c r="S2700" i="1"/>
  <c r="R2700" i="1"/>
  <c r="Q2700" i="1"/>
  <c r="P2700" i="1"/>
  <c r="T2699" i="1"/>
  <c r="S2699" i="1"/>
  <c r="R2699" i="1"/>
  <c r="Q2699" i="1"/>
  <c r="P2699" i="1"/>
  <c r="T2698" i="1"/>
  <c r="S2698" i="1"/>
  <c r="R2698" i="1"/>
  <c r="Q2698" i="1"/>
  <c r="P2698" i="1"/>
  <c r="T2697" i="1"/>
  <c r="S2697" i="1"/>
  <c r="R2697" i="1"/>
  <c r="Q2697" i="1"/>
  <c r="P2697" i="1"/>
  <c r="T2696" i="1"/>
  <c r="S2696" i="1"/>
  <c r="R2696" i="1"/>
  <c r="Q2696" i="1"/>
  <c r="P2696" i="1"/>
  <c r="T2695" i="1"/>
  <c r="S2695" i="1"/>
  <c r="R2695" i="1"/>
  <c r="Q2695" i="1"/>
  <c r="P2695" i="1"/>
  <c r="T2694" i="1"/>
  <c r="S2694" i="1"/>
  <c r="R2694" i="1"/>
  <c r="Q2694" i="1"/>
  <c r="P2694" i="1"/>
  <c r="T2693" i="1"/>
  <c r="S2693" i="1"/>
  <c r="R2693" i="1"/>
  <c r="Q2693" i="1"/>
  <c r="P2693" i="1"/>
  <c r="T2692" i="1"/>
  <c r="S2692" i="1"/>
  <c r="R2692" i="1"/>
  <c r="Q2692" i="1"/>
  <c r="P2692" i="1"/>
  <c r="T2691" i="1"/>
  <c r="S2691" i="1"/>
  <c r="R2691" i="1"/>
  <c r="Q2691" i="1"/>
  <c r="P2691" i="1"/>
  <c r="T2690" i="1"/>
  <c r="S2690" i="1"/>
  <c r="R2690" i="1"/>
  <c r="Q2690" i="1"/>
  <c r="P2690" i="1"/>
  <c r="T2689" i="1"/>
  <c r="S2689" i="1"/>
  <c r="R2689" i="1"/>
  <c r="Q2689" i="1"/>
  <c r="P2689" i="1"/>
  <c r="T2688" i="1"/>
  <c r="S2688" i="1"/>
  <c r="R2688" i="1"/>
  <c r="Q2688" i="1"/>
  <c r="P2688" i="1"/>
  <c r="T2687" i="1"/>
  <c r="S2687" i="1"/>
  <c r="R2687" i="1"/>
  <c r="Q2687" i="1"/>
  <c r="P2687" i="1"/>
  <c r="T2686" i="1"/>
  <c r="S2686" i="1"/>
  <c r="R2686" i="1"/>
  <c r="Q2686" i="1"/>
  <c r="P2686" i="1"/>
  <c r="T2685" i="1"/>
  <c r="S2685" i="1"/>
  <c r="R2685" i="1"/>
  <c r="Q2685" i="1"/>
  <c r="P2685" i="1"/>
  <c r="T2684" i="1"/>
  <c r="S2684" i="1"/>
  <c r="R2684" i="1"/>
  <c r="Q2684" i="1"/>
  <c r="P2684" i="1"/>
  <c r="T2683" i="1"/>
  <c r="S2683" i="1"/>
  <c r="R2683" i="1"/>
  <c r="Q2683" i="1"/>
  <c r="P2683" i="1"/>
  <c r="T2682" i="1"/>
  <c r="S2682" i="1"/>
  <c r="R2682" i="1"/>
  <c r="Q2682" i="1"/>
  <c r="P2682" i="1"/>
  <c r="T2681" i="1"/>
  <c r="S2681" i="1"/>
  <c r="R2681" i="1"/>
  <c r="Q2681" i="1"/>
  <c r="P2681" i="1"/>
  <c r="T2680" i="1"/>
  <c r="S2680" i="1"/>
  <c r="R2680" i="1"/>
  <c r="Q2680" i="1"/>
  <c r="P2680" i="1"/>
  <c r="T2679" i="1"/>
  <c r="S2679" i="1"/>
  <c r="R2679" i="1"/>
  <c r="Q2679" i="1"/>
  <c r="P2679" i="1"/>
  <c r="T2678" i="1"/>
  <c r="S2678" i="1"/>
  <c r="R2678" i="1"/>
  <c r="Q2678" i="1"/>
  <c r="P2678" i="1"/>
  <c r="T2677" i="1"/>
  <c r="S2677" i="1"/>
  <c r="R2677" i="1"/>
  <c r="Q2677" i="1"/>
  <c r="P2677" i="1"/>
  <c r="T2676" i="1"/>
  <c r="S2676" i="1"/>
  <c r="R2676" i="1"/>
  <c r="Q2676" i="1"/>
  <c r="P2676" i="1"/>
  <c r="T2675" i="1"/>
  <c r="S2675" i="1"/>
  <c r="R2675" i="1"/>
  <c r="Q2675" i="1"/>
  <c r="P2675" i="1"/>
  <c r="T2674" i="1"/>
  <c r="S2674" i="1"/>
  <c r="R2674" i="1"/>
  <c r="Q2674" i="1"/>
  <c r="P2674" i="1"/>
  <c r="T2673" i="1"/>
  <c r="S2673" i="1"/>
  <c r="R2673" i="1"/>
  <c r="Q2673" i="1"/>
  <c r="P2673" i="1"/>
  <c r="T2672" i="1"/>
  <c r="S2672" i="1"/>
  <c r="R2672" i="1"/>
  <c r="Q2672" i="1"/>
  <c r="P2672" i="1"/>
  <c r="T2671" i="1"/>
  <c r="S2671" i="1"/>
  <c r="R2671" i="1"/>
  <c r="Q2671" i="1"/>
  <c r="P2671" i="1"/>
  <c r="T2670" i="1"/>
  <c r="S2670" i="1"/>
  <c r="R2670" i="1"/>
  <c r="Q2670" i="1"/>
  <c r="P2670" i="1"/>
  <c r="T2669" i="1"/>
  <c r="S2669" i="1"/>
  <c r="R2669" i="1"/>
  <c r="Q2669" i="1"/>
  <c r="P2669" i="1"/>
  <c r="T2668" i="1"/>
  <c r="S2668" i="1"/>
  <c r="R2668" i="1"/>
  <c r="Q2668" i="1"/>
  <c r="P2668" i="1"/>
  <c r="T2667" i="1"/>
  <c r="S2667" i="1"/>
  <c r="R2667" i="1"/>
  <c r="Q2667" i="1"/>
  <c r="P2667" i="1"/>
  <c r="T2666" i="1"/>
  <c r="S2666" i="1"/>
  <c r="R2666" i="1"/>
  <c r="Q2666" i="1"/>
  <c r="P2666" i="1"/>
  <c r="T2665" i="1"/>
  <c r="S2665" i="1"/>
  <c r="R2665" i="1"/>
  <c r="Q2665" i="1"/>
  <c r="P2665" i="1"/>
  <c r="T2664" i="1"/>
  <c r="S2664" i="1"/>
  <c r="R2664" i="1"/>
  <c r="Q2664" i="1"/>
  <c r="P2664" i="1"/>
  <c r="T2663" i="1"/>
  <c r="S2663" i="1"/>
  <c r="R2663" i="1"/>
  <c r="Q2663" i="1"/>
  <c r="P2663" i="1"/>
  <c r="T2662" i="1"/>
  <c r="S2662" i="1"/>
  <c r="R2662" i="1"/>
  <c r="Q2662" i="1"/>
  <c r="P2662" i="1"/>
  <c r="T2661" i="1"/>
  <c r="S2661" i="1"/>
  <c r="R2661" i="1"/>
  <c r="Q2661" i="1"/>
  <c r="P2661" i="1"/>
  <c r="T2660" i="1"/>
  <c r="S2660" i="1"/>
  <c r="R2660" i="1"/>
  <c r="Q2660" i="1"/>
  <c r="P2660" i="1"/>
  <c r="T2659" i="1"/>
  <c r="S2659" i="1"/>
  <c r="R2659" i="1"/>
  <c r="Q2659" i="1"/>
  <c r="P2659" i="1"/>
  <c r="T2658" i="1"/>
  <c r="S2658" i="1"/>
  <c r="R2658" i="1"/>
  <c r="Q2658" i="1"/>
  <c r="P2658" i="1"/>
  <c r="T2657" i="1"/>
  <c r="S2657" i="1"/>
  <c r="R2657" i="1"/>
  <c r="Q2657" i="1"/>
  <c r="P2657" i="1"/>
  <c r="T2656" i="1"/>
  <c r="S2656" i="1"/>
  <c r="R2656" i="1"/>
  <c r="Q2656" i="1"/>
  <c r="P2656" i="1"/>
  <c r="T2655" i="1"/>
  <c r="S2655" i="1"/>
  <c r="R2655" i="1"/>
  <c r="Q2655" i="1"/>
  <c r="P2655" i="1"/>
  <c r="T2654" i="1"/>
  <c r="S2654" i="1"/>
  <c r="R2654" i="1"/>
  <c r="Q2654" i="1"/>
  <c r="P2654" i="1"/>
  <c r="T2653" i="1"/>
  <c r="S2653" i="1"/>
  <c r="R2653" i="1"/>
  <c r="Q2653" i="1"/>
  <c r="P2653" i="1"/>
  <c r="T2652" i="1"/>
  <c r="S2652" i="1"/>
  <c r="R2652" i="1"/>
  <c r="Q2652" i="1"/>
  <c r="P2652" i="1"/>
  <c r="T2651" i="1"/>
  <c r="S2651" i="1"/>
  <c r="R2651" i="1"/>
  <c r="Q2651" i="1"/>
  <c r="P2651" i="1"/>
  <c r="T2650" i="1"/>
  <c r="S2650" i="1"/>
  <c r="R2650" i="1"/>
  <c r="Q2650" i="1"/>
  <c r="P2650" i="1"/>
  <c r="T2649" i="1"/>
  <c r="S2649" i="1"/>
  <c r="R2649" i="1"/>
  <c r="Q2649" i="1"/>
  <c r="P2649" i="1"/>
  <c r="T2648" i="1"/>
  <c r="S2648" i="1"/>
  <c r="R2648" i="1"/>
  <c r="Q2648" i="1"/>
  <c r="P2648" i="1"/>
  <c r="T2647" i="1"/>
  <c r="S2647" i="1"/>
  <c r="R2647" i="1"/>
  <c r="Q2647" i="1"/>
  <c r="P2647" i="1"/>
  <c r="T2646" i="1"/>
  <c r="S2646" i="1"/>
  <c r="R2646" i="1"/>
  <c r="Q2646" i="1"/>
  <c r="P2646" i="1"/>
  <c r="T2645" i="1"/>
  <c r="S2645" i="1"/>
  <c r="R2645" i="1"/>
  <c r="Q2645" i="1"/>
  <c r="P2645" i="1"/>
  <c r="T2644" i="1"/>
  <c r="S2644" i="1"/>
  <c r="R2644" i="1"/>
  <c r="Q2644" i="1"/>
  <c r="P2644" i="1"/>
  <c r="T2643" i="1"/>
  <c r="S2643" i="1"/>
  <c r="R2643" i="1"/>
  <c r="Q2643" i="1"/>
  <c r="P2643" i="1"/>
  <c r="T2642" i="1"/>
  <c r="S2642" i="1"/>
  <c r="R2642" i="1"/>
  <c r="Q2642" i="1"/>
  <c r="P2642" i="1"/>
  <c r="T2641" i="1"/>
  <c r="S2641" i="1"/>
  <c r="R2641" i="1"/>
  <c r="Q2641" i="1"/>
  <c r="P2641" i="1"/>
  <c r="T2640" i="1"/>
  <c r="S2640" i="1"/>
  <c r="R2640" i="1"/>
  <c r="Q2640" i="1"/>
  <c r="P2640" i="1"/>
  <c r="T2639" i="1"/>
  <c r="S2639" i="1"/>
  <c r="R2639" i="1"/>
  <c r="Q2639" i="1"/>
  <c r="P2639" i="1"/>
  <c r="T2638" i="1"/>
  <c r="S2638" i="1"/>
  <c r="R2638" i="1"/>
  <c r="Q2638" i="1"/>
  <c r="P2638" i="1"/>
  <c r="T2637" i="1"/>
  <c r="S2637" i="1"/>
  <c r="R2637" i="1"/>
  <c r="Q2637" i="1"/>
  <c r="P2637" i="1"/>
  <c r="T2636" i="1"/>
  <c r="S2636" i="1"/>
  <c r="R2636" i="1"/>
  <c r="Q2636" i="1"/>
  <c r="P2636" i="1"/>
  <c r="T2635" i="1"/>
  <c r="S2635" i="1"/>
  <c r="R2635" i="1"/>
  <c r="Q2635" i="1"/>
  <c r="P2635" i="1"/>
  <c r="T2634" i="1"/>
  <c r="S2634" i="1"/>
  <c r="R2634" i="1"/>
  <c r="Q2634" i="1"/>
  <c r="P2634" i="1"/>
  <c r="T2633" i="1"/>
  <c r="S2633" i="1"/>
  <c r="R2633" i="1"/>
  <c r="Q2633" i="1"/>
  <c r="P2633" i="1"/>
  <c r="T2632" i="1"/>
  <c r="S2632" i="1"/>
  <c r="R2632" i="1"/>
  <c r="Q2632" i="1"/>
  <c r="P2632" i="1"/>
  <c r="T2631" i="1"/>
  <c r="S2631" i="1"/>
  <c r="R2631" i="1"/>
  <c r="Q2631" i="1"/>
  <c r="P2631" i="1"/>
  <c r="T2630" i="1"/>
  <c r="S2630" i="1"/>
  <c r="R2630" i="1"/>
  <c r="Q2630" i="1"/>
  <c r="P2630" i="1"/>
  <c r="T2629" i="1"/>
  <c r="S2629" i="1"/>
  <c r="R2629" i="1"/>
  <c r="Q2629" i="1"/>
  <c r="P2629" i="1"/>
  <c r="T2628" i="1"/>
  <c r="S2628" i="1"/>
  <c r="R2628" i="1"/>
  <c r="Q2628" i="1"/>
  <c r="P2628" i="1"/>
  <c r="T2627" i="1"/>
  <c r="S2627" i="1"/>
  <c r="R2627" i="1"/>
  <c r="Q2627" i="1"/>
  <c r="P2627" i="1"/>
  <c r="T2626" i="1"/>
  <c r="S2626" i="1"/>
  <c r="R2626" i="1"/>
  <c r="Q2626" i="1"/>
  <c r="P2626" i="1"/>
  <c r="T2625" i="1"/>
  <c r="S2625" i="1"/>
  <c r="R2625" i="1"/>
  <c r="Q2625" i="1"/>
  <c r="P2625" i="1"/>
  <c r="T2624" i="1"/>
  <c r="S2624" i="1"/>
  <c r="R2624" i="1"/>
  <c r="Q2624" i="1"/>
  <c r="P2624" i="1"/>
  <c r="T2623" i="1"/>
  <c r="S2623" i="1"/>
  <c r="R2623" i="1"/>
  <c r="Q2623" i="1"/>
  <c r="P2623" i="1"/>
  <c r="T2622" i="1"/>
  <c r="S2622" i="1"/>
  <c r="R2622" i="1"/>
  <c r="Q2622" i="1"/>
  <c r="P2622" i="1"/>
  <c r="T2621" i="1"/>
  <c r="S2621" i="1"/>
  <c r="R2621" i="1"/>
  <c r="Q2621" i="1"/>
  <c r="P2621" i="1"/>
  <c r="T2620" i="1"/>
  <c r="S2620" i="1"/>
  <c r="R2620" i="1"/>
  <c r="Q2620" i="1"/>
  <c r="P2620" i="1"/>
  <c r="T2619" i="1"/>
  <c r="S2619" i="1"/>
  <c r="R2619" i="1"/>
  <c r="Q2619" i="1"/>
  <c r="P2619" i="1"/>
  <c r="T2618" i="1"/>
  <c r="S2618" i="1"/>
  <c r="R2618" i="1"/>
  <c r="Q2618" i="1"/>
  <c r="P2618" i="1"/>
  <c r="T2617" i="1"/>
  <c r="S2617" i="1"/>
  <c r="R2617" i="1"/>
  <c r="Q2617" i="1"/>
  <c r="P2617" i="1"/>
  <c r="T2616" i="1"/>
  <c r="S2616" i="1"/>
  <c r="R2616" i="1"/>
  <c r="Q2616" i="1"/>
  <c r="P2616" i="1"/>
  <c r="T2615" i="1"/>
  <c r="S2615" i="1"/>
  <c r="R2615" i="1"/>
  <c r="Q2615" i="1"/>
  <c r="P2615" i="1"/>
  <c r="T2614" i="1"/>
  <c r="S2614" i="1"/>
  <c r="R2614" i="1"/>
  <c r="Q2614" i="1"/>
  <c r="P2614" i="1"/>
  <c r="T2613" i="1"/>
  <c r="S2613" i="1"/>
  <c r="R2613" i="1"/>
  <c r="Q2613" i="1"/>
  <c r="P2613" i="1"/>
  <c r="T2612" i="1"/>
  <c r="S2612" i="1"/>
  <c r="R2612" i="1"/>
  <c r="Q2612" i="1"/>
  <c r="P2612" i="1"/>
  <c r="T2611" i="1"/>
  <c r="S2611" i="1"/>
  <c r="R2611" i="1"/>
  <c r="Q2611" i="1"/>
  <c r="P2611" i="1"/>
  <c r="T2610" i="1"/>
  <c r="S2610" i="1"/>
  <c r="R2610" i="1"/>
  <c r="Q2610" i="1"/>
  <c r="P2610" i="1"/>
  <c r="T2609" i="1"/>
  <c r="S2609" i="1"/>
  <c r="R2609" i="1"/>
  <c r="Q2609" i="1"/>
  <c r="P2609" i="1"/>
  <c r="T2608" i="1"/>
  <c r="S2608" i="1"/>
  <c r="R2608" i="1"/>
  <c r="Q2608" i="1"/>
  <c r="P2608" i="1"/>
  <c r="T2607" i="1"/>
  <c r="S2607" i="1"/>
  <c r="R2607" i="1"/>
  <c r="Q2607" i="1"/>
  <c r="P2607" i="1"/>
  <c r="T2606" i="1"/>
  <c r="S2606" i="1"/>
  <c r="R2606" i="1"/>
  <c r="Q2606" i="1"/>
  <c r="P2606" i="1"/>
  <c r="T2605" i="1"/>
  <c r="S2605" i="1"/>
  <c r="R2605" i="1"/>
  <c r="Q2605" i="1"/>
  <c r="P2605" i="1"/>
  <c r="T2604" i="1"/>
  <c r="S2604" i="1"/>
  <c r="R2604" i="1"/>
  <c r="Q2604" i="1"/>
  <c r="P2604" i="1"/>
  <c r="T2603" i="1"/>
  <c r="S2603" i="1"/>
  <c r="R2603" i="1"/>
  <c r="Q2603" i="1"/>
  <c r="P2603" i="1"/>
  <c r="T2602" i="1"/>
  <c r="S2602" i="1"/>
  <c r="R2602" i="1"/>
  <c r="Q2602" i="1"/>
  <c r="P2602" i="1"/>
  <c r="T2601" i="1"/>
  <c r="S2601" i="1"/>
  <c r="R2601" i="1"/>
  <c r="Q2601" i="1"/>
  <c r="P2601" i="1"/>
  <c r="T2600" i="1"/>
  <c r="S2600" i="1"/>
  <c r="R2600" i="1"/>
  <c r="Q2600" i="1"/>
  <c r="P2600" i="1"/>
  <c r="T2599" i="1"/>
  <c r="S2599" i="1"/>
  <c r="R2599" i="1"/>
  <c r="Q2599" i="1"/>
  <c r="P2599" i="1"/>
  <c r="T2598" i="1"/>
  <c r="S2598" i="1"/>
  <c r="R2598" i="1"/>
  <c r="Q2598" i="1"/>
  <c r="P2598" i="1"/>
  <c r="T2597" i="1"/>
  <c r="S2597" i="1"/>
  <c r="R2597" i="1"/>
  <c r="Q2597" i="1"/>
  <c r="P2597" i="1"/>
  <c r="T2596" i="1"/>
  <c r="S2596" i="1"/>
  <c r="R2596" i="1"/>
  <c r="Q2596" i="1"/>
  <c r="P2596" i="1"/>
  <c r="T2595" i="1"/>
  <c r="S2595" i="1"/>
  <c r="R2595" i="1"/>
  <c r="Q2595" i="1"/>
  <c r="P2595" i="1"/>
  <c r="T2594" i="1"/>
  <c r="S2594" i="1"/>
  <c r="R2594" i="1"/>
  <c r="Q2594" i="1"/>
  <c r="P2594" i="1"/>
  <c r="T2593" i="1"/>
  <c r="S2593" i="1"/>
  <c r="R2593" i="1"/>
  <c r="Q2593" i="1"/>
  <c r="P2593" i="1"/>
  <c r="T2592" i="1"/>
  <c r="S2592" i="1"/>
  <c r="R2592" i="1"/>
  <c r="Q2592" i="1"/>
  <c r="P2592" i="1"/>
  <c r="T2591" i="1"/>
  <c r="S2591" i="1"/>
  <c r="R2591" i="1"/>
  <c r="Q2591" i="1"/>
  <c r="P2591" i="1"/>
  <c r="T2590" i="1"/>
  <c r="S2590" i="1"/>
  <c r="R2590" i="1"/>
  <c r="Q2590" i="1"/>
  <c r="P2590" i="1"/>
  <c r="T2589" i="1"/>
  <c r="S2589" i="1"/>
  <c r="R2589" i="1"/>
  <c r="Q2589" i="1"/>
  <c r="P2589" i="1"/>
  <c r="T2588" i="1"/>
  <c r="S2588" i="1"/>
  <c r="R2588" i="1"/>
  <c r="Q2588" i="1"/>
  <c r="P2588" i="1"/>
  <c r="T2587" i="1"/>
  <c r="S2587" i="1"/>
  <c r="R2587" i="1"/>
  <c r="Q2587" i="1"/>
  <c r="P2587" i="1"/>
  <c r="T2586" i="1"/>
  <c r="S2586" i="1"/>
  <c r="R2586" i="1"/>
  <c r="Q2586" i="1"/>
  <c r="P2586" i="1"/>
  <c r="T2585" i="1"/>
  <c r="S2585" i="1"/>
  <c r="R2585" i="1"/>
  <c r="Q2585" i="1"/>
  <c r="P2585" i="1"/>
  <c r="T2584" i="1"/>
  <c r="S2584" i="1"/>
  <c r="R2584" i="1"/>
  <c r="Q2584" i="1"/>
  <c r="P2584" i="1"/>
  <c r="T2583" i="1"/>
  <c r="S2583" i="1"/>
  <c r="R2583" i="1"/>
  <c r="Q2583" i="1"/>
  <c r="P2583" i="1"/>
  <c r="T2582" i="1"/>
  <c r="S2582" i="1"/>
  <c r="R2582" i="1"/>
  <c r="Q2582" i="1"/>
  <c r="P2582" i="1"/>
  <c r="T2581" i="1"/>
  <c r="S2581" i="1"/>
  <c r="R2581" i="1"/>
  <c r="Q2581" i="1"/>
  <c r="P2581" i="1"/>
  <c r="T2580" i="1"/>
  <c r="S2580" i="1"/>
  <c r="R2580" i="1"/>
  <c r="Q2580" i="1"/>
  <c r="P2580" i="1"/>
  <c r="T2579" i="1"/>
  <c r="S2579" i="1"/>
  <c r="R2579" i="1"/>
  <c r="Q2579" i="1"/>
  <c r="P2579" i="1"/>
  <c r="T2578" i="1"/>
  <c r="S2578" i="1"/>
  <c r="R2578" i="1"/>
  <c r="Q2578" i="1"/>
  <c r="P2578" i="1"/>
  <c r="T2577" i="1"/>
  <c r="S2577" i="1"/>
  <c r="R2577" i="1"/>
  <c r="Q2577" i="1"/>
  <c r="P2577" i="1"/>
  <c r="T2576" i="1"/>
  <c r="S2576" i="1"/>
  <c r="R2576" i="1"/>
  <c r="Q2576" i="1"/>
  <c r="P2576" i="1"/>
  <c r="T2575" i="1"/>
  <c r="S2575" i="1"/>
  <c r="R2575" i="1"/>
  <c r="Q2575" i="1"/>
  <c r="P2575" i="1"/>
  <c r="T2574" i="1"/>
  <c r="S2574" i="1"/>
  <c r="R2574" i="1"/>
  <c r="Q2574" i="1"/>
  <c r="P2574" i="1"/>
  <c r="T2573" i="1"/>
  <c r="S2573" i="1"/>
  <c r="R2573" i="1"/>
  <c r="Q2573" i="1"/>
  <c r="P2573" i="1"/>
  <c r="T2572" i="1"/>
  <c r="S2572" i="1"/>
  <c r="R2572" i="1"/>
  <c r="Q2572" i="1"/>
  <c r="P2572" i="1"/>
  <c r="T2571" i="1"/>
  <c r="S2571" i="1"/>
  <c r="R2571" i="1"/>
  <c r="Q2571" i="1"/>
  <c r="P2571" i="1"/>
  <c r="T2570" i="1"/>
  <c r="S2570" i="1"/>
  <c r="R2570" i="1"/>
  <c r="Q2570" i="1"/>
  <c r="P2570" i="1"/>
  <c r="T2569" i="1"/>
  <c r="S2569" i="1"/>
  <c r="R2569" i="1"/>
  <c r="Q2569" i="1"/>
  <c r="P2569" i="1"/>
  <c r="T2568" i="1"/>
  <c r="S2568" i="1"/>
  <c r="R2568" i="1"/>
  <c r="Q2568" i="1"/>
  <c r="P2568" i="1"/>
  <c r="T2567" i="1"/>
  <c r="S2567" i="1"/>
  <c r="R2567" i="1"/>
  <c r="Q2567" i="1"/>
  <c r="P2567" i="1"/>
  <c r="T2566" i="1"/>
  <c r="S2566" i="1"/>
  <c r="R2566" i="1"/>
  <c r="Q2566" i="1"/>
  <c r="P2566" i="1"/>
  <c r="T2565" i="1"/>
  <c r="S2565" i="1"/>
  <c r="R2565" i="1"/>
  <c r="Q2565" i="1"/>
  <c r="P2565" i="1"/>
  <c r="T2564" i="1"/>
  <c r="S2564" i="1"/>
  <c r="R2564" i="1"/>
  <c r="Q2564" i="1"/>
  <c r="P2564" i="1"/>
  <c r="T2563" i="1"/>
  <c r="S2563" i="1"/>
  <c r="R2563" i="1"/>
  <c r="Q2563" i="1"/>
  <c r="P2563" i="1"/>
  <c r="T2562" i="1"/>
  <c r="S2562" i="1"/>
  <c r="R2562" i="1"/>
  <c r="Q2562" i="1"/>
  <c r="P2562" i="1"/>
  <c r="T2561" i="1"/>
  <c r="S2561" i="1"/>
  <c r="R2561" i="1"/>
  <c r="Q2561" i="1"/>
  <c r="P2561" i="1"/>
  <c r="T2560" i="1"/>
  <c r="S2560" i="1"/>
  <c r="R2560" i="1"/>
  <c r="Q2560" i="1"/>
  <c r="P2560" i="1"/>
  <c r="T2559" i="1"/>
  <c r="S2559" i="1"/>
  <c r="R2559" i="1"/>
  <c r="Q2559" i="1"/>
  <c r="P2559" i="1"/>
  <c r="T2558" i="1"/>
  <c r="S2558" i="1"/>
  <c r="R2558" i="1"/>
  <c r="Q2558" i="1"/>
  <c r="P2558" i="1"/>
  <c r="T2557" i="1"/>
  <c r="S2557" i="1"/>
  <c r="R2557" i="1"/>
  <c r="Q2557" i="1"/>
  <c r="P2557" i="1"/>
  <c r="T2556" i="1"/>
  <c r="S2556" i="1"/>
  <c r="R2556" i="1"/>
  <c r="Q2556" i="1"/>
  <c r="P2556" i="1"/>
  <c r="T2555" i="1"/>
  <c r="S2555" i="1"/>
  <c r="R2555" i="1"/>
  <c r="Q2555" i="1"/>
  <c r="P2555" i="1"/>
  <c r="T2554" i="1"/>
  <c r="S2554" i="1"/>
  <c r="R2554" i="1"/>
  <c r="Q2554" i="1"/>
  <c r="P2554" i="1"/>
  <c r="T2553" i="1"/>
  <c r="S2553" i="1"/>
  <c r="R2553" i="1"/>
  <c r="Q2553" i="1"/>
  <c r="P2553" i="1"/>
  <c r="T2552" i="1"/>
  <c r="S2552" i="1"/>
  <c r="R2552" i="1"/>
  <c r="Q2552" i="1"/>
  <c r="P2552" i="1"/>
  <c r="T2551" i="1"/>
  <c r="S2551" i="1"/>
  <c r="R2551" i="1"/>
  <c r="Q2551" i="1"/>
  <c r="P2551" i="1"/>
  <c r="T2550" i="1"/>
  <c r="S2550" i="1"/>
  <c r="R2550" i="1"/>
  <c r="Q2550" i="1"/>
  <c r="P2550" i="1"/>
  <c r="T2549" i="1"/>
  <c r="S2549" i="1"/>
  <c r="R2549" i="1"/>
  <c r="Q2549" i="1"/>
  <c r="P2549" i="1"/>
  <c r="T2548" i="1"/>
  <c r="S2548" i="1"/>
  <c r="R2548" i="1"/>
  <c r="Q2548" i="1"/>
  <c r="P2548" i="1"/>
  <c r="T2547" i="1"/>
  <c r="S2547" i="1"/>
  <c r="R2547" i="1"/>
  <c r="Q2547" i="1"/>
  <c r="P2547" i="1"/>
  <c r="T2546" i="1"/>
  <c r="S2546" i="1"/>
  <c r="R2546" i="1"/>
  <c r="Q2546" i="1"/>
  <c r="P2546" i="1"/>
  <c r="T2545" i="1"/>
  <c r="S2545" i="1"/>
  <c r="R2545" i="1"/>
  <c r="Q2545" i="1"/>
  <c r="P2545" i="1"/>
  <c r="T2544" i="1"/>
  <c r="S2544" i="1"/>
  <c r="R2544" i="1"/>
  <c r="Q2544" i="1"/>
  <c r="P2544" i="1"/>
  <c r="T2543" i="1"/>
  <c r="S2543" i="1"/>
  <c r="R2543" i="1"/>
  <c r="Q2543" i="1"/>
  <c r="P2543" i="1"/>
  <c r="T2542" i="1"/>
  <c r="S2542" i="1"/>
  <c r="R2542" i="1"/>
  <c r="Q2542" i="1"/>
  <c r="P2542" i="1"/>
  <c r="T2541" i="1"/>
  <c r="S2541" i="1"/>
  <c r="R2541" i="1"/>
  <c r="Q2541" i="1"/>
  <c r="P2541" i="1"/>
  <c r="T2540" i="1"/>
  <c r="S2540" i="1"/>
  <c r="R2540" i="1"/>
  <c r="Q2540" i="1"/>
  <c r="P2540" i="1"/>
  <c r="T2539" i="1"/>
  <c r="S2539" i="1"/>
  <c r="R2539" i="1"/>
  <c r="Q2539" i="1"/>
  <c r="P2539" i="1"/>
  <c r="T2538" i="1"/>
  <c r="S2538" i="1"/>
  <c r="R2538" i="1"/>
  <c r="Q2538" i="1"/>
  <c r="P2538" i="1"/>
  <c r="T2537" i="1"/>
  <c r="S2537" i="1"/>
  <c r="R2537" i="1"/>
  <c r="Q2537" i="1"/>
  <c r="P2537" i="1"/>
  <c r="T2536" i="1"/>
  <c r="S2536" i="1"/>
  <c r="R2536" i="1"/>
  <c r="Q2536" i="1"/>
  <c r="P2536" i="1"/>
  <c r="T2535" i="1"/>
  <c r="S2535" i="1"/>
  <c r="R2535" i="1"/>
  <c r="Q2535" i="1"/>
  <c r="P2535" i="1"/>
  <c r="T2534" i="1"/>
  <c r="S2534" i="1"/>
  <c r="R2534" i="1"/>
  <c r="Q2534" i="1"/>
  <c r="P2534" i="1"/>
  <c r="T2533" i="1"/>
  <c r="S2533" i="1"/>
  <c r="R2533" i="1"/>
  <c r="Q2533" i="1"/>
  <c r="P2533" i="1"/>
  <c r="T2532" i="1"/>
  <c r="S2532" i="1"/>
  <c r="R2532" i="1"/>
  <c r="Q2532" i="1"/>
  <c r="P2532" i="1"/>
  <c r="T2531" i="1"/>
  <c r="S2531" i="1"/>
  <c r="R2531" i="1"/>
  <c r="Q2531" i="1"/>
  <c r="P2531" i="1"/>
  <c r="T2530" i="1"/>
  <c r="S2530" i="1"/>
  <c r="R2530" i="1"/>
  <c r="Q2530" i="1"/>
  <c r="P2530" i="1"/>
  <c r="T2529" i="1"/>
  <c r="S2529" i="1"/>
  <c r="R2529" i="1"/>
  <c r="Q2529" i="1"/>
  <c r="P2529" i="1"/>
  <c r="T2528" i="1"/>
  <c r="S2528" i="1"/>
  <c r="R2528" i="1"/>
  <c r="Q2528" i="1"/>
  <c r="P2528" i="1"/>
  <c r="T2527" i="1"/>
  <c r="S2527" i="1"/>
  <c r="R2527" i="1"/>
  <c r="Q2527" i="1"/>
  <c r="P2527" i="1"/>
  <c r="T2526" i="1"/>
  <c r="S2526" i="1"/>
  <c r="R2526" i="1"/>
  <c r="Q2526" i="1"/>
  <c r="P2526" i="1"/>
  <c r="T2525" i="1"/>
  <c r="S2525" i="1"/>
  <c r="R2525" i="1"/>
  <c r="Q2525" i="1"/>
  <c r="P2525" i="1"/>
  <c r="T2524" i="1"/>
  <c r="S2524" i="1"/>
  <c r="R2524" i="1"/>
  <c r="Q2524" i="1"/>
  <c r="P2524" i="1"/>
  <c r="T2523" i="1"/>
  <c r="S2523" i="1"/>
  <c r="R2523" i="1"/>
  <c r="Q2523" i="1"/>
  <c r="P2523" i="1"/>
  <c r="T2522" i="1"/>
  <c r="S2522" i="1"/>
  <c r="R2522" i="1"/>
  <c r="Q2522" i="1"/>
  <c r="P2522" i="1"/>
  <c r="T2521" i="1"/>
  <c r="S2521" i="1"/>
  <c r="R2521" i="1"/>
  <c r="Q2521" i="1"/>
  <c r="P2521" i="1"/>
  <c r="T2520" i="1"/>
  <c r="S2520" i="1"/>
  <c r="R2520" i="1"/>
  <c r="Q2520" i="1"/>
  <c r="P2520" i="1"/>
  <c r="T2519" i="1"/>
  <c r="S2519" i="1"/>
  <c r="R2519" i="1"/>
  <c r="Q2519" i="1"/>
  <c r="P2519" i="1"/>
  <c r="T2518" i="1"/>
  <c r="S2518" i="1"/>
  <c r="R2518" i="1"/>
  <c r="Q2518" i="1"/>
  <c r="P2518" i="1"/>
  <c r="T2517" i="1"/>
  <c r="S2517" i="1"/>
  <c r="R2517" i="1"/>
  <c r="Q2517" i="1"/>
  <c r="P2517" i="1"/>
  <c r="T2516" i="1"/>
  <c r="S2516" i="1"/>
  <c r="R2516" i="1"/>
  <c r="Q2516" i="1"/>
  <c r="P2516" i="1"/>
  <c r="T2515" i="1"/>
  <c r="S2515" i="1"/>
  <c r="R2515" i="1"/>
  <c r="Q2515" i="1"/>
  <c r="P2515" i="1"/>
  <c r="T2514" i="1"/>
  <c r="S2514" i="1"/>
  <c r="R2514" i="1"/>
  <c r="Q2514" i="1"/>
  <c r="P2514" i="1"/>
  <c r="T2513" i="1"/>
  <c r="S2513" i="1"/>
  <c r="R2513" i="1"/>
  <c r="Q2513" i="1"/>
  <c r="P2513" i="1"/>
  <c r="T2512" i="1"/>
  <c r="S2512" i="1"/>
  <c r="R2512" i="1"/>
  <c r="Q2512" i="1"/>
  <c r="P2512" i="1"/>
  <c r="T2511" i="1"/>
  <c r="S2511" i="1"/>
  <c r="R2511" i="1"/>
  <c r="Q2511" i="1"/>
  <c r="P2511" i="1"/>
  <c r="T2510" i="1"/>
  <c r="S2510" i="1"/>
  <c r="R2510" i="1"/>
  <c r="Q2510" i="1"/>
  <c r="P2510" i="1"/>
  <c r="T2509" i="1"/>
  <c r="S2509" i="1"/>
  <c r="R2509" i="1"/>
  <c r="Q2509" i="1"/>
  <c r="P2509" i="1"/>
  <c r="T2508" i="1"/>
  <c r="S2508" i="1"/>
  <c r="R2508" i="1"/>
  <c r="Q2508" i="1"/>
  <c r="P2508" i="1"/>
  <c r="T2507" i="1"/>
  <c r="S2507" i="1"/>
  <c r="R2507" i="1"/>
  <c r="Q2507" i="1"/>
  <c r="P2507" i="1"/>
  <c r="T2506" i="1"/>
  <c r="S2506" i="1"/>
  <c r="R2506" i="1"/>
  <c r="Q2506" i="1"/>
  <c r="P2506" i="1"/>
  <c r="T2505" i="1"/>
  <c r="S2505" i="1"/>
  <c r="R2505" i="1"/>
  <c r="Q2505" i="1"/>
  <c r="P2505" i="1"/>
  <c r="T2504" i="1"/>
  <c r="S2504" i="1"/>
  <c r="R2504" i="1"/>
  <c r="Q2504" i="1"/>
  <c r="P2504" i="1"/>
  <c r="T2503" i="1"/>
  <c r="S2503" i="1"/>
  <c r="R2503" i="1"/>
  <c r="Q2503" i="1"/>
  <c r="P2503" i="1"/>
  <c r="T2502" i="1"/>
  <c r="S2502" i="1"/>
  <c r="R2502" i="1"/>
  <c r="Q2502" i="1"/>
  <c r="P2502" i="1"/>
  <c r="T2501" i="1"/>
  <c r="S2501" i="1"/>
  <c r="R2501" i="1"/>
  <c r="Q2501" i="1"/>
  <c r="P2501" i="1"/>
  <c r="T2500" i="1"/>
  <c r="S2500" i="1"/>
  <c r="R2500" i="1"/>
  <c r="Q2500" i="1"/>
  <c r="P2500" i="1"/>
  <c r="T2499" i="1"/>
  <c r="S2499" i="1"/>
  <c r="R2499" i="1"/>
  <c r="Q2499" i="1"/>
  <c r="P2499" i="1"/>
  <c r="T2498" i="1"/>
  <c r="S2498" i="1"/>
  <c r="R2498" i="1"/>
  <c r="Q2498" i="1"/>
  <c r="P2498" i="1"/>
  <c r="T2497" i="1"/>
  <c r="S2497" i="1"/>
  <c r="R2497" i="1"/>
  <c r="Q2497" i="1"/>
  <c r="P2497" i="1"/>
  <c r="T2496" i="1"/>
  <c r="S2496" i="1"/>
  <c r="R2496" i="1"/>
  <c r="Q2496" i="1"/>
  <c r="P2496" i="1"/>
  <c r="T2495" i="1"/>
  <c r="S2495" i="1"/>
  <c r="R2495" i="1"/>
  <c r="Q2495" i="1"/>
  <c r="P2495" i="1"/>
  <c r="T2494" i="1"/>
  <c r="S2494" i="1"/>
  <c r="R2494" i="1"/>
  <c r="Q2494" i="1"/>
  <c r="P2494" i="1"/>
  <c r="T2493" i="1"/>
  <c r="S2493" i="1"/>
  <c r="R2493" i="1"/>
  <c r="Q2493" i="1"/>
  <c r="P2493" i="1"/>
  <c r="T2492" i="1"/>
  <c r="S2492" i="1"/>
  <c r="R2492" i="1"/>
  <c r="Q2492" i="1"/>
  <c r="P2492" i="1"/>
  <c r="T2491" i="1"/>
  <c r="S2491" i="1"/>
  <c r="R2491" i="1"/>
  <c r="Q2491" i="1"/>
  <c r="P2491" i="1"/>
  <c r="T2490" i="1"/>
  <c r="S2490" i="1"/>
  <c r="R2490" i="1"/>
  <c r="Q2490" i="1"/>
  <c r="P2490" i="1"/>
  <c r="T2489" i="1"/>
  <c r="S2489" i="1"/>
  <c r="R2489" i="1"/>
  <c r="Q2489" i="1"/>
  <c r="P2489" i="1"/>
  <c r="T2488" i="1"/>
  <c r="S2488" i="1"/>
  <c r="R2488" i="1"/>
  <c r="Q2488" i="1"/>
  <c r="P2488" i="1"/>
  <c r="T2487" i="1"/>
  <c r="S2487" i="1"/>
  <c r="R2487" i="1"/>
  <c r="Q2487" i="1"/>
  <c r="P2487" i="1"/>
  <c r="T2486" i="1"/>
  <c r="S2486" i="1"/>
  <c r="R2486" i="1"/>
  <c r="Q2486" i="1"/>
  <c r="P2486" i="1"/>
  <c r="T2485" i="1"/>
  <c r="S2485" i="1"/>
  <c r="R2485" i="1"/>
  <c r="Q2485" i="1"/>
  <c r="P2485" i="1"/>
  <c r="T2484" i="1"/>
  <c r="S2484" i="1"/>
  <c r="R2484" i="1"/>
  <c r="Q2484" i="1"/>
  <c r="P2484" i="1"/>
  <c r="T2483" i="1"/>
  <c r="S2483" i="1"/>
  <c r="R2483" i="1"/>
  <c r="Q2483" i="1"/>
  <c r="P2483" i="1"/>
  <c r="T2482" i="1"/>
  <c r="S2482" i="1"/>
  <c r="R2482" i="1"/>
  <c r="Q2482" i="1"/>
  <c r="P2482" i="1"/>
  <c r="T2481" i="1"/>
  <c r="S2481" i="1"/>
  <c r="R2481" i="1"/>
  <c r="Q2481" i="1"/>
  <c r="P2481" i="1"/>
  <c r="T2480" i="1"/>
  <c r="S2480" i="1"/>
  <c r="R2480" i="1"/>
  <c r="Q2480" i="1"/>
  <c r="P2480" i="1"/>
  <c r="T2479" i="1"/>
  <c r="S2479" i="1"/>
  <c r="R2479" i="1"/>
  <c r="Q2479" i="1"/>
  <c r="P2479" i="1"/>
  <c r="T2478" i="1"/>
  <c r="S2478" i="1"/>
  <c r="R2478" i="1"/>
  <c r="Q2478" i="1"/>
  <c r="P2478" i="1"/>
  <c r="T2477" i="1"/>
  <c r="S2477" i="1"/>
  <c r="R2477" i="1"/>
  <c r="Q2477" i="1"/>
  <c r="P2477" i="1"/>
  <c r="T2476" i="1"/>
  <c r="S2476" i="1"/>
  <c r="R2476" i="1"/>
  <c r="Q2476" i="1"/>
  <c r="P2476" i="1"/>
  <c r="T2475" i="1"/>
  <c r="S2475" i="1"/>
  <c r="R2475" i="1"/>
  <c r="Q2475" i="1"/>
  <c r="P2475" i="1"/>
  <c r="T2474" i="1"/>
  <c r="S2474" i="1"/>
  <c r="R2474" i="1"/>
  <c r="Q2474" i="1"/>
  <c r="P2474" i="1"/>
  <c r="T2473" i="1"/>
  <c r="S2473" i="1"/>
  <c r="R2473" i="1"/>
  <c r="Q2473" i="1"/>
  <c r="P2473" i="1"/>
  <c r="T2472" i="1"/>
  <c r="S2472" i="1"/>
  <c r="R2472" i="1"/>
  <c r="Q2472" i="1"/>
  <c r="P2472" i="1"/>
  <c r="T2471" i="1"/>
  <c r="S2471" i="1"/>
  <c r="R2471" i="1"/>
  <c r="Q2471" i="1"/>
  <c r="P2471" i="1"/>
  <c r="T2470" i="1"/>
  <c r="S2470" i="1"/>
  <c r="R2470" i="1"/>
  <c r="Q2470" i="1"/>
  <c r="P2470" i="1"/>
  <c r="T2469" i="1"/>
  <c r="S2469" i="1"/>
  <c r="R2469" i="1"/>
  <c r="Q2469" i="1"/>
  <c r="P2469" i="1"/>
  <c r="T2468" i="1"/>
  <c r="S2468" i="1"/>
  <c r="R2468" i="1"/>
  <c r="Q2468" i="1"/>
  <c r="P2468" i="1"/>
  <c r="T2467" i="1"/>
  <c r="S2467" i="1"/>
  <c r="R2467" i="1"/>
  <c r="Q2467" i="1"/>
  <c r="P2467" i="1"/>
  <c r="T2466" i="1"/>
  <c r="S2466" i="1"/>
  <c r="R2466" i="1"/>
  <c r="Q2466" i="1"/>
  <c r="P2466" i="1"/>
  <c r="T2465" i="1"/>
  <c r="S2465" i="1"/>
  <c r="R2465" i="1"/>
  <c r="Q2465" i="1"/>
  <c r="P2465" i="1"/>
  <c r="T2464" i="1"/>
  <c r="S2464" i="1"/>
  <c r="R2464" i="1"/>
  <c r="Q2464" i="1"/>
  <c r="P2464" i="1"/>
  <c r="T2463" i="1"/>
  <c r="S2463" i="1"/>
  <c r="R2463" i="1"/>
  <c r="Q2463" i="1"/>
  <c r="P2463" i="1"/>
  <c r="T2462" i="1"/>
  <c r="S2462" i="1"/>
  <c r="R2462" i="1"/>
  <c r="Q2462" i="1"/>
  <c r="P2462" i="1"/>
  <c r="T2461" i="1"/>
  <c r="S2461" i="1"/>
  <c r="R2461" i="1"/>
  <c r="Q2461" i="1"/>
  <c r="P2461" i="1"/>
  <c r="T2460" i="1"/>
  <c r="S2460" i="1"/>
  <c r="R2460" i="1"/>
  <c r="Q2460" i="1"/>
  <c r="P2460" i="1"/>
  <c r="T2459" i="1"/>
  <c r="S2459" i="1"/>
  <c r="R2459" i="1"/>
  <c r="Q2459" i="1"/>
  <c r="P2459" i="1"/>
  <c r="T2458" i="1"/>
  <c r="S2458" i="1"/>
  <c r="R2458" i="1"/>
  <c r="Q2458" i="1"/>
  <c r="P2458" i="1"/>
  <c r="T2457" i="1"/>
  <c r="S2457" i="1"/>
  <c r="R2457" i="1"/>
  <c r="Q2457" i="1"/>
  <c r="P2457" i="1"/>
  <c r="T2456" i="1"/>
  <c r="S2456" i="1"/>
  <c r="R2456" i="1"/>
  <c r="Q2456" i="1"/>
  <c r="P2456" i="1"/>
  <c r="T2455" i="1"/>
  <c r="S2455" i="1"/>
  <c r="R2455" i="1"/>
  <c r="Q2455" i="1"/>
  <c r="P2455" i="1"/>
  <c r="T2454" i="1"/>
  <c r="S2454" i="1"/>
  <c r="R2454" i="1"/>
  <c r="Q2454" i="1"/>
  <c r="P2454" i="1"/>
  <c r="T2453" i="1"/>
  <c r="S2453" i="1"/>
  <c r="R2453" i="1"/>
  <c r="Q2453" i="1"/>
  <c r="P2453" i="1"/>
  <c r="T2452" i="1"/>
  <c r="S2452" i="1"/>
  <c r="R2452" i="1"/>
  <c r="Q2452" i="1"/>
  <c r="P2452" i="1"/>
  <c r="T2451" i="1"/>
  <c r="S2451" i="1"/>
  <c r="R2451" i="1"/>
  <c r="Q2451" i="1"/>
  <c r="P2451" i="1"/>
  <c r="T2450" i="1"/>
  <c r="S2450" i="1"/>
  <c r="R2450" i="1"/>
  <c r="Q2450" i="1"/>
  <c r="P2450" i="1"/>
  <c r="T2449" i="1"/>
  <c r="S2449" i="1"/>
  <c r="R2449" i="1"/>
  <c r="Q2449" i="1"/>
  <c r="P2449" i="1"/>
  <c r="T2448" i="1"/>
  <c r="S2448" i="1"/>
  <c r="R2448" i="1"/>
  <c r="Q2448" i="1"/>
  <c r="P2448" i="1"/>
  <c r="T2447" i="1"/>
  <c r="S2447" i="1"/>
  <c r="R2447" i="1"/>
  <c r="Q2447" i="1"/>
  <c r="P2447" i="1"/>
  <c r="T2446" i="1"/>
  <c r="S2446" i="1"/>
  <c r="R2446" i="1"/>
  <c r="Q2446" i="1"/>
  <c r="P2446" i="1"/>
  <c r="T2445" i="1"/>
  <c r="S2445" i="1"/>
  <c r="R2445" i="1"/>
  <c r="Q2445" i="1"/>
  <c r="P2445" i="1"/>
  <c r="T2444" i="1"/>
  <c r="S2444" i="1"/>
  <c r="R2444" i="1"/>
  <c r="Q2444" i="1"/>
  <c r="P2444" i="1"/>
  <c r="T2443" i="1"/>
  <c r="S2443" i="1"/>
  <c r="R2443" i="1"/>
  <c r="Q2443" i="1"/>
  <c r="P2443" i="1"/>
  <c r="T2442" i="1"/>
  <c r="S2442" i="1"/>
  <c r="R2442" i="1"/>
  <c r="Q2442" i="1"/>
  <c r="P2442" i="1"/>
  <c r="T2441" i="1"/>
  <c r="S2441" i="1"/>
  <c r="R2441" i="1"/>
  <c r="Q2441" i="1"/>
  <c r="P2441" i="1"/>
  <c r="T2440" i="1"/>
  <c r="S2440" i="1"/>
  <c r="R2440" i="1"/>
  <c r="Q2440" i="1"/>
  <c r="P2440" i="1"/>
  <c r="T2439" i="1"/>
  <c r="S2439" i="1"/>
  <c r="R2439" i="1"/>
  <c r="Q2439" i="1"/>
  <c r="P2439" i="1"/>
  <c r="T2438" i="1"/>
  <c r="S2438" i="1"/>
  <c r="R2438" i="1"/>
  <c r="Q2438" i="1"/>
  <c r="P2438" i="1"/>
  <c r="T2437" i="1"/>
  <c r="S2437" i="1"/>
  <c r="R2437" i="1"/>
  <c r="Q2437" i="1"/>
  <c r="P2437" i="1"/>
  <c r="T2436" i="1"/>
  <c r="S2436" i="1"/>
  <c r="R2436" i="1"/>
  <c r="Q2436" i="1"/>
  <c r="P2436" i="1"/>
  <c r="T2435" i="1"/>
  <c r="S2435" i="1"/>
  <c r="R2435" i="1"/>
  <c r="Q2435" i="1"/>
  <c r="P2435" i="1"/>
  <c r="T2434" i="1"/>
  <c r="S2434" i="1"/>
  <c r="R2434" i="1"/>
  <c r="Q2434" i="1"/>
  <c r="P2434" i="1"/>
  <c r="T2433" i="1"/>
  <c r="S2433" i="1"/>
  <c r="R2433" i="1"/>
  <c r="Q2433" i="1"/>
  <c r="P2433" i="1"/>
  <c r="T2432" i="1"/>
  <c r="S2432" i="1"/>
  <c r="R2432" i="1"/>
  <c r="Q2432" i="1"/>
  <c r="P2432" i="1"/>
  <c r="T2431" i="1"/>
  <c r="S2431" i="1"/>
  <c r="R2431" i="1"/>
  <c r="Q2431" i="1"/>
  <c r="P2431" i="1"/>
  <c r="T2430" i="1"/>
  <c r="S2430" i="1"/>
  <c r="R2430" i="1"/>
  <c r="Q2430" i="1"/>
  <c r="P2430" i="1"/>
  <c r="T2429" i="1"/>
  <c r="S2429" i="1"/>
  <c r="R2429" i="1"/>
  <c r="Q2429" i="1"/>
  <c r="P2429" i="1"/>
  <c r="T2428" i="1"/>
  <c r="S2428" i="1"/>
  <c r="R2428" i="1"/>
  <c r="Q2428" i="1"/>
  <c r="P2428" i="1"/>
  <c r="T2427" i="1"/>
  <c r="S2427" i="1"/>
  <c r="R2427" i="1"/>
  <c r="Q2427" i="1"/>
  <c r="P2427" i="1"/>
  <c r="T2426" i="1"/>
  <c r="S2426" i="1"/>
  <c r="R2426" i="1"/>
  <c r="Q2426" i="1"/>
  <c r="P2426" i="1"/>
  <c r="T2425" i="1"/>
  <c r="S2425" i="1"/>
  <c r="R2425" i="1"/>
  <c r="Q2425" i="1"/>
  <c r="P2425" i="1"/>
  <c r="T2424" i="1"/>
  <c r="S2424" i="1"/>
  <c r="R2424" i="1"/>
  <c r="Q2424" i="1"/>
  <c r="P2424" i="1"/>
  <c r="T2423" i="1"/>
  <c r="S2423" i="1"/>
  <c r="R2423" i="1"/>
  <c r="Q2423" i="1"/>
  <c r="P2423" i="1"/>
  <c r="T2422" i="1"/>
  <c r="S2422" i="1"/>
  <c r="R2422" i="1"/>
  <c r="Q2422" i="1"/>
  <c r="P2422" i="1"/>
  <c r="T2421" i="1"/>
  <c r="S2421" i="1"/>
  <c r="R2421" i="1"/>
  <c r="Q2421" i="1"/>
  <c r="P2421" i="1"/>
  <c r="T2420" i="1"/>
  <c r="S2420" i="1"/>
  <c r="R2420" i="1"/>
  <c r="Q2420" i="1"/>
  <c r="P2420" i="1"/>
  <c r="T2419" i="1"/>
  <c r="S2419" i="1"/>
  <c r="R2419" i="1"/>
  <c r="Q2419" i="1"/>
  <c r="P2419" i="1"/>
  <c r="T2418" i="1"/>
  <c r="S2418" i="1"/>
  <c r="R2418" i="1"/>
  <c r="Q2418" i="1"/>
  <c r="P2418" i="1"/>
  <c r="T2417" i="1"/>
  <c r="S2417" i="1"/>
  <c r="R2417" i="1"/>
  <c r="Q2417" i="1"/>
  <c r="P2417" i="1"/>
  <c r="T2416" i="1"/>
  <c r="S2416" i="1"/>
  <c r="R2416" i="1"/>
  <c r="Q2416" i="1"/>
  <c r="P2416" i="1"/>
  <c r="T2415" i="1"/>
  <c r="S2415" i="1"/>
  <c r="R2415" i="1"/>
  <c r="Q2415" i="1"/>
  <c r="P2415" i="1"/>
  <c r="T2414" i="1"/>
  <c r="S2414" i="1"/>
  <c r="R2414" i="1"/>
  <c r="Q2414" i="1"/>
  <c r="P2414" i="1"/>
  <c r="T2413" i="1"/>
  <c r="S2413" i="1"/>
  <c r="R2413" i="1"/>
  <c r="Q2413" i="1"/>
  <c r="P2413" i="1"/>
  <c r="T2412" i="1"/>
  <c r="S2412" i="1"/>
  <c r="R2412" i="1"/>
  <c r="Q2412" i="1"/>
  <c r="P2412" i="1"/>
  <c r="T2411" i="1"/>
  <c r="S2411" i="1"/>
  <c r="R2411" i="1"/>
  <c r="Q2411" i="1"/>
  <c r="P2411" i="1"/>
  <c r="T2410" i="1"/>
  <c r="S2410" i="1"/>
  <c r="R2410" i="1"/>
  <c r="Q2410" i="1"/>
  <c r="P2410" i="1"/>
  <c r="T2409" i="1"/>
  <c r="S2409" i="1"/>
  <c r="R2409" i="1"/>
  <c r="Q2409" i="1"/>
  <c r="P2409" i="1"/>
  <c r="T2408" i="1"/>
  <c r="S2408" i="1"/>
  <c r="R2408" i="1"/>
  <c r="Q2408" i="1"/>
  <c r="P2408" i="1"/>
  <c r="T2407" i="1"/>
  <c r="S2407" i="1"/>
  <c r="R2407" i="1"/>
  <c r="Q2407" i="1"/>
  <c r="P2407" i="1"/>
  <c r="T2406" i="1"/>
  <c r="S2406" i="1"/>
  <c r="R2406" i="1"/>
  <c r="Q2406" i="1"/>
  <c r="P2406" i="1"/>
  <c r="T2405" i="1"/>
  <c r="S2405" i="1"/>
  <c r="R2405" i="1"/>
  <c r="Q2405" i="1"/>
  <c r="P2405" i="1"/>
  <c r="T2404" i="1"/>
  <c r="S2404" i="1"/>
  <c r="R2404" i="1"/>
  <c r="Q2404" i="1"/>
  <c r="P2404" i="1"/>
  <c r="T2403" i="1"/>
  <c r="S2403" i="1"/>
  <c r="R2403" i="1"/>
  <c r="Q2403" i="1"/>
  <c r="P2403" i="1"/>
  <c r="T2402" i="1"/>
  <c r="S2402" i="1"/>
  <c r="R2402" i="1"/>
  <c r="Q2402" i="1"/>
  <c r="P2402" i="1"/>
  <c r="T2401" i="1"/>
  <c r="S2401" i="1"/>
  <c r="R2401" i="1"/>
  <c r="Q2401" i="1"/>
  <c r="P2401" i="1"/>
  <c r="T2400" i="1"/>
  <c r="S2400" i="1"/>
  <c r="R2400" i="1"/>
  <c r="Q2400" i="1"/>
  <c r="P2400" i="1"/>
  <c r="T2399" i="1"/>
  <c r="S2399" i="1"/>
  <c r="R2399" i="1"/>
  <c r="Q2399" i="1"/>
  <c r="P2399" i="1"/>
  <c r="T2398" i="1"/>
  <c r="S2398" i="1"/>
  <c r="R2398" i="1"/>
  <c r="Q2398" i="1"/>
  <c r="P2398" i="1"/>
  <c r="T2397" i="1"/>
  <c r="S2397" i="1"/>
  <c r="R2397" i="1"/>
  <c r="Q2397" i="1"/>
  <c r="P2397" i="1"/>
  <c r="T2396" i="1"/>
  <c r="S2396" i="1"/>
  <c r="R2396" i="1"/>
  <c r="Q2396" i="1"/>
  <c r="P2396" i="1"/>
  <c r="T2395" i="1"/>
  <c r="S2395" i="1"/>
  <c r="R2395" i="1"/>
  <c r="Q2395" i="1"/>
  <c r="P2395" i="1"/>
  <c r="T2394" i="1"/>
  <c r="S2394" i="1"/>
  <c r="R2394" i="1"/>
  <c r="Q2394" i="1"/>
  <c r="P2394" i="1"/>
  <c r="T2393" i="1"/>
  <c r="S2393" i="1"/>
  <c r="R2393" i="1"/>
  <c r="Q2393" i="1"/>
  <c r="P2393" i="1"/>
  <c r="T2392" i="1"/>
  <c r="S2392" i="1"/>
  <c r="R2392" i="1"/>
  <c r="Q2392" i="1"/>
  <c r="P2392" i="1"/>
  <c r="T2391" i="1"/>
  <c r="S2391" i="1"/>
  <c r="R2391" i="1"/>
  <c r="Q2391" i="1"/>
  <c r="P2391" i="1"/>
  <c r="T2390" i="1"/>
  <c r="S2390" i="1"/>
  <c r="R2390" i="1"/>
  <c r="Q2390" i="1"/>
  <c r="P2390" i="1"/>
  <c r="T2389" i="1"/>
  <c r="S2389" i="1"/>
  <c r="R2389" i="1"/>
  <c r="Q2389" i="1"/>
  <c r="P2389" i="1"/>
  <c r="T2388" i="1"/>
  <c r="S2388" i="1"/>
  <c r="R2388" i="1"/>
  <c r="Q2388" i="1"/>
  <c r="P2388" i="1"/>
  <c r="T2387" i="1"/>
  <c r="S2387" i="1"/>
  <c r="R2387" i="1"/>
  <c r="Q2387" i="1"/>
  <c r="P2387" i="1"/>
  <c r="T2386" i="1"/>
  <c r="S2386" i="1"/>
  <c r="R2386" i="1"/>
  <c r="Q2386" i="1"/>
  <c r="P2386" i="1"/>
  <c r="T2385" i="1"/>
  <c r="S2385" i="1"/>
  <c r="R2385" i="1"/>
  <c r="Q2385" i="1"/>
  <c r="P2385" i="1"/>
  <c r="T2384" i="1"/>
  <c r="S2384" i="1"/>
  <c r="R2384" i="1"/>
  <c r="Q2384" i="1"/>
  <c r="P2384" i="1"/>
  <c r="T2383" i="1"/>
  <c r="S2383" i="1"/>
  <c r="R2383" i="1"/>
  <c r="Q2383" i="1"/>
  <c r="P2383" i="1"/>
  <c r="T2382" i="1"/>
  <c r="S2382" i="1"/>
  <c r="R2382" i="1"/>
  <c r="Q2382" i="1"/>
  <c r="P2382" i="1"/>
  <c r="T2381" i="1"/>
  <c r="S2381" i="1"/>
  <c r="R2381" i="1"/>
  <c r="Q2381" i="1"/>
  <c r="P2381" i="1"/>
  <c r="T2380" i="1"/>
  <c r="S2380" i="1"/>
  <c r="R2380" i="1"/>
  <c r="Q2380" i="1"/>
  <c r="P2380" i="1"/>
  <c r="T2379" i="1"/>
  <c r="S2379" i="1"/>
  <c r="R2379" i="1"/>
  <c r="Q2379" i="1"/>
  <c r="P2379" i="1"/>
  <c r="T2378" i="1"/>
  <c r="S2378" i="1"/>
  <c r="R2378" i="1"/>
  <c r="Q2378" i="1"/>
  <c r="P2378" i="1"/>
  <c r="T2377" i="1"/>
  <c r="S2377" i="1"/>
  <c r="R2377" i="1"/>
  <c r="Q2377" i="1"/>
  <c r="P2377" i="1"/>
  <c r="T2376" i="1"/>
  <c r="S2376" i="1"/>
  <c r="R2376" i="1"/>
  <c r="Q2376" i="1"/>
  <c r="P2376" i="1"/>
  <c r="T2375" i="1"/>
  <c r="S2375" i="1"/>
  <c r="R2375" i="1"/>
  <c r="Q2375" i="1"/>
  <c r="P2375" i="1"/>
  <c r="T2374" i="1"/>
  <c r="S2374" i="1"/>
  <c r="R2374" i="1"/>
  <c r="Q2374" i="1"/>
  <c r="P2374" i="1"/>
  <c r="T2373" i="1"/>
  <c r="S2373" i="1"/>
  <c r="R2373" i="1"/>
  <c r="Q2373" i="1"/>
  <c r="P2373" i="1"/>
  <c r="T2372" i="1"/>
  <c r="S2372" i="1"/>
  <c r="R2372" i="1"/>
  <c r="Q2372" i="1"/>
  <c r="P2372" i="1"/>
  <c r="T2371" i="1"/>
  <c r="S2371" i="1"/>
  <c r="R2371" i="1"/>
  <c r="Q2371" i="1"/>
  <c r="P2371" i="1"/>
  <c r="T2370" i="1"/>
  <c r="S2370" i="1"/>
  <c r="R2370" i="1"/>
  <c r="Q2370" i="1"/>
  <c r="P2370" i="1"/>
  <c r="T2369" i="1"/>
  <c r="S2369" i="1"/>
  <c r="R2369" i="1"/>
  <c r="Q2369" i="1"/>
  <c r="P2369" i="1"/>
  <c r="T2368" i="1"/>
  <c r="S2368" i="1"/>
  <c r="R2368" i="1"/>
  <c r="Q2368" i="1"/>
  <c r="P2368" i="1"/>
  <c r="T2367" i="1"/>
  <c r="S2367" i="1"/>
  <c r="R2367" i="1"/>
  <c r="Q2367" i="1"/>
  <c r="P2367" i="1"/>
  <c r="T2366" i="1"/>
  <c r="S2366" i="1"/>
  <c r="R2366" i="1"/>
  <c r="Q2366" i="1"/>
  <c r="P2366" i="1"/>
  <c r="T2365" i="1"/>
  <c r="S2365" i="1"/>
  <c r="R2365" i="1"/>
  <c r="Q2365" i="1"/>
  <c r="P2365" i="1"/>
  <c r="T2364" i="1"/>
  <c r="S2364" i="1"/>
  <c r="R2364" i="1"/>
  <c r="Q2364" i="1"/>
  <c r="P2364" i="1"/>
  <c r="T2363" i="1"/>
  <c r="S2363" i="1"/>
  <c r="R2363" i="1"/>
  <c r="Q2363" i="1"/>
  <c r="P2363" i="1"/>
  <c r="T2362" i="1"/>
  <c r="S2362" i="1"/>
  <c r="R2362" i="1"/>
  <c r="Q2362" i="1"/>
  <c r="P2362" i="1"/>
  <c r="T2361" i="1"/>
  <c r="S2361" i="1"/>
  <c r="R2361" i="1"/>
  <c r="Q2361" i="1"/>
  <c r="P2361" i="1"/>
  <c r="T2360" i="1"/>
  <c r="S2360" i="1"/>
  <c r="R2360" i="1"/>
  <c r="Q2360" i="1"/>
  <c r="P2360" i="1"/>
  <c r="T2359" i="1"/>
  <c r="S2359" i="1"/>
  <c r="R2359" i="1"/>
  <c r="Q2359" i="1"/>
  <c r="P2359" i="1"/>
  <c r="T2358" i="1"/>
  <c r="S2358" i="1"/>
  <c r="R2358" i="1"/>
  <c r="Q2358" i="1"/>
  <c r="P2358" i="1"/>
  <c r="T2357" i="1"/>
  <c r="S2357" i="1"/>
  <c r="R2357" i="1"/>
  <c r="Q2357" i="1"/>
  <c r="P2357" i="1"/>
  <c r="T2356" i="1"/>
  <c r="S2356" i="1"/>
  <c r="R2356" i="1"/>
  <c r="Q2356" i="1"/>
  <c r="P2356" i="1"/>
  <c r="T2355" i="1"/>
  <c r="S2355" i="1"/>
  <c r="R2355" i="1"/>
  <c r="Q2355" i="1"/>
  <c r="P2355" i="1"/>
  <c r="T2354" i="1"/>
  <c r="S2354" i="1"/>
  <c r="R2354" i="1"/>
  <c r="Q2354" i="1"/>
  <c r="P2354" i="1"/>
  <c r="T2353" i="1"/>
  <c r="S2353" i="1"/>
  <c r="R2353" i="1"/>
  <c r="Q2353" i="1"/>
  <c r="P2353" i="1"/>
  <c r="T2352" i="1"/>
  <c r="S2352" i="1"/>
  <c r="R2352" i="1"/>
  <c r="Q2352" i="1"/>
  <c r="P2352" i="1"/>
  <c r="T2351" i="1"/>
  <c r="S2351" i="1"/>
  <c r="R2351" i="1"/>
  <c r="Q2351" i="1"/>
  <c r="P2351" i="1"/>
  <c r="T2350" i="1"/>
  <c r="S2350" i="1"/>
  <c r="R2350" i="1"/>
  <c r="Q2350" i="1"/>
  <c r="P2350" i="1"/>
  <c r="T2349" i="1"/>
  <c r="S2349" i="1"/>
  <c r="R2349" i="1"/>
  <c r="Q2349" i="1"/>
  <c r="P2349" i="1"/>
  <c r="T2348" i="1"/>
  <c r="S2348" i="1"/>
  <c r="R2348" i="1"/>
  <c r="Q2348" i="1"/>
  <c r="P2348" i="1"/>
  <c r="T2347" i="1"/>
  <c r="S2347" i="1"/>
  <c r="R2347" i="1"/>
  <c r="Q2347" i="1"/>
  <c r="P2347" i="1"/>
  <c r="T2346" i="1"/>
  <c r="S2346" i="1"/>
  <c r="R2346" i="1"/>
  <c r="Q2346" i="1"/>
  <c r="P2346" i="1"/>
  <c r="T2345" i="1"/>
  <c r="S2345" i="1"/>
  <c r="R2345" i="1"/>
  <c r="Q2345" i="1"/>
  <c r="P2345" i="1"/>
  <c r="T2344" i="1"/>
  <c r="S2344" i="1"/>
  <c r="R2344" i="1"/>
  <c r="Q2344" i="1"/>
  <c r="P2344" i="1"/>
  <c r="T2343" i="1"/>
  <c r="S2343" i="1"/>
  <c r="R2343" i="1"/>
  <c r="Q2343" i="1"/>
  <c r="P2343" i="1"/>
  <c r="T2342" i="1"/>
  <c r="S2342" i="1"/>
  <c r="R2342" i="1"/>
  <c r="Q2342" i="1"/>
  <c r="P2342" i="1"/>
  <c r="T2341" i="1"/>
  <c r="S2341" i="1"/>
  <c r="R2341" i="1"/>
  <c r="Q2341" i="1"/>
  <c r="P2341" i="1"/>
  <c r="T2340" i="1"/>
  <c r="S2340" i="1"/>
  <c r="R2340" i="1"/>
  <c r="Q2340" i="1"/>
  <c r="P2340" i="1"/>
  <c r="T2339" i="1"/>
  <c r="S2339" i="1"/>
  <c r="R2339" i="1"/>
  <c r="Q2339" i="1"/>
  <c r="P2339" i="1"/>
  <c r="T2338" i="1"/>
  <c r="S2338" i="1"/>
  <c r="R2338" i="1"/>
  <c r="Q2338" i="1"/>
  <c r="P2338" i="1"/>
  <c r="T2337" i="1"/>
  <c r="S2337" i="1"/>
  <c r="R2337" i="1"/>
  <c r="Q2337" i="1"/>
  <c r="P2337" i="1"/>
  <c r="T2336" i="1"/>
  <c r="S2336" i="1"/>
  <c r="R2336" i="1"/>
  <c r="Q2336" i="1"/>
  <c r="P2336" i="1"/>
  <c r="T2335" i="1"/>
  <c r="S2335" i="1"/>
  <c r="R2335" i="1"/>
  <c r="Q2335" i="1"/>
  <c r="P2335" i="1"/>
  <c r="T2334" i="1"/>
  <c r="S2334" i="1"/>
  <c r="R2334" i="1"/>
  <c r="Q2334" i="1"/>
  <c r="P2334" i="1"/>
  <c r="T2333" i="1"/>
  <c r="S2333" i="1"/>
  <c r="R2333" i="1"/>
  <c r="Q2333" i="1"/>
  <c r="P2333" i="1"/>
  <c r="T2332" i="1"/>
  <c r="S2332" i="1"/>
  <c r="R2332" i="1"/>
  <c r="Q2332" i="1"/>
  <c r="P2332" i="1"/>
  <c r="T2331" i="1"/>
  <c r="S2331" i="1"/>
  <c r="R2331" i="1"/>
  <c r="Q2331" i="1"/>
  <c r="P2331" i="1"/>
  <c r="T2330" i="1"/>
  <c r="S2330" i="1"/>
  <c r="R2330" i="1"/>
  <c r="Q2330" i="1"/>
  <c r="P2330" i="1"/>
  <c r="T2329" i="1"/>
  <c r="S2329" i="1"/>
  <c r="R2329" i="1"/>
  <c r="Q2329" i="1"/>
  <c r="P2329" i="1"/>
  <c r="T2328" i="1"/>
  <c r="S2328" i="1"/>
  <c r="R2328" i="1"/>
  <c r="Q2328" i="1"/>
  <c r="P2328" i="1"/>
  <c r="T2327" i="1"/>
  <c r="S2327" i="1"/>
  <c r="R2327" i="1"/>
  <c r="Q2327" i="1"/>
  <c r="P2327" i="1"/>
  <c r="T2326" i="1"/>
  <c r="S2326" i="1"/>
  <c r="R2326" i="1"/>
  <c r="Q2326" i="1"/>
  <c r="P2326" i="1"/>
  <c r="T2325" i="1"/>
  <c r="S2325" i="1"/>
  <c r="R2325" i="1"/>
  <c r="Q2325" i="1"/>
  <c r="P2325" i="1"/>
  <c r="T2324" i="1"/>
  <c r="S2324" i="1"/>
  <c r="R2324" i="1"/>
  <c r="Q2324" i="1"/>
  <c r="P2324" i="1"/>
  <c r="T2323" i="1"/>
  <c r="S2323" i="1"/>
  <c r="R2323" i="1"/>
  <c r="Q2323" i="1"/>
  <c r="P2323" i="1"/>
  <c r="T2322" i="1"/>
  <c r="S2322" i="1"/>
  <c r="R2322" i="1"/>
  <c r="Q2322" i="1"/>
  <c r="P2322" i="1"/>
  <c r="T2321" i="1"/>
  <c r="S2321" i="1"/>
  <c r="R2321" i="1"/>
  <c r="Q2321" i="1"/>
  <c r="P2321" i="1"/>
  <c r="T2320" i="1"/>
  <c r="S2320" i="1"/>
  <c r="R2320" i="1"/>
  <c r="Q2320" i="1"/>
  <c r="P2320" i="1"/>
  <c r="T2319" i="1"/>
  <c r="S2319" i="1"/>
  <c r="R2319" i="1"/>
  <c r="Q2319" i="1"/>
  <c r="P2319" i="1"/>
  <c r="T2318" i="1"/>
  <c r="S2318" i="1"/>
  <c r="R2318" i="1"/>
  <c r="Q2318" i="1"/>
  <c r="P2318" i="1"/>
  <c r="T2317" i="1"/>
  <c r="S2317" i="1"/>
  <c r="R2317" i="1"/>
  <c r="Q2317" i="1"/>
  <c r="P2317" i="1"/>
  <c r="T2316" i="1"/>
  <c r="S2316" i="1"/>
  <c r="R2316" i="1"/>
  <c r="Q2316" i="1"/>
  <c r="P2316" i="1"/>
  <c r="T2315" i="1"/>
  <c r="S2315" i="1"/>
  <c r="R2315" i="1"/>
  <c r="Q2315" i="1"/>
  <c r="P2315" i="1"/>
  <c r="T2314" i="1"/>
  <c r="S2314" i="1"/>
  <c r="R2314" i="1"/>
  <c r="Q2314" i="1"/>
  <c r="P2314" i="1"/>
  <c r="T2313" i="1"/>
  <c r="S2313" i="1"/>
  <c r="R2313" i="1"/>
  <c r="Q2313" i="1"/>
  <c r="P2313" i="1"/>
  <c r="T2312" i="1"/>
  <c r="S2312" i="1"/>
  <c r="R2312" i="1"/>
  <c r="Q2312" i="1"/>
  <c r="P2312" i="1"/>
  <c r="T2311" i="1"/>
  <c r="S2311" i="1"/>
  <c r="R2311" i="1"/>
  <c r="Q2311" i="1"/>
  <c r="P2311" i="1"/>
  <c r="T2310" i="1"/>
  <c r="S2310" i="1"/>
  <c r="R2310" i="1"/>
  <c r="Q2310" i="1"/>
  <c r="P2310" i="1"/>
  <c r="T2309" i="1"/>
  <c r="S2309" i="1"/>
  <c r="R2309" i="1"/>
  <c r="Q2309" i="1"/>
  <c r="P2309" i="1"/>
  <c r="T2308" i="1"/>
  <c r="S2308" i="1"/>
  <c r="R2308" i="1"/>
  <c r="Q2308" i="1"/>
  <c r="P2308" i="1"/>
  <c r="T2307" i="1"/>
  <c r="S2307" i="1"/>
  <c r="R2307" i="1"/>
  <c r="Q2307" i="1"/>
  <c r="P2307" i="1"/>
  <c r="T2306" i="1"/>
  <c r="S2306" i="1"/>
  <c r="R2306" i="1"/>
  <c r="Q2306" i="1"/>
  <c r="P2306" i="1"/>
  <c r="T2305" i="1"/>
  <c r="S2305" i="1"/>
  <c r="R2305" i="1"/>
  <c r="Q2305" i="1"/>
  <c r="P2305" i="1"/>
  <c r="T2304" i="1"/>
  <c r="S2304" i="1"/>
  <c r="R2304" i="1"/>
  <c r="Q2304" i="1"/>
  <c r="P2304" i="1"/>
  <c r="T2303" i="1"/>
  <c r="S2303" i="1"/>
  <c r="R2303" i="1"/>
  <c r="Q2303" i="1"/>
  <c r="P2303" i="1"/>
  <c r="T2302" i="1"/>
  <c r="S2302" i="1"/>
  <c r="R2302" i="1"/>
  <c r="Q2302" i="1"/>
  <c r="P2302" i="1"/>
  <c r="T2301" i="1"/>
  <c r="S2301" i="1"/>
  <c r="R2301" i="1"/>
  <c r="Q2301" i="1"/>
  <c r="P2301" i="1"/>
  <c r="T2300" i="1"/>
  <c r="S2300" i="1"/>
  <c r="R2300" i="1"/>
  <c r="Q2300" i="1"/>
  <c r="P2300" i="1"/>
  <c r="T2299" i="1"/>
  <c r="S2299" i="1"/>
  <c r="R2299" i="1"/>
  <c r="Q2299" i="1"/>
  <c r="P2299" i="1"/>
  <c r="T2298" i="1"/>
  <c r="S2298" i="1"/>
  <c r="R2298" i="1"/>
  <c r="Q2298" i="1"/>
  <c r="P2298" i="1"/>
  <c r="T2297" i="1"/>
  <c r="S2297" i="1"/>
  <c r="R2297" i="1"/>
  <c r="Q2297" i="1"/>
  <c r="P2297" i="1"/>
  <c r="T2296" i="1"/>
  <c r="S2296" i="1"/>
  <c r="R2296" i="1"/>
  <c r="Q2296" i="1"/>
  <c r="P2296" i="1"/>
  <c r="T2295" i="1"/>
  <c r="S2295" i="1"/>
  <c r="R2295" i="1"/>
  <c r="Q2295" i="1"/>
  <c r="P2295" i="1"/>
  <c r="T2294" i="1"/>
  <c r="S2294" i="1"/>
  <c r="R2294" i="1"/>
  <c r="Q2294" i="1"/>
  <c r="P2294" i="1"/>
  <c r="T2293" i="1"/>
  <c r="S2293" i="1"/>
  <c r="R2293" i="1"/>
  <c r="Q2293" i="1"/>
  <c r="P2293" i="1"/>
  <c r="T2292" i="1"/>
  <c r="S2292" i="1"/>
  <c r="R2292" i="1"/>
  <c r="Q2292" i="1"/>
  <c r="P2292" i="1"/>
  <c r="T2291" i="1"/>
  <c r="S2291" i="1"/>
  <c r="R2291" i="1"/>
  <c r="Q2291" i="1"/>
  <c r="P2291" i="1"/>
  <c r="T2290" i="1"/>
  <c r="S2290" i="1"/>
  <c r="R2290" i="1"/>
  <c r="Q2290" i="1"/>
  <c r="P2290" i="1"/>
  <c r="T2289" i="1"/>
  <c r="S2289" i="1"/>
  <c r="R2289" i="1"/>
  <c r="Q2289" i="1"/>
  <c r="P2289" i="1"/>
  <c r="T2288" i="1"/>
  <c r="S2288" i="1"/>
  <c r="R2288" i="1"/>
  <c r="Q2288" i="1"/>
  <c r="P2288" i="1"/>
  <c r="T2287" i="1"/>
  <c r="S2287" i="1"/>
  <c r="R2287" i="1"/>
  <c r="Q2287" i="1"/>
  <c r="P2287" i="1"/>
  <c r="T2286" i="1"/>
  <c r="S2286" i="1"/>
  <c r="R2286" i="1"/>
  <c r="Q2286" i="1"/>
  <c r="P2286" i="1"/>
  <c r="T2285" i="1"/>
  <c r="S2285" i="1"/>
  <c r="R2285" i="1"/>
  <c r="Q2285" i="1"/>
  <c r="P2285" i="1"/>
  <c r="T2284" i="1"/>
  <c r="S2284" i="1"/>
  <c r="R2284" i="1"/>
  <c r="Q2284" i="1"/>
  <c r="P2284" i="1"/>
  <c r="T2283" i="1"/>
  <c r="S2283" i="1"/>
  <c r="R2283" i="1"/>
  <c r="Q2283" i="1"/>
  <c r="P2283" i="1"/>
  <c r="T2282" i="1"/>
  <c r="S2282" i="1"/>
  <c r="R2282" i="1"/>
  <c r="Q2282" i="1"/>
  <c r="P2282" i="1"/>
  <c r="T2281" i="1"/>
  <c r="S2281" i="1"/>
  <c r="R2281" i="1"/>
  <c r="Q2281" i="1"/>
  <c r="P2281" i="1"/>
  <c r="T2280" i="1"/>
  <c r="S2280" i="1"/>
  <c r="R2280" i="1"/>
  <c r="Q2280" i="1"/>
  <c r="P2280" i="1"/>
  <c r="T2279" i="1"/>
  <c r="S2279" i="1"/>
  <c r="R2279" i="1"/>
  <c r="Q2279" i="1"/>
  <c r="P2279" i="1"/>
  <c r="T2278" i="1"/>
  <c r="S2278" i="1"/>
  <c r="R2278" i="1"/>
  <c r="Q2278" i="1"/>
  <c r="P2278" i="1"/>
  <c r="T2277" i="1"/>
  <c r="S2277" i="1"/>
  <c r="R2277" i="1"/>
  <c r="Q2277" i="1"/>
  <c r="P2277" i="1"/>
  <c r="T2276" i="1"/>
  <c r="S2276" i="1"/>
  <c r="R2276" i="1"/>
  <c r="Q2276" i="1"/>
  <c r="P2276" i="1"/>
  <c r="T2275" i="1"/>
  <c r="S2275" i="1"/>
  <c r="R2275" i="1"/>
  <c r="Q2275" i="1"/>
  <c r="P2275" i="1"/>
  <c r="T2274" i="1"/>
  <c r="S2274" i="1"/>
  <c r="R2274" i="1"/>
  <c r="Q2274" i="1"/>
  <c r="P2274" i="1"/>
  <c r="T2273" i="1"/>
  <c r="S2273" i="1"/>
  <c r="R2273" i="1"/>
  <c r="Q2273" i="1"/>
  <c r="P2273" i="1"/>
  <c r="T2272" i="1"/>
  <c r="S2272" i="1"/>
  <c r="R2272" i="1"/>
  <c r="Q2272" i="1"/>
  <c r="P2272" i="1"/>
  <c r="T2271" i="1"/>
  <c r="S2271" i="1"/>
  <c r="R2271" i="1"/>
  <c r="Q2271" i="1"/>
  <c r="P2271" i="1"/>
  <c r="T2270" i="1"/>
  <c r="S2270" i="1"/>
  <c r="R2270" i="1"/>
  <c r="Q2270" i="1"/>
  <c r="P2270" i="1"/>
  <c r="T2269" i="1"/>
  <c r="S2269" i="1"/>
  <c r="R2269" i="1"/>
  <c r="Q2269" i="1"/>
  <c r="P2269" i="1"/>
  <c r="T2268" i="1"/>
  <c r="S2268" i="1"/>
  <c r="R2268" i="1"/>
  <c r="Q2268" i="1"/>
  <c r="P2268" i="1"/>
  <c r="T2267" i="1"/>
  <c r="S2267" i="1"/>
  <c r="R2267" i="1"/>
  <c r="Q2267" i="1"/>
  <c r="P2267" i="1"/>
  <c r="T2266" i="1"/>
  <c r="S2266" i="1"/>
  <c r="R2266" i="1"/>
  <c r="Q2266" i="1"/>
  <c r="P2266" i="1"/>
  <c r="T2265" i="1"/>
  <c r="S2265" i="1"/>
  <c r="R2265" i="1"/>
  <c r="Q2265" i="1"/>
  <c r="P2265" i="1"/>
  <c r="T2264" i="1"/>
  <c r="S2264" i="1"/>
  <c r="R2264" i="1"/>
  <c r="Q2264" i="1"/>
  <c r="P2264" i="1"/>
  <c r="T2263" i="1"/>
  <c r="S2263" i="1"/>
  <c r="R2263" i="1"/>
  <c r="Q2263" i="1"/>
  <c r="P2263" i="1"/>
  <c r="T2262" i="1"/>
  <c r="S2262" i="1"/>
  <c r="R2262" i="1"/>
  <c r="Q2262" i="1"/>
  <c r="P2262" i="1"/>
  <c r="T2261" i="1"/>
  <c r="S2261" i="1"/>
  <c r="R2261" i="1"/>
  <c r="Q2261" i="1"/>
  <c r="P2261" i="1"/>
  <c r="T2260" i="1"/>
  <c r="S2260" i="1"/>
  <c r="R2260" i="1"/>
  <c r="Q2260" i="1"/>
  <c r="P2260" i="1"/>
  <c r="T2259" i="1"/>
  <c r="S2259" i="1"/>
  <c r="R2259" i="1"/>
  <c r="Q2259" i="1"/>
  <c r="P2259" i="1"/>
  <c r="T2258" i="1"/>
  <c r="S2258" i="1"/>
  <c r="R2258" i="1"/>
  <c r="Q2258" i="1"/>
  <c r="P2258" i="1"/>
  <c r="T2257" i="1"/>
  <c r="S2257" i="1"/>
  <c r="R2257" i="1"/>
  <c r="Q2257" i="1"/>
  <c r="P2257" i="1"/>
  <c r="T2256" i="1"/>
  <c r="S2256" i="1"/>
  <c r="R2256" i="1"/>
  <c r="Q2256" i="1"/>
  <c r="P2256" i="1"/>
  <c r="T2255" i="1"/>
  <c r="S2255" i="1"/>
  <c r="R2255" i="1"/>
  <c r="Q2255" i="1"/>
  <c r="P2255" i="1"/>
  <c r="T2254" i="1"/>
  <c r="S2254" i="1"/>
  <c r="R2254" i="1"/>
  <c r="Q2254" i="1"/>
  <c r="P2254" i="1"/>
  <c r="T2253" i="1"/>
  <c r="S2253" i="1"/>
  <c r="R2253" i="1"/>
  <c r="Q2253" i="1"/>
  <c r="P2253" i="1"/>
  <c r="T2252" i="1"/>
  <c r="S2252" i="1"/>
  <c r="R2252" i="1"/>
  <c r="Q2252" i="1"/>
  <c r="P2252" i="1"/>
  <c r="T2251" i="1"/>
  <c r="S2251" i="1"/>
  <c r="R2251" i="1"/>
  <c r="Q2251" i="1"/>
  <c r="P2251" i="1"/>
  <c r="T2250" i="1"/>
  <c r="S2250" i="1"/>
  <c r="R2250" i="1"/>
  <c r="Q2250" i="1"/>
  <c r="P2250" i="1"/>
  <c r="T2249" i="1"/>
  <c r="S2249" i="1"/>
  <c r="R2249" i="1"/>
  <c r="Q2249" i="1"/>
  <c r="P2249" i="1"/>
  <c r="T2248" i="1"/>
  <c r="S2248" i="1"/>
  <c r="R2248" i="1"/>
  <c r="Q2248" i="1"/>
  <c r="P2248" i="1"/>
  <c r="T2247" i="1"/>
  <c r="S2247" i="1"/>
  <c r="R2247" i="1"/>
  <c r="Q2247" i="1"/>
  <c r="P2247" i="1"/>
  <c r="T2246" i="1"/>
  <c r="S2246" i="1"/>
  <c r="R2246" i="1"/>
  <c r="Q2246" i="1"/>
  <c r="P2246" i="1"/>
  <c r="T2245" i="1"/>
  <c r="S2245" i="1"/>
  <c r="R2245" i="1"/>
  <c r="Q2245" i="1"/>
  <c r="P2245" i="1"/>
  <c r="T2244" i="1"/>
  <c r="S2244" i="1"/>
  <c r="R2244" i="1"/>
  <c r="Q2244" i="1"/>
  <c r="P2244" i="1"/>
  <c r="T2243" i="1"/>
  <c r="S2243" i="1"/>
  <c r="R2243" i="1"/>
  <c r="Q2243" i="1"/>
  <c r="P2243" i="1"/>
  <c r="T2242" i="1"/>
  <c r="S2242" i="1"/>
  <c r="R2242" i="1"/>
  <c r="Q2242" i="1"/>
  <c r="P2242" i="1"/>
  <c r="T2241" i="1"/>
  <c r="S2241" i="1"/>
  <c r="R2241" i="1"/>
  <c r="Q2241" i="1"/>
  <c r="P2241" i="1"/>
  <c r="T2240" i="1"/>
  <c r="S2240" i="1"/>
  <c r="R2240" i="1"/>
  <c r="Q2240" i="1"/>
  <c r="P2240" i="1"/>
  <c r="T2239" i="1"/>
  <c r="S2239" i="1"/>
  <c r="R2239" i="1"/>
  <c r="Q2239" i="1"/>
  <c r="P2239" i="1"/>
  <c r="T2238" i="1"/>
  <c r="S2238" i="1"/>
  <c r="R2238" i="1"/>
  <c r="Q2238" i="1"/>
  <c r="P2238" i="1"/>
  <c r="T2237" i="1"/>
  <c r="S2237" i="1"/>
  <c r="R2237" i="1"/>
  <c r="Q2237" i="1"/>
  <c r="P2237" i="1"/>
  <c r="T2236" i="1"/>
  <c r="S2236" i="1"/>
  <c r="R2236" i="1"/>
  <c r="Q2236" i="1"/>
  <c r="P2236" i="1"/>
  <c r="T2235" i="1"/>
  <c r="S2235" i="1"/>
  <c r="R2235" i="1"/>
  <c r="Q2235" i="1"/>
  <c r="P2235" i="1"/>
  <c r="T2234" i="1"/>
  <c r="S2234" i="1"/>
  <c r="R2234" i="1"/>
  <c r="Q2234" i="1"/>
  <c r="P2234" i="1"/>
  <c r="T2233" i="1"/>
  <c r="S2233" i="1"/>
  <c r="R2233" i="1"/>
  <c r="Q2233" i="1"/>
  <c r="P2233" i="1"/>
  <c r="T2232" i="1"/>
  <c r="S2232" i="1"/>
  <c r="R2232" i="1"/>
  <c r="Q2232" i="1"/>
  <c r="P2232" i="1"/>
  <c r="T2231" i="1"/>
  <c r="S2231" i="1"/>
  <c r="R2231" i="1"/>
  <c r="Q2231" i="1"/>
  <c r="P2231" i="1"/>
  <c r="T2230" i="1"/>
  <c r="S2230" i="1"/>
  <c r="R2230" i="1"/>
  <c r="Q2230" i="1"/>
  <c r="P2230" i="1"/>
  <c r="T2229" i="1"/>
  <c r="S2229" i="1"/>
  <c r="R2229" i="1"/>
  <c r="Q2229" i="1"/>
  <c r="P2229" i="1"/>
  <c r="T2228" i="1"/>
  <c r="S2228" i="1"/>
  <c r="R2228" i="1"/>
  <c r="Q2228" i="1"/>
  <c r="P2228" i="1"/>
  <c r="T2227" i="1"/>
  <c r="S2227" i="1"/>
  <c r="R2227" i="1"/>
  <c r="Q2227" i="1"/>
  <c r="P2227" i="1"/>
  <c r="T2226" i="1"/>
  <c r="S2226" i="1"/>
  <c r="R2226" i="1"/>
  <c r="Q2226" i="1"/>
  <c r="P2226" i="1"/>
  <c r="T2225" i="1"/>
  <c r="S2225" i="1"/>
  <c r="R2225" i="1"/>
  <c r="Q2225" i="1"/>
  <c r="P2225" i="1"/>
  <c r="T2224" i="1"/>
  <c r="S2224" i="1"/>
  <c r="R2224" i="1"/>
  <c r="Q2224" i="1"/>
  <c r="P2224" i="1"/>
  <c r="T2223" i="1"/>
  <c r="S2223" i="1"/>
  <c r="R2223" i="1"/>
  <c r="Q2223" i="1"/>
  <c r="P2223" i="1"/>
  <c r="T2222" i="1"/>
  <c r="S2222" i="1"/>
  <c r="R2222" i="1"/>
  <c r="Q2222" i="1"/>
  <c r="P2222" i="1"/>
  <c r="T2221" i="1"/>
  <c r="S2221" i="1"/>
  <c r="R2221" i="1"/>
  <c r="Q2221" i="1"/>
  <c r="P2221" i="1"/>
  <c r="T2220" i="1"/>
  <c r="S2220" i="1"/>
  <c r="R2220" i="1"/>
  <c r="Q2220" i="1"/>
  <c r="P2220" i="1"/>
  <c r="T2219" i="1"/>
  <c r="S2219" i="1"/>
  <c r="R2219" i="1"/>
  <c r="Q2219" i="1"/>
  <c r="P2219" i="1"/>
  <c r="T2218" i="1"/>
  <c r="S2218" i="1"/>
  <c r="R2218" i="1"/>
  <c r="Q2218" i="1"/>
  <c r="P2218" i="1"/>
  <c r="T2217" i="1"/>
  <c r="S2217" i="1"/>
  <c r="R2217" i="1"/>
  <c r="Q2217" i="1"/>
  <c r="P2217" i="1"/>
  <c r="T2216" i="1"/>
  <c r="S2216" i="1"/>
  <c r="R2216" i="1"/>
  <c r="Q2216" i="1"/>
  <c r="P2216" i="1"/>
  <c r="T2215" i="1"/>
  <c r="S2215" i="1"/>
  <c r="R2215" i="1"/>
  <c r="Q2215" i="1"/>
  <c r="P2215" i="1"/>
  <c r="T2214" i="1"/>
  <c r="S2214" i="1"/>
  <c r="R2214" i="1"/>
  <c r="Q2214" i="1"/>
  <c r="P2214" i="1"/>
  <c r="T2213" i="1"/>
  <c r="S2213" i="1"/>
  <c r="R2213" i="1"/>
  <c r="Q2213" i="1"/>
  <c r="P2213" i="1"/>
  <c r="T2212" i="1"/>
  <c r="S2212" i="1"/>
  <c r="R2212" i="1"/>
  <c r="Q2212" i="1"/>
  <c r="P2212" i="1"/>
  <c r="T2211" i="1"/>
  <c r="S2211" i="1"/>
  <c r="R2211" i="1"/>
  <c r="Q2211" i="1"/>
  <c r="P2211" i="1"/>
  <c r="T2210" i="1"/>
  <c r="S2210" i="1"/>
  <c r="R2210" i="1"/>
  <c r="Q2210" i="1"/>
  <c r="P2210" i="1"/>
  <c r="T2209" i="1"/>
  <c r="S2209" i="1"/>
  <c r="R2209" i="1"/>
  <c r="Q2209" i="1"/>
  <c r="P2209" i="1"/>
  <c r="T2208" i="1"/>
  <c r="S2208" i="1"/>
  <c r="R2208" i="1"/>
  <c r="Q2208" i="1"/>
  <c r="P2208" i="1"/>
  <c r="T2207" i="1"/>
  <c r="S2207" i="1"/>
  <c r="R2207" i="1"/>
  <c r="Q2207" i="1"/>
  <c r="P2207" i="1"/>
  <c r="T2206" i="1"/>
  <c r="S2206" i="1"/>
  <c r="R2206" i="1"/>
  <c r="Q2206" i="1"/>
  <c r="P2206" i="1"/>
  <c r="T2205" i="1"/>
  <c r="S2205" i="1"/>
  <c r="R2205" i="1"/>
  <c r="Q2205" i="1"/>
  <c r="P2205" i="1"/>
  <c r="T2204" i="1"/>
  <c r="S2204" i="1"/>
  <c r="R2204" i="1"/>
  <c r="Q2204" i="1"/>
  <c r="P2204" i="1"/>
  <c r="T2203" i="1"/>
  <c r="S2203" i="1"/>
  <c r="R2203" i="1"/>
  <c r="Q2203" i="1"/>
  <c r="P2203" i="1"/>
  <c r="T2202" i="1"/>
  <c r="S2202" i="1"/>
  <c r="R2202" i="1"/>
  <c r="Q2202" i="1"/>
  <c r="P2202" i="1"/>
  <c r="T2201" i="1"/>
  <c r="S2201" i="1"/>
  <c r="R2201" i="1"/>
  <c r="Q2201" i="1"/>
  <c r="P2201" i="1"/>
  <c r="T2200" i="1"/>
  <c r="S2200" i="1"/>
  <c r="R2200" i="1"/>
  <c r="Q2200" i="1"/>
  <c r="P2200" i="1"/>
  <c r="T2199" i="1"/>
  <c r="S2199" i="1"/>
  <c r="R2199" i="1"/>
  <c r="Q2199" i="1"/>
  <c r="P2199" i="1"/>
  <c r="T2198" i="1"/>
  <c r="S2198" i="1"/>
  <c r="R2198" i="1"/>
  <c r="Q2198" i="1"/>
  <c r="P2198" i="1"/>
  <c r="T2197" i="1"/>
  <c r="S2197" i="1"/>
  <c r="R2197" i="1"/>
  <c r="Q2197" i="1"/>
  <c r="P2197" i="1"/>
  <c r="T2196" i="1"/>
  <c r="S2196" i="1"/>
  <c r="R2196" i="1"/>
  <c r="Q2196" i="1"/>
  <c r="P2196" i="1"/>
  <c r="T2195" i="1"/>
  <c r="S2195" i="1"/>
  <c r="R2195" i="1"/>
  <c r="Q2195" i="1"/>
  <c r="P2195" i="1"/>
  <c r="T2194" i="1"/>
  <c r="S2194" i="1"/>
  <c r="R2194" i="1"/>
  <c r="Q2194" i="1"/>
  <c r="P2194" i="1"/>
  <c r="T2193" i="1"/>
  <c r="S2193" i="1"/>
  <c r="R2193" i="1"/>
  <c r="Q2193" i="1"/>
  <c r="P2193" i="1"/>
  <c r="T2192" i="1"/>
  <c r="S2192" i="1"/>
  <c r="R2192" i="1"/>
  <c r="Q2192" i="1"/>
  <c r="P2192" i="1"/>
  <c r="T2191" i="1"/>
  <c r="S2191" i="1"/>
  <c r="R2191" i="1"/>
  <c r="Q2191" i="1"/>
  <c r="P2191" i="1"/>
  <c r="T2190" i="1"/>
  <c r="S2190" i="1"/>
  <c r="R2190" i="1"/>
  <c r="Q2190" i="1"/>
  <c r="P2190" i="1"/>
  <c r="T2189" i="1"/>
  <c r="S2189" i="1"/>
  <c r="R2189" i="1"/>
  <c r="Q2189" i="1"/>
  <c r="P2189" i="1"/>
  <c r="T2188" i="1"/>
  <c r="S2188" i="1"/>
  <c r="R2188" i="1"/>
  <c r="Q2188" i="1"/>
  <c r="P2188" i="1"/>
  <c r="T2187" i="1"/>
  <c r="S2187" i="1"/>
  <c r="R2187" i="1"/>
  <c r="Q2187" i="1"/>
  <c r="P2187" i="1"/>
  <c r="T2186" i="1"/>
  <c r="S2186" i="1"/>
  <c r="R2186" i="1"/>
  <c r="Q2186" i="1"/>
  <c r="P2186" i="1"/>
  <c r="T2185" i="1"/>
  <c r="S2185" i="1"/>
  <c r="R2185" i="1"/>
  <c r="Q2185" i="1"/>
  <c r="P2185" i="1"/>
  <c r="T2184" i="1"/>
  <c r="S2184" i="1"/>
  <c r="R2184" i="1"/>
  <c r="Q2184" i="1"/>
  <c r="P2184" i="1"/>
  <c r="T2183" i="1"/>
  <c r="S2183" i="1"/>
  <c r="R2183" i="1"/>
  <c r="Q2183" i="1"/>
  <c r="P2183" i="1"/>
  <c r="T2182" i="1"/>
  <c r="S2182" i="1"/>
  <c r="R2182" i="1"/>
  <c r="Q2182" i="1"/>
  <c r="P2182" i="1"/>
  <c r="T2181" i="1"/>
  <c r="S2181" i="1"/>
  <c r="R2181" i="1"/>
  <c r="Q2181" i="1"/>
  <c r="P2181" i="1"/>
  <c r="T2180" i="1"/>
  <c r="S2180" i="1"/>
  <c r="R2180" i="1"/>
  <c r="Q2180" i="1"/>
  <c r="P2180" i="1"/>
  <c r="T2179" i="1"/>
  <c r="S2179" i="1"/>
  <c r="R2179" i="1"/>
  <c r="Q2179" i="1"/>
  <c r="P2179" i="1"/>
  <c r="T2178" i="1"/>
  <c r="S2178" i="1"/>
  <c r="R2178" i="1"/>
  <c r="Q2178" i="1"/>
  <c r="P2178" i="1"/>
  <c r="T2177" i="1"/>
  <c r="S2177" i="1"/>
  <c r="R2177" i="1"/>
  <c r="Q2177" i="1"/>
  <c r="P2177" i="1"/>
  <c r="T2176" i="1"/>
  <c r="S2176" i="1"/>
  <c r="R2176" i="1"/>
  <c r="Q2176" i="1"/>
  <c r="P2176" i="1"/>
  <c r="T2175" i="1"/>
  <c r="S2175" i="1"/>
  <c r="R2175" i="1"/>
  <c r="Q2175" i="1"/>
  <c r="P2175" i="1"/>
  <c r="T2174" i="1"/>
  <c r="S2174" i="1"/>
  <c r="R2174" i="1"/>
  <c r="Q2174" i="1"/>
  <c r="P2174" i="1"/>
  <c r="T2173" i="1"/>
  <c r="S2173" i="1"/>
  <c r="R2173" i="1"/>
  <c r="Q2173" i="1"/>
  <c r="P2173" i="1"/>
  <c r="T2172" i="1"/>
  <c r="S2172" i="1"/>
  <c r="R2172" i="1"/>
  <c r="Q2172" i="1"/>
  <c r="P2172" i="1"/>
  <c r="T2171" i="1"/>
  <c r="S2171" i="1"/>
  <c r="R2171" i="1"/>
  <c r="Q2171" i="1"/>
  <c r="P2171" i="1"/>
  <c r="T2170" i="1"/>
  <c r="S2170" i="1"/>
  <c r="R2170" i="1"/>
  <c r="Q2170" i="1"/>
  <c r="P2170" i="1"/>
  <c r="T2169" i="1"/>
  <c r="S2169" i="1"/>
  <c r="R2169" i="1"/>
  <c r="Q2169" i="1"/>
  <c r="P2169" i="1"/>
  <c r="T2168" i="1"/>
  <c r="S2168" i="1"/>
  <c r="R2168" i="1"/>
  <c r="Q2168" i="1"/>
  <c r="P2168" i="1"/>
  <c r="T2167" i="1"/>
  <c r="S2167" i="1"/>
  <c r="R2167" i="1"/>
  <c r="Q2167" i="1"/>
  <c r="P2167" i="1"/>
  <c r="T2166" i="1"/>
  <c r="S2166" i="1"/>
  <c r="R2166" i="1"/>
  <c r="Q2166" i="1"/>
  <c r="P2166" i="1"/>
  <c r="T2165" i="1"/>
  <c r="S2165" i="1"/>
  <c r="R2165" i="1"/>
  <c r="Q2165" i="1"/>
  <c r="P2165" i="1"/>
  <c r="T2164" i="1"/>
  <c r="S2164" i="1"/>
  <c r="R2164" i="1"/>
  <c r="Q2164" i="1"/>
  <c r="P2164" i="1"/>
  <c r="T2163" i="1"/>
  <c r="S2163" i="1"/>
  <c r="R2163" i="1"/>
  <c r="Q2163" i="1"/>
  <c r="P2163" i="1"/>
  <c r="T2162" i="1"/>
  <c r="S2162" i="1"/>
  <c r="R2162" i="1"/>
  <c r="Q2162" i="1"/>
  <c r="P2162" i="1"/>
  <c r="T2161" i="1"/>
  <c r="S2161" i="1"/>
  <c r="R2161" i="1"/>
  <c r="Q2161" i="1"/>
  <c r="P2161" i="1"/>
  <c r="T2160" i="1"/>
  <c r="S2160" i="1"/>
  <c r="R2160" i="1"/>
  <c r="Q2160" i="1"/>
  <c r="P2160" i="1"/>
  <c r="T2159" i="1"/>
  <c r="S2159" i="1"/>
  <c r="R2159" i="1"/>
  <c r="Q2159" i="1"/>
  <c r="P2159" i="1"/>
  <c r="T2158" i="1"/>
  <c r="S2158" i="1"/>
  <c r="R2158" i="1"/>
  <c r="Q2158" i="1"/>
  <c r="P2158" i="1"/>
  <c r="T2157" i="1"/>
  <c r="S2157" i="1"/>
  <c r="R2157" i="1"/>
  <c r="Q2157" i="1"/>
  <c r="P2157" i="1"/>
  <c r="T2156" i="1"/>
  <c r="S2156" i="1"/>
  <c r="R2156" i="1"/>
  <c r="Q2156" i="1"/>
  <c r="P2156" i="1"/>
  <c r="T2155" i="1"/>
  <c r="S2155" i="1"/>
  <c r="R2155" i="1"/>
  <c r="Q2155" i="1"/>
  <c r="P2155" i="1"/>
  <c r="T2154" i="1"/>
  <c r="S2154" i="1"/>
  <c r="R2154" i="1"/>
  <c r="Q2154" i="1"/>
  <c r="P2154" i="1"/>
  <c r="T2153" i="1"/>
  <c r="S2153" i="1"/>
  <c r="R2153" i="1"/>
  <c r="Q2153" i="1"/>
  <c r="P2153" i="1"/>
  <c r="T2152" i="1"/>
  <c r="S2152" i="1"/>
  <c r="R2152" i="1"/>
  <c r="Q2152" i="1"/>
  <c r="P2152" i="1"/>
  <c r="T2151" i="1"/>
  <c r="S2151" i="1"/>
  <c r="R2151" i="1"/>
  <c r="Q2151" i="1"/>
  <c r="P2151" i="1"/>
  <c r="T2150" i="1"/>
  <c r="S2150" i="1"/>
  <c r="R2150" i="1"/>
  <c r="Q2150" i="1"/>
  <c r="P2150" i="1"/>
  <c r="T2149" i="1"/>
  <c r="S2149" i="1"/>
  <c r="R2149" i="1"/>
  <c r="Q2149" i="1"/>
  <c r="P2149" i="1"/>
  <c r="T2148" i="1"/>
  <c r="S2148" i="1"/>
  <c r="R2148" i="1"/>
  <c r="Q2148" i="1"/>
  <c r="P2148" i="1"/>
  <c r="T2147" i="1"/>
  <c r="S2147" i="1"/>
  <c r="R2147" i="1"/>
  <c r="Q2147" i="1"/>
  <c r="P2147" i="1"/>
  <c r="T2146" i="1"/>
  <c r="S2146" i="1"/>
  <c r="R2146" i="1"/>
  <c r="Q2146" i="1"/>
  <c r="P2146" i="1"/>
  <c r="T2145" i="1"/>
  <c r="S2145" i="1"/>
  <c r="R2145" i="1"/>
  <c r="Q2145" i="1"/>
  <c r="P2145" i="1"/>
  <c r="T2144" i="1"/>
  <c r="S2144" i="1"/>
  <c r="R2144" i="1"/>
  <c r="Q2144" i="1"/>
  <c r="P2144" i="1"/>
  <c r="T2143" i="1"/>
  <c r="S2143" i="1"/>
  <c r="R2143" i="1"/>
  <c r="Q2143" i="1"/>
  <c r="P2143" i="1"/>
  <c r="T2142" i="1"/>
  <c r="S2142" i="1"/>
  <c r="R2142" i="1"/>
  <c r="Q2142" i="1"/>
  <c r="P2142" i="1"/>
  <c r="T2141" i="1"/>
  <c r="S2141" i="1"/>
  <c r="R2141" i="1"/>
  <c r="Q2141" i="1"/>
  <c r="P2141" i="1"/>
  <c r="T2140" i="1"/>
  <c r="S2140" i="1"/>
  <c r="R2140" i="1"/>
  <c r="Q2140" i="1"/>
  <c r="P2140" i="1"/>
  <c r="T2139" i="1"/>
  <c r="S2139" i="1"/>
  <c r="R2139" i="1"/>
  <c r="Q2139" i="1"/>
  <c r="P2139" i="1"/>
  <c r="T2138" i="1"/>
  <c r="S2138" i="1"/>
  <c r="R2138" i="1"/>
  <c r="Q2138" i="1"/>
  <c r="P2138" i="1"/>
  <c r="T2137" i="1"/>
  <c r="S2137" i="1"/>
  <c r="R2137" i="1"/>
  <c r="Q2137" i="1"/>
  <c r="P2137" i="1"/>
  <c r="T2136" i="1"/>
  <c r="S2136" i="1"/>
  <c r="R2136" i="1"/>
  <c r="Q2136" i="1"/>
  <c r="P2136" i="1"/>
  <c r="T2135" i="1"/>
  <c r="S2135" i="1"/>
  <c r="R2135" i="1"/>
  <c r="Q2135" i="1"/>
  <c r="P2135" i="1"/>
  <c r="T2134" i="1"/>
  <c r="S2134" i="1"/>
  <c r="R2134" i="1"/>
  <c r="Q2134" i="1"/>
  <c r="P2134" i="1"/>
  <c r="T2133" i="1"/>
  <c r="S2133" i="1"/>
  <c r="R2133" i="1"/>
  <c r="Q2133" i="1"/>
  <c r="P2133" i="1"/>
  <c r="T2132" i="1"/>
  <c r="S2132" i="1"/>
  <c r="R2132" i="1"/>
  <c r="Q2132" i="1"/>
  <c r="P2132" i="1"/>
  <c r="T2131" i="1"/>
  <c r="S2131" i="1"/>
  <c r="R2131" i="1"/>
  <c r="Q2131" i="1"/>
  <c r="P2131" i="1"/>
  <c r="T2130" i="1"/>
  <c r="S2130" i="1"/>
  <c r="R2130" i="1"/>
  <c r="Q2130" i="1"/>
  <c r="P2130" i="1"/>
  <c r="T2129" i="1"/>
  <c r="S2129" i="1"/>
  <c r="R2129" i="1"/>
  <c r="Q2129" i="1"/>
  <c r="P2129" i="1"/>
  <c r="T2128" i="1"/>
  <c r="S2128" i="1"/>
  <c r="R2128" i="1"/>
  <c r="Q2128" i="1"/>
  <c r="P2128" i="1"/>
  <c r="T2127" i="1"/>
  <c r="S2127" i="1"/>
  <c r="R2127" i="1"/>
  <c r="Q2127" i="1"/>
  <c r="P2127" i="1"/>
  <c r="T2126" i="1"/>
  <c r="S2126" i="1"/>
  <c r="R2126" i="1"/>
  <c r="Q2126" i="1"/>
  <c r="P2126" i="1"/>
  <c r="T2125" i="1"/>
  <c r="S2125" i="1"/>
  <c r="R2125" i="1"/>
  <c r="Q2125" i="1"/>
  <c r="P2125" i="1"/>
  <c r="T2124" i="1"/>
  <c r="S2124" i="1"/>
  <c r="R2124" i="1"/>
  <c r="Q2124" i="1"/>
  <c r="P2124" i="1"/>
  <c r="T2123" i="1"/>
  <c r="S2123" i="1"/>
  <c r="R2123" i="1"/>
  <c r="Q2123" i="1"/>
  <c r="P2123" i="1"/>
  <c r="T2122" i="1"/>
  <c r="S2122" i="1"/>
  <c r="R2122" i="1"/>
  <c r="Q2122" i="1"/>
  <c r="P2122" i="1"/>
  <c r="T2121" i="1"/>
  <c r="S2121" i="1"/>
  <c r="R2121" i="1"/>
  <c r="Q2121" i="1"/>
  <c r="P2121" i="1"/>
  <c r="T2120" i="1"/>
  <c r="S2120" i="1"/>
  <c r="R2120" i="1"/>
  <c r="Q2120" i="1"/>
  <c r="P2120" i="1"/>
  <c r="T2119" i="1"/>
  <c r="S2119" i="1"/>
  <c r="R2119" i="1"/>
  <c r="Q2119" i="1"/>
  <c r="P2119" i="1"/>
  <c r="T2118" i="1"/>
  <c r="S2118" i="1"/>
  <c r="R2118" i="1"/>
  <c r="Q2118" i="1"/>
  <c r="P2118" i="1"/>
  <c r="T2117" i="1"/>
  <c r="S2117" i="1"/>
  <c r="R2117" i="1"/>
  <c r="Q2117" i="1"/>
  <c r="P2117" i="1"/>
  <c r="T2116" i="1"/>
  <c r="S2116" i="1"/>
  <c r="R2116" i="1"/>
  <c r="Q2116" i="1"/>
  <c r="P2116" i="1"/>
  <c r="T2115" i="1"/>
  <c r="S2115" i="1"/>
  <c r="R2115" i="1"/>
  <c r="Q2115" i="1"/>
  <c r="P2115" i="1"/>
  <c r="T2114" i="1"/>
  <c r="S2114" i="1"/>
  <c r="R2114" i="1"/>
  <c r="Q2114" i="1"/>
  <c r="P2114" i="1"/>
  <c r="T2113" i="1"/>
  <c r="S2113" i="1"/>
  <c r="R2113" i="1"/>
  <c r="Q2113" i="1"/>
  <c r="P2113" i="1"/>
  <c r="T2112" i="1"/>
  <c r="S2112" i="1"/>
  <c r="R2112" i="1"/>
  <c r="Q2112" i="1"/>
  <c r="P2112" i="1"/>
  <c r="T2111" i="1"/>
  <c r="S2111" i="1"/>
  <c r="R2111" i="1"/>
  <c r="Q2111" i="1"/>
  <c r="P2111" i="1"/>
  <c r="T2110" i="1"/>
  <c r="S2110" i="1"/>
  <c r="R2110" i="1"/>
  <c r="Q2110" i="1"/>
  <c r="P2110" i="1"/>
  <c r="T2109" i="1"/>
  <c r="S2109" i="1"/>
  <c r="R2109" i="1"/>
  <c r="Q2109" i="1"/>
  <c r="P2109" i="1"/>
  <c r="T2108" i="1"/>
  <c r="S2108" i="1"/>
  <c r="R2108" i="1"/>
  <c r="Q2108" i="1"/>
  <c r="P2108" i="1"/>
  <c r="T2107" i="1"/>
  <c r="S2107" i="1"/>
  <c r="R2107" i="1"/>
  <c r="Q2107" i="1"/>
  <c r="P2107" i="1"/>
  <c r="T2106" i="1"/>
  <c r="S2106" i="1"/>
  <c r="R2106" i="1"/>
  <c r="Q2106" i="1"/>
  <c r="P2106" i="1"/>
  <c r="T2105" i="1"/>
  <c r="S2105" i="1"/>
  <c r="R2105" i="1"/>
  <c r="Q2105" i="1"/>
  <c r="P2105" i="1"/>
  <c r="T2104" i="1"/>
  <c r="S2104" i="1"/>
  <c r="R2104" i="1"/>
  <c r="Q2104" i="1"/>
  <c r="P2104" i="1"/>
  <c r="T2103" i="1"/>
  <c r="S2103" i="1"/>
  <c r="R2103" i="1"/>
  <c r="Q2103" i="1"/>
  <c r="P2103" i="1"/>
  <c r="T2102" i="1"/>
  <c r="S2102" i="1"/>
  <c r="R2102" i="1"/>
  <c r="Q2102" i="1"/>
  <c r="P2102" i="1"/>
  <c r="T2101" i="1"/>
  <c r="S2101" i="1"/>
  <c r="R2101" i="1"/>
  <c r="Q2101" i="1"/>
  <c r="P2101" i="1"/>
  <c r="T2100" i="1"/>
  <c r="S2100" i="1"/>
  <c r="R2100" i="1"/>
  <c r="Q2100" i="1"/>
  <c r="P2100" i="1"/>
  <c r="T2099" i="1"/>
  <c r="S2099" i="1"/>
  <c r="R2099" i="1"/>
  <c r="Q2099" i="1"/>
  <c r="P2099" i="1"/>
  <c r="T2098" i="1"/>
  <c r="S2098" i="1"/>
  <c r="R2098" i="1"/>
  <c r="Q2098" i="1"/>
  <c r="P2098" i="1"/>
  <c r="T2097" i="1"/>
  <c r="S2097" i="1"/>
  <c r="R2097" i="1"/>
  <c r="Q2097" i="1"/>
  <c r="P2097" i="1"/>
  <c r="T2096" i="1"/>
  <c r="S2096" i="1"/>
  <c r="R2096" i="1"/>
  <c r="Q2096" i="1"/>
  <c r="P2096" i="1"/>
  <c r="T2095" i="1"/>
  <c r="S2095" i="1"/>
  <c r="R2095" i="1"/>
  <c r="Q2095" i="1"/>
  <c r="P2095" i="1"/>
  <c r="T2094" i="1"/>
  <c r="S2094" i="1"/>
  <c r="R2094" i="1"/>
  <c r="Q2094" i="1"/>
  <c r="P2094" i="1"/>
  <c r="T2093" i="1"/>
  <c r="S2093" i="1"/>
  <c r="R2093" i="1"/>
  <c r="Q2093" i="1"/>
  <c r="P2093" i="1"/>
  <c r="T2092" i="1"/>
  <c r="S2092" i="1"/>
  <c r="R2092" i="1"/>
  <c r="Q2092" i="1"/>
  <c r="P2092" i="1"/>
  <c r="T2091" i="1"/>
  <c r="S2091" i="1"/>
  <c r="R2091" i="1"/>
  <c r="Q2091" i="1"/>
  <c r="P2091" i="1"/>
  <c r="T2090" i="1"/>
  <c r="S2090" i="1"/>
  <c r="R2090" i="1"/>
  <c r="Q2090" i="1"/>
  <c r="P2090" i="1"/>
  <c r="T2089" i="1"/>
  <c r="S2089" i="1"/>
  <c r="R2089" i="1"/>
  <c r="Q2089" i="1"/>
  <c r="P2089" i="1"/>
  <c r="T2088" i="1"/>
  <c r="S2088" i="1"/>
  <c r="R2088" i="1"/>
  <c r="Q2088" i="1"/>
  <c r="P2088" i="1"/>
  <c r="T2087" i="1"/>
  <c r="S2087" i="1"/>
  <c r="R2087" i="1"/>
  <c r="Q2087" i="1"/>
  <c r="P2087" i="1"/>
  <c r="T2086" i="1"/>
  <c r="S2086" i="1"/>
  <c r="R2086" i="1"/>
  <c r="Q2086" i="1"/>
  <c r="P2086" i="1"/>
  <c r="T2085" i="1"/>
  <c r="S2085" i="1"/>
  <c r="R2085" i="1"/>
  <c r="Q2085" i="1"/>
  <c r="P2085" i="1"/>
  <c r="T2084" i="1"/>
  <c r="S2084" i="1"/>
  <c r="R2084" i="1"/>
  <c r="Q2084" i="1"/>
  <c r="P2084" i="1"/>
  <c r="T2083" i="1"/>
  <c r="S2083" i="1"/>
  <c r="R2083" i="1"/>
  <c r="Q2083" i="1"/>
  <c r="P2083" i="1"/>
  <c r="T2082" i="1"/>
  <c r="S2082" i="1"/>
  <c r="R2082" i="1"/>
  <c r="Q2082" i="1"/>
  <c r="P2082" i="1"/>
  <c r="T2081" i="1"/>
  <c r="S2081" i="1"/>
  <c r="R2081" i="1"/>
  <c r="Q2081" i="1"/>
  <c r="P2081" i="1"/>
  <c r="T2080" i="1"/>
  <c r="S2080" i="1"/>
  <c r="R2080" i="1"/>
  <c r="Q2080" i="1"/>
  <c r="P2080" i="1"/>
  <c r="T2079" i="1"/>
  <c r="S2079" i="1"/>
  <c r="R2079" i="1"/>
  <c r="Q2079" i="1"/>
  <c r="P2079" i="1"/>
  <c r="T2078" i="1"/>
  <c r="S2078" i="1"/>
  <c r="R2078" i="1"/>
  <c r="Q2078" i="1"/>
  <c r="P2078" i="1"/>
  <c r="T2077" i="1"/>
  <c r="S2077" i="1"/>
  <c r="R2077" i="1"/>
  <c r="Q2077" i="1"/>
  <c r="P2077" i="1"/>
  <c r="T2076" i="1"/>
  <c r="S2076" i="1"/>
  <c r="R2076" i="1"/>
  <c r="Q2076" i="1"/>
  <c r="P2076" i="1"/>
  <c r="T2075" i="1"/>
  <c r="S2075" i="1"/>
  <c r="R2075" i="1"/>
  <c r="Q2075" i="1"/>
  <c r="P2075" i="1"/>
  <c r="T2074" i="1"/>
  <c r="S2074" i="1"/>
  <c r="R2074" i="1"/>
  <c r="Q2074" i="1"/>
  <c r="P2074" i="1"/>
  <c r="T2073" i="1"/>
  <c r="S2073" i="1"/>
  <c r="R2073" i="1"/>
  <c r="Q2073" i="1"/>
  <c r="P2073" i="1"/>
  <c r="T2072" i="1"/>
  <c r="S2072" i="1"/>
  <c r="R2072" i="1"/>
  <c r="Q2072" i="1"/>
  <c r="P2072" i="1"/>
  <c r="T2071" i="1"/>
  <c r="S2071" i="1"/>
  <c r="R2071" i="1"/>
  <c r="Q2071" i="1"/>
  <c r="P2071" i="1"/>
  <c r="T2070" i="1"/>
  <c r="S2070" i="1"/>
  <c r="R2070" i="1"/>
  <c r="Q2070" i="1"/>
  <c r="P2070" i="1"/>
  <c r="T2069" i="1"/>
  <c r="S2069" i="1"/>
  <c r="R2069" i="1"/>
  <c r="Q2069" i="1"/>
  <c r="P2069" i="1"/>
  <c r="T2068" i="1"/>
  <c r="S2068" i="1"/>
  <c r="R2068" i="1"/>
  <c r="Q2068" i="1"/>
  <c r="P2068" i="1"/>
  <c r="T2067" i="1"/>
  <c r="S2067" i="1"/>
  <c r="R2067" i="1"/>
  <c r="Q2067" i="1"/>
  <c r="P2067" i="1"/>
  <c r="T2066" i="1"/>
  <c r="S2066" i="1"/>
  <c r="R2066" i="1"/>
  <c r="Q2066" i="1"/>
  <c r="P2066" i="1"/>
  <c r="T2065" i="1"/>
  <c r="S2065" i="1"/>
  <c r="R2065" i="1"/>
  <c r="Q2065" i="1"/>
  <c r="P2065" i="1"/>
  <c r="T2064" i="1"/>
  <c r="S2064" i="1"/>
  <c r="R2064" i="1"/>
  <c r="Q2064" i="1"/>
  <c r="P2064" i="1"/>
  <c r="T2063" i="1"/>
  <c r="S2063" i="1"/>
  <c r="R2063" i="1"/>
  <c r="Q2063" i="1"/>
  <c r="P2063" i="1"/>
  <c r="T2062" i="1"/>
  <c r="S2062" i="1"/>
  <c r="R2062" i="1"/>
  <c r="Q2062" i="1"/>
  <c r="P2062" i="1"/>
  <c r="T2061" i="1"/>
  <c r="S2061" i="1"/>
  <c r="R2061" i="1"/>
  <c r="Q2061" i="1"/>
  <c r="P2061" i="1"/>
  <c r="T2060" i="1"/>
  <c r="S2060" i="1"/>
  <c r="R2060" i="1"/>
  <c r="Q2060" i="1"/>
  <c r="P2060" i="1"/>
  <c r="T2059" i="1"/>
  <c r="S2059" i="1"/>
  <c r="R2059" i="1"/>
  <c r="Q2059" i="1"/>
  <c r="P2059" i="1"/>
  <c r="T2058" i="1"/>
  <c r="S2058" i="1"/>
  <c r="R2058" i="1"/>
  <c r="Q2058" i="1"/>
  <c r="P2058" i="1"/>
  <c r="T2057" i="1"/>
  <c r="S2057" i="1"/>
  <c r="R2057" i="1"/>
  <c r="Q2057" i="1"/>
  <c r="P2057" i="1"/>
  <c r="T2056" i="1"/>
  <c r="S2056" i="1"/>
  <c r="R2056" i="1"/>
  <c r="Q2056" i="1"/>
  <c r="P2056" i="1"/>
  <c r="T2055" i="1"/>
  <c r="S2055" i="1"/>
  <c r="R2055" i="1"/>
  <c r="Q2055" i="1"/>
  <c r="P2055" i="1"/>
  <c r="T2054" i="1"/>
  <c r="S2054" i="1"/>
  <c r="R2054" i="1"/>
  <c r="Q2054" i="1"/>
  <c r="P2054" i="1"/>
  <c r="T2053" i="1"/>
  <c r="S2053" i="1"/>
  <c r="R2053" i="1"/>
  <c r="Q2053" i="1"/>
  <c r="P2053" i="1"/>
  <c r="T2052" i="1"/>
  <c r="S2052" i="1"/>
  <c r="R2052" i="1"/>
  <c r="Q2052" i="1"/>
  <c r="P2052" i="1"/>
  <c r="T2051" i="1"/>
  <c r="S2051" i="1"/>
  <c r="R2051" i="1"/>
  <c r="Q2051" i="1"/>
  <c r="P2051" i="1"/>
  <c r="T2050" i="1"/>
  <c r="S2050" i="1"/>
  <c r="R2050" i="1"/>
  <c r="Q2050" i="1"/>
  <c r="P2050" i="1"/>
  <c r="T2049" i="1"/>
  <c r="S2049" i="1"/>
  <c r="R2049" i="1"/>
  <c r="Q2049" i="1"/>
  <c r="P2049" i="1"/>
  <c r="T2048" i="1"/>
  <c r="S2048" i="1"/>
  <c r="R2048" i="1"/>
  <c r="Q2048" i="1"/>
  <c r="P2048" i="1"/>
  <c r="T2047" i="1"/>
  <c r="S2047" i="1"/>
  <c r="R2047" i="1"/>
  <c r="Q2047" i="1"/>
  <c r="P2047" i="1"/>
  <c r="T2046" i="1"/>
  <c r="S2046" i="1"/>
  <c r="R2046" i="1"/>
  <c r="Q2046" i="1"/>
  <c r="P2046" i="1"/>
  <c r="T2045" i="1"/>
  <c r="S2045" i="1"/>
  <c r="R2045" i="1"/>
  <c r="Q2045" i="1"/>
  <c r="P2045" i="1"/>
  <c r="T2044" i="1"/>
  <c r="S2044" i="1"/>
  <c r="R2044" i="1"/>
  <c r="Q2044" i="1"/>
  <c r="P2044" i="1"/>
  <c r="T2043" i="1"/>
  <c r="S2043" i="1"/>
  <c r="R2043" i="1"/>
  <c r="Q2043" i="1"/>
  <c r="P2043" i="1"/>
  <c r="T2042" i="1"/>
  <c r="S2042" i="1"/>
  <c r="R2042" i="1"/>
  <c r="Q2042" i="1"/>
  <c r="P2042" i="1"/>
  <c r="T2041" i="1"/>
  <c r="S2041" i="1"/>
  <c r="R2041" i="1"/>
  <c r="Q2041" i="1"/>
  <c r="P2041" i="1"/>
  <c r="T2040" i="1"/>
  <c r="S2040" i="1"/>
  <c r="R2040" i="1"/>
  <c r="Q2040" i="1"/>
  <c r="P2040" i="1"/>
  <c r="T2039" i="1"/>
  <c r="S2039" i="1"/>
  <c r="R2039" i="1"/>
  <c r="Q2039" i="1"/>
  <c r="P2039" i="1"/>
  <c r="T2038" i="1"/>
  <c r="S2038" i="1"/>
  <c r="R2038" i="1"/>
  <c r="Q2038" i="1"/>
  <c r="P2038" i="1"/>
  <c r="T2037" i="1"/>
  <c r="S2037" i="1"/>
  <c r="R2037" i="1"/>
  <c r="Q2037" i="1"/>
  <c r="P2037" i="1"/>
  <c r="T2036" i="1"/>
  <c r="S2036" i="1"/>
  <c r="R2036" i="1"/>
  <c r="Q2036" i="1"/>
  <c r="P2036" i="1"/>
  <c r="T2035" i="1"/>
  <c r="S2035" i="1"/>
  <c r="R2035" i="1"/>
  <c r="Q2035" i="1"/>
  <c r="P2035" i="1"/>
  <c r="T2034" i="1"/>
  <c r="S2034" i="1"/>
  <c r="R2034" i="1"/>
  <c r="Q2034" i="1"/>
  <c r="P2034" i="1"/>
  <c r="T2033" i="1"/>
  <c r="S2033" i="1"/>
  <c r="R2033" i="1"/>
  <c r="Q2033" i="1"/>
  <c r="P2033" i="1"/>
  <c r="T2032" i="1"/>
  <c r="S2032" i="1"/>
  <c r="R2032" i="1"/>
  <c r="Q2032" i="1"/>
  <c r="P2032" i="1"/>
  <c r="T2031" i="1"/>
  <c r="S2031" i="1"/>
  <c r="R2031" i="1"/>
  <c r="Q2031" i="1"/>
  <c r="P2031" i="1"/>
  <c r="T2030" i="1"/>
  <c r="S2030" i="1"/>
  <c r="R2030" i="1"/>
  <c r="Q2030" i="1"/>
  <c r="P2030" i="1"/>
  <c r="T2029" i="1"/>
  <c r="S2029" i="1"/>
  <c r="R2029" i="1"/>
  <c r="Q2029" i="1"/>
  <c r="P2029" i="1"/>
  <c r="T2028" i="1"/>
  <c r="S2028" i="1"/>
  <c r="R2028" i="1"/>
  <c r="Q2028" i="1"/>
  <c r="P2028" i="1"/>
  <c r="T2027" i="1"/>
  <c r="S2027" i="1"/>
  <c r="R2027" i="1"/>
  <c r="Q2027" i="1"/>
  <c r="P2027" i="1"/>
  <c r="T2026" i="1"/>
  <c r="S2026" i="1"/>
  <c r="R2026" i="1"/>
  <c r="Q2026" i="1"/>
  <c r="P2026" i="1"/>
  <c r="T2025" i="1"/>
  <c r="S2025" i="1"/>
  <c r="R2025" i="1"/>
  <c r="Q2025" i="1"/>
  <c r="P2025" i="1"/>
  <c r="T2024" i="1"/>
  <c r="S2024" i="1"/>
  <c r="R2024" i="1"/>
  <c r="Q2024" i="1"/>
  <c r="P2024" i="1"/>
  <c r="T2023" i="1"/>
  <c r="S2023" i="1"/>
  <c r="R2023" i="1"/>
  <c r="Q2023" i="1"/>
  <c r="P2023" i="1"/>
  <c r="T2022" i="1"/>
  <c r="S2022" i="1"/>
  <c r="R2022" i="1"/>
  <c r="Q2022" i="1"/>
  <c r="P2022" i="1"/>
  <c r="T2021" i="1"/>
  <c r="S2021" i="1"/>
  <c r="R2021" i="1"/>
  <c r="Q2021" i="1"/>
  <c r="P2021" i="1"/>
  <c r="T2020" i="1"/>
  <c r="S2020" i="1"/>
  <c r="R2020" i="1"/>
  <c r="Q2020" i="1"/>
  <c r="P2020" i="1"/>
  <c r="T2019" i="1"/>
  <c r="S2019" i="1"/>
  <c r="R2019" i="1"/>
  <c r="Q2019" i="1"/>
  <c r="P2019" i="1"/>
  <c r="T2018" i="1"/>
  <c r="S2018" i="1"/>
  <c r="R2018" i="1"/>
  <c r="Q2018" i="1"/>
  <c r="P2018" i="1"/>
  <c r="T2017" i="1"/>
  <c r="S2017" i="1"/>
  <c r="R2017" i="1"/>
  <c r="Q2017" i="1"/>
  <c r="P2017" i="1"/>
  <c r="T2016" i="1"/>
  <c r="S2016" i="1"/>
  <c r="R2016" i="1"/>
  <c r="Q2016" i="1"/>
  <c r="P2016" i="1"/>
  <c r="T2015" i="1"/>
  <c r="S2015" i="1"/>
  <c r="R2015" i="1"/>
  <c r="Q2015" i="1"/>
  <c r="P2015" i="1"/>
  <c r="T2014" i="1"/>
  <c r="S2014" i="1"/>
  <c r="R2014" i="1"/>
  <c r="Q2014" i="1"/>
  <c r="P2014" i="1"/>
  <c r="T2013" i="1"/>
  <c r="S2013" i="1"/>
  <c r="R2013" i="1"/>
  <c r="Q2013" i="1"/>
  <c r="P2013" i="1"/>
  <c r="T2012" i="1"/>
  <c r="S2012" i="1"/>
  <c r="R2012" i="1"/>
  <c r="Q2012" i="1"/>
  <c r="P2012" i="1"/>
  <c r="T2011" i="1"/>
  <c r="S2011" i="1"/>
  <c r="R2011" i="1"/>
  <c r="Q2011" i="1"/>
  <c r="P2011" i="1"/>
  <c r="T2010" i="1"/>
  <c r="S2010" i="1"/>
  <c r="R2010" i="1"/>
  <c r="Q2010" i="1"/>
  <c r="P2010" i="1"/>
  <c r="T2009" i="1"/>
  <c r="S2009" i="1"/>
  <c r="R2009" i="1"/>
  <c r="Q2009" i="1"/>
  <c r="P2009" i="1"/>
  <c r="T2008" i="1"/>
  <c r="S2008" i="1"/>
  <c r="R2008" i="1"/>
  <c r="Q2008" i="1"/>
  <c r="P2008" i="1"/>
  <c r="T2007" i="1"/>
  <c r="S2007" i="1"/>
  <c r="R2007" i="1"/>
  <c r="Q2007" i="1"/>
  <c r="P2007" i="1"/>
  <c r="T2006" i="1"/>
  <c r="S2006" i="1"/>
  <c r="R2006" i="1"/>
  <c r="Q2006" i="1"/>
  <c r="P2006" i="1"/>
  <c r="T2005" i="1"/>
  <c r="S2005" i="1"/>
  <c r="R2005" i="1"/>
  <c r="Q2005" i="1"/>
  <c r="P2005" i="1"/>
  <c r="T2004" i="1"/>
  <c r="S2004" i="1"/>
  <c r="R2004" i="1"/>
  <c r="Q2004" i="1"/>
  <c r="P2004" i="1"/>
  <c r="T2003" i="1"/>
  <c r="S2003" i="1"/>
  <c r="R2003" i="1"/>
  <c r="Q2003" i="1"/>
  <c r="P2003" i="1"/>
  <c r="T2002" i="1"/>
  <c r="S2002" i="1"/>
  <c r="R2002" i="1"/>
  <c r="Q2002" i="1"/>
  <c r="P2002" i="1"/>
  <c r="T2001" i="1"/>
  <c r="S2001" i="1"/>
  <c r="R2001" i="1"/>
  <c r="Q2001" i="1"/>
  <c r="P2001" i="1"/>
  <c r="T2000" i="1"/>
  <c r="S2000" i="1"/>
  <c r="R2000" i="1"/>
  <c r="Q2000" i="1"/>
  <c r="P2000" i="1"/>
  <c r="T1999" i="1"/>
  <c r="S1999" i="1"/>
  <c r="R1999" i="1"/>
  <c r="Q1999" i="1"/>
  <c r="P1999" i="1"/>
  <c r="T1998" i="1"/>
  <c r="S1998" i="1"/>
  <c r="R1998" i="1"/>
  <c r="Q1998" i="1"/>
  <c r="P1998" i="1"/>
  <c r="T1997" i="1"/>
  <c r="S1997" i="1"/>
  <c r="R1997" i="1"/>
  <c r="Q1997" i="1"/>
  <c r="P1997" i="1"/>
  <c r="T1996" i="1"/>
  <c r="S1996" i="1"/>
  <c r="R1996" i="1"/>
  <c r="Q1996" i="1"/>
  <c r="P1996" i="1"/>
  <c r="T1995" i="1"/>
  <c r="S1995" i="1"/>
  <c r="R1995" i="1"/>
  <c r="Q1995" i="1"/>
  <c r="P1995" i="1"/>
  <c r="T1994" i="1"/>
  <c r="S1994" i="1"/>
  <c r="R1994" i="1"/>
  <c r="Q1994" i="1"/>
  <c r="P1994" i="1"/>
  <c r="T1993" i="1"/>
  <c r="S1993" i="1"/>
  <c r="R1993" i="1"/>
  <c r="Q1993" i="1"/>
  <c r="P1993" i="1"/>
  <c r="T1992" i="1"/>
  <c r="S1992" i="1"/>
  <c r="R1992" i="1"/>
  <c r="Q1992" i="1"/>
  <c r="P1992" i="1"/>
  <c r="T1991" i="1"/>
  <c r="S1991" i="1"/>
  <c r="R1991" i="1"/>
  <c r="Q1991" i="1"/>
  <c r="P1991" i="1"/>
  <c r="T1990" i="1"/>
  <c r="S1990" i="1"/>
  <c r="R1990" i="1"/>
  <c r="Q1990" i="1"/>
  <c r="P1990" i="1"/>
  <c r="T1989" i="1"/>
  <c r="S1989" i="1"/>
  <c r="R1989" i="1"/>
  <c r="Q1989" i="1"/>
  <c r="P1989" i="1"/>
  <c r="T1988" i="1"/>
  <c r="S1988" i="1"/>
  <c r="R1988" i="1"/>
  <c r="Q1988" i="1"/>
  <c r="P1988" i="1"/>
  <c r="T1987" i="1"/>
  <c r="S1987" i="1"/>
  <c r="R1987" i="1"/>
  <c r="Q1987" i="1"/>
  <c r="P1987" i="1"/>
  <c r="T1986" i="1"/>
  <c r="S1986" i="1"/>
  <c r="R1986" i="1"/>
  <c r="Q1986" i="1"/>
  <c r="P1986" i="1"/>
  <c r="T1985" i="1"/>
  <c r="S1985" i="1"/>
  <c r="R1985" i="1"/>
  <c r="Q1985" i="1"/>
  <c r="P1985" i="1"/>
  <c r="T1984" i="1"/>
  <c r="S1984" i="1"/>
  <c r="R1984" i="1"/>
  <c r="Q1984" i="1"/>
  <c r="P1984" i="1"/>
  <c r="T1983" i="1"/>
  <c r="S1983" i="1"/>
  <c r="R1983" i="1"/>
  <c r="Q1983" i="1"/>
  <c r="P1983" i="1"/>
  <c r="T1982" i="1"/>
  <c r="S1982" i="1"/>
  <c r="R1982" i="1"/>
  <c r="Q1982" i="1"/>
  <c r="P1982" i="1"/>
  <c r="T1981" i="1"/>
  <c r="S1981" i="1"/>
  <c r="R1981" i="1"/>
  <c r="Q1981" i="1"/>
  <c r="P1981" i="1"/>
  <c r="T1980" i="1"/>
  <c r="S1980" i="1"/>
  <c r="R1980" i="1"/>
  <c r="Q1980" i="1"/>
  <c r="P1980" i="1"/>
  <c r="T1979" i="1"/>
  <c r="S1979" i="1"/>
  <c r="R1979" i="1"/>
  <c r="Q1979" i="1"/>
  <c r="P1979" i="1"/>
  <c r="T1978" i="1"/>
  <c r="S1978" i="1"/>
  <c r="R1978" i="1"/>
  <c r="Q1978" i="1"/>
  <c r="P1978" i="1"/>
  <c r="T1977" i="1"/>
  <c r="S1977" i="1"/>
  <c r="R1977" i="1"/>
  <c r="Q1977" i="1"/>
  <c r="P1977" i="1"/>
  <c r="T1976" i="1"/>
  <c r="S1976" i="1"/>
  <c r="R1976" i="1"/>
  <c r="Q1976" i="1"/>
  <c r="P1976" i="1"/>
  <c r="T1975" i="1"/>
  <c r="S1975" i="1"/>
  <c r="R1975" i="1"/>
  <c r="Q1975" i="1"/>
  <c r="P1975" i="1"/>
  <c r="T1974" i="1"/>
  <c r="S1974" i="1"/>
  <c r="R1974" i="1"/>
  <c r="Q1974" i="1"/>
  <c r="P1974" i="1"/>
  <c r="T1973" i="1"/>
  <c r="S1973" i="1"/>
  <c r="R1973" i="1"/>
  <c r="Q1973" i="1"/>
  <c r="P1973" i="1"/>
  <c r="T1972" i="1"/>
  <c r="S1972" i="1"/>
  <c r="R1972" i="1"/>
  <c r="Q1972" i="1"/>
  <c r="P1972" i="1"/>
  <c r="T1971" i="1"/>
  <c r="S1971" i="1"/>
  <c r="R1971" i="1"/>
  <c r="Q1971" i="1"/>
  <c r="P1971" i="1"/>
  <c r="T1970" i="1"/>
  <c r="S1970" i="1"/>
  <c r="R1970" i="1"/>
  <c r="Q1970" i="1"/>
  <c r="P1970" i="1"/>
  <c r="T1969" i="1"/>
  <c r="S1969" i="1"/>
  <c r="R1969" i="1"/>
  <c r="Q1969" i="1"/>
  <c r="P1969" i="1"/>
  <c r="T1968" i="1"/>
  <c r="S1968" i="1"/>
  <c r="R1968" i="1"/>
  <c r="Q1968" i="1"/>
  <c r="P1968" i="1"/>
  <c r="T1967" i="1"/>
  <c r="S1967" i="1"/>
  <c r="R1967" i="1"/>
  <c r="Q1967" i="1"/>
  <c r="P1967" i="1"/>
  <c r="T1966" i="1"/>
  <c r="S1966" i="1"/>
  <c r="R1966" i="1"/>
  <c r="Q1966" i="1"/>
  <c r="P1966" i="1"/>
  <c r="T1965" i="1"/>
  <c r="S1965" i="1"/>
  <c r="R1965" i="1"/>
  <c r="Q1965" i="1"/>
  <c r="P1965" i="1"/>
  <c r="T1964" i="1"/>
  <c r="S1964" i="1"/>
  <c r="R1964" i="1"/>
  <c r="Q1964" i="1"/>
  <c r="P1964" i="1"/>
  <c r="T1963" i="1"/>
  <c r="S1963" i="1"/>
  <c r="R1963" i="1"/>
  <c r="Q1963" i="1"/>
  <c r="P1963" i="1"/>
  <c r="T1962" i="1"/>
  <c r="S1962" i="1"/>
  <c r="R1962" i="1"/>
  <c r="Q1962" i="1"/>
  <c r="P1962" i="1"/>
  <c r="T1961" i="1"/>
  <c r="S1961" i="1"/>
  <c r="R1961" i="1"/>
  <c r="Q1961" i="1"/>
  <c r="P1961" i="1"/>
  <c r="T1960" i="1"/>
  <c r="S1960" i="1"/>
  <c r="R1960" i="1"/>
  <c r="Q1960" i="1"/>
  <c r="P1960" i="1"/>
  <c r="T1959" i="1"/>
  <c r="S1959" i="1"/>
  <c r="R1959" i="1"/>
  <c r="Q1959" i="1"/>
  <c r="P1959" i="1"/>
  <c r="T1958" i="1"/>
  <c r="S1958" i="1"/>
  <c r="R1958" i="1"/>
  <c r="Q1958" i="1"/>
  <c r="P1958" i="1"/>
  <c r="T1957" i="1"/>
  <c r="S1957" i="1"/>
  <c r="R1957" i="1"/>
  <c r="Q1957" i="1"/>
  <c r="P1957" i="1"/>
  <c r="T1956" i="1"/>
  <c r="S1956" i="1"/>
  <c r="R1956" i="1"/>
  <c r="Q1956" i="1"/>
  <c r="P1956" i="1"/>
  <c r="T1955" i="1"/>
  <c r="S1955" i="1"/>
  <c r="R1955" i="1"/>
  <c r="Q1955" i="1"/>
  <c r="P1955" i="1"/>
  <c r="T1954" i="1"/>
  <c r="S1954" i="1"/>
  <c r="R1954" i="1"/>
  <c r="Q1954" i="1"/>
  <c r="P1954" i="1"/>
  <c r="T1953" i="1"/>
  <c r="S1953" i="1"/>
  <c r="R1953" i="1"/>
  <c r="Q1953" i="1"/>
  <c r="P1953" i="1"/>
  <c r="T1952" i="1"/>
  <c r="S1952" i="1"/>
  <c r="R1952" i="1"/>
  <c r="Q1952" i="1"/>
  <c r="P1952" i="1"/>
  <c r="T1951" i="1"/>
  <c r="S1951" i="1"/>
  <c r="R1951" i="1"/>
  <c r="Q1951" i="1"/>
  <c r="P1951" i="1"/>
  <c r="T1950" i="1"/>
  <c r="S1950" i="1"/>
  <c r="R1950" i="1"/>
  <c r="Q1950" i="1"/>
  <c r="P1950" i="1"/>
  <c r="T1949" i="1"/>
  <c r="S1949" i="1"/>
  <c r="R1949" i="1"/>
  <c r="Q1949" i="1"/>
  <c r="P1949" i="1"/>
  <c r="T1948" i="1"/>
  <c r="S1948" i="1"/>
  <c r="R1948" i="1"/>
  <c r="Q1948" i="1"/>
  <c r="P1948" i="1"/>
  <c r="T1947" i="1"/>
  <c r="S1947" i="1"/>
  <c r="R1947" i="1"/>
  <c r="Q1947" i="1"/>
  <c r="P1947" i="1"/>
  <c r="T1946" i="1"/>
  <c r="S1946" i="1"/>
  <c r="R1946" i="1"/>
  <c r="Q1946" i="1"/>
  <c r="P1946" i="1"/>
  <c r="T1945" i="1"/>
  <c r="S1945" i="1"/>
  <c r="R1945" i="1"/>
  <c r="Q1945" i="1"/>
  <c r="P1945" i="1"/>
  <c r="T1944" i="1"/>
  <c r="S1944" i="1"/>
  <c r="R1944" i="1"/>
  <c r="Q1944" i="1"/>
  <c r="P1944" i="1"/>
  <c r="T1943" i="1"/>
  <c r="S1943" i="1"/>
  <c r="R1943" i="1"/>
  <c r="Q1943" i="1"/>
  <c r="P1943" i="1"/>
  <c r="T1942" i="1"/>
  <c r="S1942" i="1"/>
  <c r="R1942" i="1"/>
  <c r="Q1942" i="1"/>
  <c r="P1942" i="1"/>
  <c r="T1941" i="1"/>
  <c r="S1941" i="1"/>
  <c r="R1941" i="1"/>
  <c r="Q1941" i="1"/>
  <c r="P1941" i="1"/>
  <c r="T1940" i="1"/>
  <c r="S1940" i="1"/>
  <c r="R1940" i="1"/>
  <c r="Q1940" i="1"/>
  <c r="P1940" i="1"/>
  <c r="T1939" i="1"/>
  <c r="S1939" i="1"/>
  <c r="R1939" i="1"/>
  <c r="Q1939" i="1"/>
  <c r="P1939" i="1"/>
  <c r="T1938" i="1"/>
  <c r="S1938" i="1"/>
  <c r="R1938" i="1"/>
  <c r="Q1938" i="1"/>
  <c r="P1938" i="1"/>
  <c r="T1937" i="1"/>
  <c r="S1937" i="1"/>
  <c r="R1937" i="1"/>
  <c r="Q1937" i="1"/>
  <c r="P1937" i="1"/>
  <c r="T1936" i="1"/>
  <c r="S1936" i="1"/>
  <c r="R1936" i="1"/>
  <c r="Q1936" i="1"/>
  <c r="P1936" i="1"/>
  <c r="T1935" i="1"/>
  <c r="S1935" i="1"/>
  <c r="R1935" i="1"/>
  <c r="Q1935" i="1"/>
  <c r="P1935" i="1"/>
  <c r="T1934" i="1"/>
  <c r="S1934" i="1"/>
  <c r="R1934" i="1"/>
  <c r="Q1934" i="1"/>
  <c r="P1934" i="1"/>
  <c r="T1933" i="1"/>
  <c r="S1933" i="1"/>
  <c r="R1933" i="1"/>
  <c r="Q1933" i="1"/>
  <c r="P1933" i="1"/>
  <c r="T1932" i="1"/>
  <c r="S1932" i="1"/>
  <c r="R1932" i="1"/>
  <c r="Q1932" i="1"/>
  <c r="P1932" i="1"/>
  <c r="T1931" i="1"/>
  <c r="S1931" i="1"/>
  <c r="R1931" i="1"/>
  <c r="Q1931" i="1"/>
  <c r="P1931" i="1"/>
  <c r="T1930" i="1"/>
  <c r="S1930" i="1"/>
  <c r="R1930" i="1"/>
  <c r="Q1930" i="1"/>
  <c r="P1930" i="1"/>
  <c r="T1929" i="1"/>
  <c r="S1929" i="1"/>
  <c r="R1929" i="1"/>
  <c r="Q1929" i="1"/>
  <c r="P1929" i="1"/>
  <c r="T1928" i="1"/>
  <c r="S1928" i="1"/>
  <c r="R1928" i="1"/>
  <c r="Q1928" i="1"/>
  <c r="P1928" i="1"/>
  <c r="T1927" i="1"/>
  <c r="S1927" i="1"/>
  <c r="R1927" i="1"/>
  <c r="Q1927" i="1"/>
  <c r="P1927" i="1"/>
  <c r="T1926" i="1"/>
  <c r="S1926" i="1"/>
  <c r="R1926" i="1"/>
  <c r="Q1926" i="1"/>
  <c r="P1926" i="1"/>
  <c r="T1925" i="1"/>
  <c r="S1925" i="1"/>
  <c r="R1925" i="1"/>
  <c r="Q1925" i="1"/>
  <c r="P1925" i="1"/>
  <c r="T1924" i="1"/>
  <c r="S1924" i="1"/>
  <c r="R1924" i="1"/>
  <c r="Q1924" i="1"/>
  <c r="P1924" i="1"/>
  <c r="T1923" i="1"/>
  <c r="S1923" i="1"/>
  <c r="R1923" i="1"/>
  <c r="Q1923" i="1"/>
  <c r="P1923" i="1"/>
  <c r="T1922" i="1"/>
  <c r="S1922" i="1"/>
  <c r="R1922" i="1"/>
  <c r="Q1922" i="1"/>
  <c r="P1922" i="1"/>
  <c r="T1921" i="1"/>
  <c r="S1921" i="1"/>
  <c r="R1921" i="1"/>
  <c r="Q1921" i="1"/>
  <c r="P1921" i="1"/>
  <c r="T1920" i="1"/>
  <c r="S1920" i="1"/>
  <c r="R1920" i="1"/>
  <c r="Q1920" i="1"/>
  <c r="P1920" i="1"/>
  <c r="T1919" i="1"/>
  <c r="S1919" i="1"/>
  <c r="R1919" i="1"/>
  <c r="Q1919" i="1"/>
  <c r="P1919" i="1"/>
  <c r="T1918" i="1"/>
  <c r="S1918" i="1"/>
  <c r="R1918" i="1"/>
  <c r="Q1918" i="1"/>
  <c r="P1918" i="1"/>
  <c r="T1917" i="1"/>
  <c r="S1917" i="1"/>
  <c r="R1917" i="1"/>
  <c r="Q1917" i="1"/>
  <c r="P1917" i="1"/>
  <c r="T1916" i="1"/>
  <c r="S1916" i="1"/>
  <c r="R1916" i="1"/>
  <c r="Q1916" i="1"/>
  <c r="P1916" i="1"/>
  <c r="T1915" i="1"/>
  <c r="S1915" i="1"/>
  <c r="R1915" i="1"/>
  <c r="Q1915" i="1"/>
  <c r="P1915" i="1"/>
  <c r="T1914" i="1"/>
  <c r="S1914" i="1"/>
  <c r="R1914" i="1"/>
  <c r="Q1914" i="1"/>
  <c r="P1914" i="1"/>
  <c r="T1913" i="1"/>
  <c r="S1913" i="1"/>
  <c r="R1913" i="1"/>
  <c r="Q1913" i="1"/>
  <c r="P1913" i="1"/>
  <c r="T1912" i="1"/>
  <c r="S1912" i="1"/>
  <c r="R1912" i="1"/>
  <c r="Q1912" i="1"/>
  <c r="P1912" i="1"/>
  <c r="T1911" i="1"/>
  <c r="S1911" i="1"/>
  <c r="R1911" i="1"/>
  <c r="Q1911" i="1"/>
  <c r="P1911" i="1"/>
  <c r="T1910" i="1"/>
  <c r="S1910" i="1"/>
  <c r="R1910" i="1"/>
  <c r="Q1910" i="1"/>
  <c r="P1910" i="1"/>
  <c r="T1909" i="1"/>
  <c r="S1909" i="1"/>
  <c r="R1909" i="1"/>
  <c r="Q1909" i="1"/>
  <c r="P1909" i="1"/>
  <c r="T1908" i="1"/>
  <c r="S1908" i="1"/>
  <c r="R1908" i="1"/>
  <c r="Q1908" i="1"/>
  <c r="P1908" i="1"/>
  <c r="T1907" i="1"/>
  <c r="S1907" i="1"/>
  <c r="R1907" i="1"/>
  <c r="Q1907" i="1"/>
  <c r="P1907" i="1"/>
  <c r="T1906" i="1"/>
  <c r="S1906" i="1"/>
  <c r="R1906" i="1"/>
  <c r="Q1906" i="1"/>
  <c r="P1906" i="1"/>
  <c r="T1905" i="1"/>
  <c r="S1905" i="1"/>
  <c r="R1905" i="1"/>
  <c r="Q1905" i="1"/>
  <c r="P1905" i="1"/>
  <c r="T1904" i="1"/>
  <c r="S1904" i="1"/>
  <c r="R1904" i="1"/>
  <c r="Q1904" i="1"/>
  <c r="P1904" i="1"/>
  <c r="T1903" i="1"/>
  <c r="S1903" i="1"/>
  <c r="R1903" i="1"/>
  <c r="Q1903" i="1"/>
  <c r="P1903" i="1"/>
  <c r="T1902" i="1"/>
  <c r="S1902" i="1"/>
  <c r="R1902" i="1"/>
  <c r="Q1902" i="1"/>
  <c r="P1902" i="1"/>
  <c r="T1901" i="1"/>
  <c r="S1901" i="1"/>
  <c r="R1901" i="1"/>
  <c r="Q1901" i="1"/>
  <c r="P1901" i="1"/>
  <c r="T1900" i="1"/>
  <c r="S1900" i="1"/>
  <c r="R1900" i="1"/>
  <c r="Q1900" i="1"/>
  <c r="P1900" i="1"/>
  <c r="T1899" i="1"/>
  <c r="S1899" i="1"/>
  <c r="R1899" i="1"/>
  <c r="Q1899" i="1"/>
  <c r="P1899" i="1"/>
  <c r="T1898" i="1"/>
  <c r="S1898" i="1"/>
  <c r="R1898" i="1"/>
  <c r="Q1898" i="1"/>
  <c r="P1898" i="1"/>
  <c r="T1897" i="1"/>
  <c r="S1897" i="1"/>
  <c r="R1897" i="1"/>
  <c r="Q1897" i="1"/>
  <c r="P1897" i="1"/>
  <c r="T1896" i="1"/>
  <c r="S1896" i="1"/>
  <c r="R1896" i="1"/>
  <c r="Q1896" i="1"/>
  <c r="P1896" i="1"/>
  <c r="T1895" i="1"/>
  <c r="S1895" i="1"/>
  <c r="R1895" i="1"/>
  <c r="Q1895" i="1"/>
  <c r="P1895" i="1"/>
  <c r="T1894" i="1"/>
  <c r="S1894" i="1"/>
  <c r="R1894" i="1"/>
  <c r="Q1894" i="1"/>
  <c r="P1894" i="1"/>
  <c r="T1893" i="1"/>
  <c r="S1893" i="1"/>
  <c r="R1893" i="1"/>
  <c r="Q1893" i="1"/>
  <c r="P1893" i="1"/>
  <c r="T1892" i="1"/>
  <c r="S1892" i="1"/>
  <c r="R1892" i="1"/>
  <c r="Q1892" i="1"/>
  <c r="P1892" i="1"/>
  <c r="T1891" i="1"/>
  <c r="S1891" i="1"/>
  <c r="R1891" i="1"/>
  <c r="Q1891" i="1"/>
  <c r="P1891" i="1"/>
  <c r="T1890" i="1"/>
  <c r="S1890" i="1"/>
  <c r="R1890" i="1"/>
  <c r="Q1890" i="1"/>
  <c r="P1890" i="1"/>
  <c r="T1889" i="1"/>
  <c r="S1889" i="1"/>
  <c r="R1889" i="1"/>
  <c r="Q1889" i="1"/>
  <c r="P1889" i="1"/>
  <c r="T1888" i="1"/>
  <c r="S1888" i="1"/>
  <c r="R1888" i="1"/>
  <c r="Q1888" i="1"/>
  <c r="P1888" i="1"/>
  <c r="T1887" i="1"/>
  <c r="S1887" i="1"/>
  <c r="R1887" i="1"/>
  <c r="Q1887" i="1"/>
  <c r="P1887" i="1"/>
  <c r="T1886" i="1"/>
  <c r="S1886" i="1"/>
  <c r="R1886" i="1"/>
  <c r="Q1886" i="1"/>
  <c r="P1886" i="1"/>
  <c r="T1885" i="1"/>
  <c r="S1885" i="1"/>
  <c r="R1885" i="1"/>
  <c r="Q1885" i="1"/>
  <c r="P1885" i="1"/>
  <c r="T1884" i="1"/>
  <c r="S1884" i="1"/>
  <c r="R1884" i="1"/>
  <c r="Q1884" i="1"/>
  <c r="P1884" i="1"/>
  <c r="T1883" i="1"/>
  <c r="S1883" i="1"/>
  <c r="R1883" i="1"/>
  <c r="Q1883" i="1"/>
  <c r="P1883" i="1"/>
  <c r="T1882" i="1"/>
  <c r="S1882" i="1"/>
  <c r="R1882" i="1"/>
  <c r="Q1882" i="1"/>
  <c r="P1882" i="1"/>
  <c r="T1881" i="1"/>
  <c r="S1881" i="1"/>
  <c r="R1881" i="1"/>
  <c r="Q1881" i="1"/>
  <c r="P1881" i="1"/>
  <c r="T1880" i="1"/>
  <c r="S1880" i="1"/>
  <c r="R1880" i="1"/>
  <c r="Q1880" i="1"/>
  <c r="P1880" i="1"/>
  <c r="T1879" i="1"/>
  <c r="S1879" i="1"/>
  <c r="R1879" i="1"/>
  <c r="Q1879" i="1"/>
  <c r="P1879" i="1"/>
  <c r="T1878" i="1"/>
  <c r="S1878" i="1"/>
  <c r="R1878" i="1"/>
  <c r="Q1878" i="1"/>
  <c r="P1878" i="1"/>
  <c r="T1877" i="1"/>
  <c r="S1877" i="1"/>
  <c r="R1877" i="1"/>
  <c r="Q1877" i="1"/>
  <c r="P1877" i="1"/>
  <c r="T1876" i="1"/>
  <c r="S1876" i="1"/>
  <c r="R1876" i="1"/>
  <c r="Q1876" i="1"/>
  <c r="P1876" i="1"/>
  <c r="T1875" i="1"/>
  <c r="S1875" i="1"/>
  <c r="R1875" i="1"/>
  <c r="Q1875" i="1"/>
  <c r="P1875" i="1"/>
  <c r="T1874" i="1"/>
  <c r="S1874" i="1"/>
  <c r="R1874" i="1"/>
  <c r="Q1874" i="1"/>
  <c r="P1874" i="1"/>
  <c r="T1873" i="1"/>
  <c r="S1873" i="1"/>
  <c r="R1873" i="1"/>
  <c r="Q1873" i="1"/>
  <c r="P1873" i="1"/>
  <c r="T1872" i="1"/>
  <c r="S1872" i="1"/>
  <c r="R1872" i="1"/>
  <c r="Q1872" i="1"/>
  <c r="P1872" i="1"/>
  <c r="T1871" i="1"/>
  <c r="S1871" i="1"/>
  <c r="R1871" i="1"/>
  <c r="Q1871" i="1"/>
  <c r="P1871" i="1"/>
  <c r="T1870" i="1"/>
  <c r="S1870" i="1"/>
  <c r="R1870" i="1"/>
  <c r="Q1870" i="1"/>
  <c r="P1870" i="1"/>
  <c r="T1869" i="1"/>
  <c r="S1869" i="1"/>
  <c r="R1869" i="1"/>
  <c r="Q1869" i="1"/>
  <c r="P1869" i="1"/>
  <c r="T1868" i="1"/>
  <c r="S1868" i="1"/>
  <c r="R1868" i="1"/>
  <c r="Q1868" i="1"/>
  <c r="P1868" i="1"/>
  <c r="T1867" i="1"/>
  <c r="S1867" i="1"/>
  <c r="R1867" i="1"/>
  <c r="Q1867" i="1"/>
  <c r="P1867" i="1"/>
  <c r="T1866" i="1"/>
  <c r="S1866" i="1"/>
  <c r="R1866" i="1"/>
  <c r="Q1866" i="1"/>
  <c r="P1866" i="1"/>
  <c r="T1865" i="1"/>
  <c r="S1865" i="1"/>
  <c r="R1865" i="1"/>
  <c r="Q1865" i="1"/>
  <c r="P1865" i="1"/>
  <c r="T1864" i="1"/>
  <c r="S1864" i="1"/>
  <c r="R1864" i="1"/>
  <c r="Q1864" i="1"/>
  <c r="P1864" i="1"/>
  <c r="T1863" i="1"/>
  <c r="S1863" i="1"/>
  <c r="R1863" i="1"/>
  <c r="Q1863" i="1"/>
  <c r="P1863" i="1"/>
  <c r="T1862" i="1"/>
  <c r="S1862" i="1"/>
  <c r="R1862" i="1"/>
  <c r="Q1862" i="1"/>
  <c r="P1862" i="1"/>
  <c r="T1861" i="1"/>
  <c r="S1861" i="1"/>
  <c r="R1861" i="1"/>
  <c r="Q1861" i="1"/>
  <c r="P1861" i="1"/>
  <c r="T1860" i="1"/>
  <c r="S1860" i="1"/>
  <c r="R1860" i="1"/>
  <c r="Q1860" i="1"/>
  <c r="P1860" i="1"/>
  <c r="T1859" i="1"/>
  <c r="S1859" i="1"/>
  <c r="R1859" i="1"/>
  <c r="Q1859" i="1"/>
  <c r="P1859" i="1"/>
  <c r="T1858" i="1"/>
  <c r="S1858" i="1"/>
  <c r="R1858" i="1"/>
  <c r="Q1858" i="1"/>
  <c r="P1858" i="1"/>
  <c r="T1857" i="1"/>
  <c r="S1857" i="1"/>
  <c r="R1857" i="1"/>
  <c r="Q1857" i="1"/>
  <c r="P1857" i="1"/>
  <c r="T1856" i="1"/>
  <c r="S1856" i="1"/>
  <c r="R1856" i="1"/>
  <c r="Q1856" i="1"/>
  <c r="P1856" i="1"/>
  <c r="T1855" i="1"/>
  <c r="S1855" i="1"/>
  <c r="R1855" i="1"/>
  <c r="Q1855" i="1"/>
  <c r="P1855" i="1"/>
  <c r="T1854" i="1"/>
  <c r="S1854" i="1"/>
  <c r="R1854" i="1"/>
  <c r="Q1854" i="1"/>
  <c r="P1854" i="1"/>
  <c r="T1853" i="1"/>
  <c r="S1853" i="1"/>
  <c r="R1853" i="1"/>
  <c r="Q1853" i="1"/>
  <c r="P1853" i="1"/>
  <c r="T1852" i="1"/>
  <c r="S1852" i="1"/>
  <c r="R1852" i="1"/>
  <c r="Q1852" i="1"/>
  <c r="P1852" i="1"/>
  <c r="T1851" i="1"/>
  <c r="S1851" i="1"/>
  <c r="R1851" i="1"/>
  <c r="Q1851" i="1"/>
  <c r="P1851" i="1"/>
  <c r="T1850" i="1"/>
  <c r="S1850" i="1"/>
  <c r="R1850" i="1"/>
  <c r="Q1850" i="1"/>
  <c r="P1850" i="1"/>
  <c r="T1849" i="1"/>
  <c r="S1849" i="1"/>
  <c r="R1849" i="1"/>
  <c r="Q1849" i="1"/>
  <c r="P1849" i="1"/>
  <c r="T1848" i="1"/>
  <c r="S1848" i="1"/>
  <c r="R1848" i="1"/>
  <c r="Q1848" i="1"/>
  <c r="P1848" i="1"/>
  <c r="T1847" i="1"/>
  <c r="S1847" i="1"/>
  <c r="R1847" i="1"/>
  <c r="Q1847" i="1"/>
  <c r="P1847" i="1"/>
  <c r="T1846" i="1"/>
  <c r="S1846" i="1"/>
  <c r="R1846" i="1"/>
  <c r="Q1846" i="1"/>
  <c r="P1846" i="1"/>
  <c r="T1845" i="1"/>
  <c r="S1845" i="1"/>
  <c r="R1845" i="1"/>
  <c r="Q1845" i="1"/>
  <c r="P1845" i="1"/>
  <c r="T1844" i="1"/>
  <c r="S1844" i="1"/>
  <c r="R1844" i="1"/>
  <c r="Q1844" i="1"/>
  <c r="P1844" i="1"/>
  <c r="T1843" i="1"/>
  <c r="S1843" i="1"/>
  <c r="R1843" i="1"/>
  <c r="Q1843" i="1"/>
  <c r="P1843" i="1"/>
  <c r="T1842" i="1"/>
  <c r="S1842" i="1"/>
  <c r="R1842" i="1"/>
  <c r="Q1842" i="1"/>
  <c r="P1842" i="1"/>
  <c r="T1841" i="1"/>
  <c r="S1841" i="1"/>
  <c r="R1841" i="1"/>
  <c r="Q1841" i="1"/>
  <c r="P1841" i="1"/>
  <c r="T1840" i="1"/>
  <c r="S1840" i="1"/>
  <c r="R1840" i="1"/>
  <c r="Q1840" i="1"/>
  <c r="P1840" i="1"/>
  <c r="T1839" i="1"/>
  <c r="S1839" i="1"/>
  <c r="R1839" i="1"/>
  <c r="Q1839" i="1"/>
  <c r="P1839" i="1"/>
  <c r="T1838" i="1"/>
  <c r="S1838" i="1"/>
  <c r="R1838" i="1"/>
  <c r="Q1838" i="1"/>
  <c r="P1838" i="1"/>
  <c r="T1837" i="1"/>
  <c r="S1837" i="1"/>
  <c r="R1837" i="1"/>
  <c r="Q1837" i="1"/>
  <c r="P1837" i="1"/>
  <c r="T1836" i="1"/>
  <c r="S1836" i="1"/>
  <c r="R1836" i="1"/>
  <c r="Q1836" i="1"/>
  <c r="P1836" i="1"/>
  <c r="T1835" i="1"/>
  <c r="S1835" i="1"/>
  <c r="R1835" i="1"/>
  <c r="Q1835" i="1"/>
  <c r="P1835" i="1"/>
  <c r="T1834" i="1"/>
  <c r="S1834" i="1"/>
  <c r="R1834" i="1"/>
  <c r="Q1834" i="1"/>
  <c r="P1834" i="1"/>
  <c r="T1833" i="1"/>
  <c r="S1833" i="1"/>
  <c r="R1833" i="1"/>
  <c r="Q1833" i="1"/>
  <c r="P1833" i="1"/>
  <c r="T1832" i="1"/>
  <c r="S1832" i="1"/>
  <c r="R1832" i="1"/>
  <c r="Q1832" i="1"/>
  <c r="P1832" i="1"/>
  <c r="T1831" i="1"/>
  <c r="S1831" i="1"/>
  <c r="R1831" i="1"/>
  <c r="Q1831" i="1"/>
  <c r="P1831" i="1"/>
  <c r="T1830" i="1"/>
  <c r="S1830" i="1"/>
  <c r="R1830" i="1"/>
  <c r="Q1830" i="1"/>
  <c r="P1830" i="1"/>
  <c r="T1829" i="1"/>
  <c r="S1829" i="1"/>
  <c r="R1829" i="1"/>
  <c r="Q1829" i="1"/>
  <c r="P1829" i="1"/>
  <c r="T1828" i="1"/>
  <c r="S1828" i="1"/>
  <c r="R1828" i="1"/>
  <c r="Q1828" i="1"/>
  <c r="P1828" i="1"/>
  <c r="T1827" i="1"/>
  <c r="S1827" i="1"/>
  <c r="R1827" i="1"/>
  <c r="Q1827" i="1"/>
  <c r="P1827" i="1"/>
  <c r="T1826" i="1"/>
  <c r="S1826" i="1"/>
  <c r="R1826" i="1"/>
  <c r="Q1826" i="1"/>
  <c r="P1826" i="1"/>
  <c r="T1825" i="1"/>
  <c r="S1825" i="1"/>
  <c r="R1825" i="1"/>
  <c r="Q1825" i="1"/>
  <c r="P1825" i="1"/>
  <c r="T1824" i="1"/>
  <c r="S1824" i="1"/>
  <c r="R1824" i="1"/>
  <c r="Q1824" i="1"/>
  <c r="P1824" i="1"/>
  <c r="T1823" i="1"/>
  <c r="S1823" i="1"/>
  <c r="R1823" i="1"/>
  <c r="Q1823" i="1"/>
  <c r="P1823" i="1"/>
  <c r="T1822" i="1"/>
  <c r="S1822" i="1"/>
  <c r="R1822" i="1"/>
  <c r="Q1822" i="1"/>
  <c r="P1822" i="1"/>
  <c r="T1821" i="1"/>
  <c r="S1821" i="1"/>
  <c r="R1821" i="1"/>
  <c r="Q1821" i="1"/>
  <c r="P1821" i="1"/>
  <c r="T1820" i="1"/>
  <c r="S1820" i="1"/>
  <c r="R1820" i="1"/>
  <c r="Q1820" i="1"/>
  <c r="P1820" i="1"/>
  <c r="T1819" i="1"/>
  <c r="S1819" i="1"/>
  <c r="R1819" i="1"/>
  <c r="Q1819" i="1"/>
  <c r="P1819" i="1"/>
  <c r="T1818" i="1"/>
  <c r="S1818" i="1"/>
  <c r="R1818" i="1"/>
  <c r="Q1818" i="1"/>
  <c r="P1818" i="1"/>
  <c r="T1817" i="1"/>
  <c r="S1817" i="1"/>
  <c r="R1817" i="1"/>
  <c r="Q1817" i="1"/>
  <c r="P1817" i="1"/>
  <c r="T1816" i="1"/>
  <c r="S1816" i="1"/>
  <c r="R1816" i="1"/>
  <c r="Q1816" i="1"/>
  <c r="P1816" i="1"/>
  <c r="T1815" i="1"/>
  <c r="S1815" i="1"/>
  <c r="R1815" i="1"/>
  <c r="Q1815" i="1"/>
  <c r="P1815" i="1"/>
  <c r="T1814" i="1"/>
  <c r="S1814" i="1"/>
  <c r="R1814" i="1"/>
  <c r="Q1814" i="1"/>
  <c r="P1814" i="1"/>
  <c r="T1813" i="1"/>
  <c r="S1813" i="1"/>
  <c r="R1813" i="1"/>
  <c r="Q1813" i="1"/>
  <c r="P1813" i="1"/>
  <c r="T1812" i="1"/>
  <c r="S1812" i="1"/>
  <c r="R1812" i="1"/>
  <c r="Q1812" i="1"/>
  <c r="P1812" i="1"/>
  <c r="T1811" i="1"/>
  <c r="S1811" i="1"/>
  <c r="R1811" i="1"/>
  <c r="Q1811" i="1"/>
  <c r="P1811" i="1"/>
  <c r="T1810" i="1"/>
  <c r="S1810" i="1"/>
  <c r="R1810" i="1"/>
  <c r="Q1810" i="1"/>
  <c r="P1810" i="1"/>
  <c r="T1809" i="1"/>
  <c r="S1809" i="1"/>
  <c r="R1809" i="1"/>
  <c r="Q1809" i="1"/>
  <c r="P1809" i="1"/>
  <c r="T1808" i="1"/>
  <c r="S1808" i="1"/>
  <c r="R1808" i="1"/>
  <c r="Q1808" i="1"/>
  <c r="P1808" i="1"/>
  <c r="T1807" i="1"/>
  <c r="S1807" i="1"/>
  <c r="R1807" i="1"/>
  <c r="Q1807" i="1"/>
  <c r="P1807" i="1"/>
  <c r="T1806" i="1"/>
  <c r="S1806" i="1"/>
  <c r="R1806" i="1"/>
  <c r="Q1806" i="1"/>
  <c r="P1806" i="1"/>
  <c r="T1805" i="1"/>
  <c r="S1805" i="1"/>
  <c r="R1805" i="1"/>
  <c r="Q1805" i="1"/>
  <c r="P1805" i="1"/>
  <c r="T1804" i="1"/>
  <c r="S1804" i="1"/>
  <c r="R1804" i="1"/>
  <c r="Q1804" i="1"/>
  <c r="P1804" i="1"/>
  <c r="T1803" i="1"/>
  <c r="S1803" i="1"/>
  <c r="R1803" i="1"/>
  <c r="Q1803" i="1"/>
  <c r="P1803" i="1"/>
  <c r="T1802" i="1"/>
  <c r="S1802" i="1"/>
  <c r="R1802" i="1"/>
  <c r="Q1802" i="1"/>
  <c r="P1802" i="1"/>
  <c r="T1801" i="1"/>
  <c r="S1801" i="1"/>
  <c r="R1801" i="1"/>
  <c r="Q1801" i="1"/>
  <c r="P1801" i="1"/>
  <c r="T1800" i="1"/>
  <c r="S1800" i="1"/>
  <c r="R1800" i="1"/>
  <c r="Q1800" i="1"/>
  <c r="P1800" i="1"/>
  <c r="T1799" i="1"/>
  <c r="S1799" i="1"/>
  <c r="R1799" i="1"/>
  <c r="Q1799" i="1"/>
  <c r="P1799" i="1"/>
  <c r="T1798" i="1"/>
  <c r="S1798" i="1"/>
  <c r="R1798" i="1"/>
  <c r="Q1798" i="1"/>
  <c r="P1798" i="1"/>
  <c r="T1797" i="1"/>
  <c r="S1797" i="1"/>
  <c r="R1797" i="1"/>
  <c r="Q1797" i="1"/>
  <c r="P1797" i="1"/>
  <c r="T1796" i="1"/>
  <c r="S1796" i="1"/>
  <c r="R1796" i="1"/>
  <c r="Q1796" i="1"/>
  <c r="P1796" i="1"/>
  <c r="T1795" i="1"/>
  <c r="S1795" i="1"/>
  <c r="R1795" i="1"/>
  <c r="Q1795" i="1"/>
  <c r="P1795" i="1"/>
  <c r="T1794" i="1"/>
  <c r="S1794" i="1"/>
  <c r="R1794" i="1"/>
  <c r="Q1794" i="1"/>
  <c r="P1794" i="1"/>
  <c r="T1793" i="1"/>
  <c r="S1793" i="1"/>
  <c r="R1793" i="1"/>
  <c r="Q1793" i="1"/>
  <c r="P1793" i="1"/>
  <c r="T1792" i="1"/>
  <c r="S1792" i="1"/>
  <c r="R1792" i="1"/>
  <c r="Q1792" i="1"/>
  <c r="P1792" i="1"/>
  <c r="T1791" i="1"/>
  <c r="S1791" i="1"/>
  <c r="R1791" i="1"/>
  <c r="Q1791" i="1"/>
  <c r="P1791" i="1"/>
  <c r="T1790" i="1"/>
  <c r="S1790" i="1"/>
  <c r="R1790" i="1"/>
  <c r="Q1790" i="1"/>
  <c r="P1790" i="1"/>
  <c r="T1789" i="1"/>
  <c r="S1789" i="1"/>
  <c r="R1789" i="1"/>
  <c r="Q1789" i="1"/>
  <c r="P1789" i="1"/>
  <c r="T1788" i="1"/>
  <c r="S1788" i="1"/>
  <c r="R1788" i="1"/>
  <c r="Q1788" i="1"/>
  <c r="P1788" i="1"/>
  <c r="T1787" i="1"/>
  <c r="S1787" i="1"/>
  <c r="R1787" i="1"/>
  <c r="Q1787" i="1"/>
  <c r="P1787" i="1"/>
  <c r="T1786" i="1"/>
  <c r="S1786" i="1"/>
  <c r="R1786" i="1"/>
  <c r="Q1786" i="1"/>
  <c r="P1786" i="1"/>
  <c r="T1785" i="1"/>
  <c r="S1785" i="1"/>
  <c r="R1785" i="1"/>
  <c r="Q1785" i="1"/>
  <c r="P1785" i="1"/>
  <c r="T1784" i="1"/>
  <c r="S1784" i="1"/>
  <c r="R1784" i="1"/>
  <c r="Q1784" i="1"/>
  <c r="P1784" i="1"/>
  <c r="T1783" i="1"/>
  <c r="S1783" i="1"/>
  <c r="R1783" i="1"/>
  <c r="Q1783" i="1"/>
  <c r="P1783" i="1"/>
  <c r="T1782" i="1"/>
  <c r="S1782" i="1"/>
  <c r="R1782" i="1"/>
  <c r="Q1782" i="1"/>
  <c r="P1782" i="1"/>
  <c r="T1781" i="1"/>
  <c r="S1781" i="1"/>
  <c r="R1781" i="1"/>
  <c r="Q1781" i="1"/>
  <c r="P1781" i="1"/>
  <c r="T1780" i="1"/>
  <c r="S1780" i="1"/>
  <c r="R1780" i="1"/>
  <c r="Q1780" i="1"/>
  <c r="P1780" i="1"/>
  <c r="T1779" i="1"/>
  <c r="S1779" i="1"/>
  <c r="R1779" i="1"/>
  <c r="Q1779" i="1"/>
  <c r="P1779" i="1"/>
  <c r="T1778" i="1"/>
  <c r="S1778" i="1"/>
  <c r="R1778" i="1"/>
  <c r="Q1778" i="1"/>
  <c r="P1778" i="1"/>
  <c r="T1777" i="1"/>
  <c r="S1777" i="1"/>
  <c r="R1777" i="1"/>
  <c r="Q1777" i="1"/>
  <c r="P1777" i="1"/>
  <c r="T1776" i="1"/>
  <c r="S1776" i="1"/>
  <c r="R1776" i="1"/>
  <c r="Q1776" i="1"/>
  <c r="P1776" i="1"/>
  <c r="T1775" i="1"/>
  <c r="S1775" i="1"/>
  <c r="R1775" i="1"/>
  <c r="Q1775" i="1"/>
  <c r="P1775" i="1"/>
  <c r="T1774" i="1"/>
  <c r="S1774" i="1"/>
  <c r="R1774" i="1"/>
  <c r="Q1774" i="1"/>
  <c r="P1774" i="1"/>
  <c r="T1773" i="1"/>
  <c r="S1773" i="1"/>
  <c r="R1773" i="1"/>
  <c r="Q1773" i="1"/>
  <c r="P1773" i="1"/>
  <c r="T1772" i="1"/>
  <c r="S1772" i="1"/>
  <c r="R1772" i="1"/>
  <c r="Q1772" i="1"/>
  <c r="P1772" i="1"/>
  <c r="T1771" i="1"/>
  <c r="S1771" i="1"/>
  <c r="R1771" i="1"/>
  <c r="Q1771" i="1"/>
  <c r="P1771" i="1"/>
  <c r="T1770" i="1"/>
  <c r="S1770" i="1"/>
  <c r="R1770" i="1"/>
  <c r="Q1770" i="1"/>
  <c r="P1770" i="1"/>
  <c r="T1769" i="1"/>
  <c r="S1769" i="1"/>
  <c r="R1769" i="1"/>
  <c r="Q1769" i="1"/>
  <c r="P1769" i="1"/>
  <c r="T1768" i="1"/>
  <c r="S1768" i="1"/>
  <c r="R1768" i="1"/>
  <c r="Q1768" i="1"/>
  <c r="P1768" i="1"/>
  <c r="T1767" i="1"/>
  <c r="S1767" i="1"/>
  <c r="R1767" i="1"/>
  <c r="Q1767" i="1"/>
  <c r="P1767" i="1"/>
  <c r="T1766" i="1"/>
  <c r="S1766" i="1"/>
  <c r="R1766" i="1"/>
  <c r="Q1766" i="1"/>
  <c r="P1766" i="1"/>
  <c r="T1765" i="1"/>
  <c r="S1765" i="1"/>
  <c r="R1765" i="1"/>
  <c r="Q1765" i="1"/>
  <c r="P1765" i="1"/>
  <c r="T1764" i="1"/>
  <c r="S1764" i="1"/>
  <c r="R1764" i="1"/>
  <c r="Q1764" i="1"/>
  <c r="P1764" i="1"/>
  <c r="T1763" i="1"/>
  <c r="S1763" i="1"/>
  <c r="R1763" i="1"/>
  <c r="Q1763" i="1"/>
  <c r="P1763" i="1"/>
  <c r="T1762" i="1"/>
  <c r="S1762" i="1"/>
  <c r="R1762" i="1"/>
  <c r="Q1762" i="1"/>
  <c r="P1762" i="1"/>
  <c r="T1761" i="1"/>
  <c r="S1761" i="1"/>
  <c r="R1761" i="1"/>
  <c r="Q1761" i="1"/>
  <c r="P1761" i="1"/>
  <c r="T1760" i="1"/>
  <c r="S1760" i="1"/>
  <c r="R1760" i="1"/>
  <c r="Q1760" i="1"/>
  <c r="P1760" i="1"/>
  <c r="T1759" i="1"/>
  <c r="S1759" i="1"/>
  <c r="R1759" i="1"/>
  <c r="Q1759" i="1"/>
  <c r="P1759" i="1"/>
  <c r="T1758" i="1"/>
  <c r="S1758" i="1"/>
  <c r="R1758" i="1"/>
  <c r="Q1758" i="1"/>
  <c r="P1758" i="1"/>
  <c r="T1757" i="1"/>
  <c r="S1757" i="1"/>
  <c r="R1757" i="1"/>
  <c r="Q1757" i="1"/>
  <c r="P1757" i="1"/>
  <c r="T1756" i="1"/>
  <c r="S1756" i="1"/>
  <c r="R1756" i="1"/>
  <c r="Q1756" i="1"/>
  <c r="P1756" i="1"/>
  <c r="T1755" i="1"/>
  <c r="S1755" i="1"/>
  <c r="R1755" i="1"/>
  <c r="Q1755" i="1"/>
  <c r="P1755" i="1"/>
  <c r="T1754" i="1"/>
  <c r="S1754" i="1"/>
  <c r="R1754" i="1"/>
  <c r="Q1754" i="1"/>
  <c r="P1754" i="1"/>
  <c r="T1753" i="1"/>
  <c r="S1753" i="1"/>
  <c r="R1753" i="1"/>
  <c r="Q1753" i="1"/>
  <c r="P1753" i="1"/>
  <c r="T1752" i="1"/>
  <c r="S1752" i="1"/>
  <c r="R1752" i="1"/>
  <c r="Q1752" i="1"/>
  <c r="P1752" i="1"/>
  <c r="T1751" i="1"/>
  <c r="S1751" i="1"/>
  <c r="R1751" i="1"/>
  <c r="Q1751" i="1"/>
  <c r="P1751" i="1"/>
  <c r="T1750" i="1"/>
  <c r="S1750" i="1"/>
  <c r="R1750" i="1"/>
  <c r="Q1750" i="1"/>
  <c r="P1750" i="1"/>
  <c r="T1749" i="1"/>
  <c r="S1749" i="1"/>
  <c r="R1749" i="1"/>
  <c r="Q1749" i="1"/>
  <c r="P1749" i="1"/>
  <c r="T1748" i="1"/>
  <c r="S1748" i="1"/>
  <c r="R1748" i="1"/>
  <c r="Q1748" i="1"/>
  <c r="P1748" i="1"/>
  <c r="T1747" i="1"/>
  <c r="S1747" i="1"/>
  <c r="R1747" i="1"/>
  <c r="Q1747" i="1"/>
  <c r="P1747" i="1"/>
  <c r="T1746" i="1"/>
  <c r="S1746" i="1"/>
  <c r="R1746" i="1"/>
  <c r="Q1746" i="1"/>
  <c r="P1746" i="1"/>
  <c r="T1745" i="1"/>
  <c r="S1745" i="1"/>
  <c r="R1745" i="1"/>
  <c r="Q1745" i="1"/>
  <c r="P1745" i="1"/>
  <c r="T1744" i="1"/>
  <c r="S1744" i="1"/>
  <c r="R1744" i="1"/>
  <c r="Q1744" i="1"/>
  <c r="P1744" i="1"/>
  <c r="T1743" i="1"/>
  <c r="S1743" i="1"/>
  <c r="R1743" i="1"/>
  <c r="Q1743" i="1"/>
  <c r="P1743" i="1"/>
  <c r="T1742" i="1"/>
  <c r="S1742" i="1"/>
  <c r="R1742" i="1"/>
  <c r="Q1742" i="1"/>
  <c r="P1742" i="1"/>
  <c r="T1741" i="1"/>
  <c r="S1741" i="1"/>
  <c r="R1741" i="1"/>
  <c r="Q1741" i="1"/>
  <c r="P1741" i="1"/>
  <c r="T1740" i="1"/>
  <c r="S1740" i="1"/>
  <c r="R1740" i="1"/>
  <c r="Q1740" i="1"/>
  <c r="P1740" i="1"/>
  <c r="T1739" i="1"/>
  <c r="S1739" i="1"/>
  <c r="R1739" i="1"/>
  <c r="Q1739" i="1"/>
  <c r="P1739" i="1"/>
  <c r="T1738" i="1"/>
  <c r="S1738" i="1"/>
  <c r="R1738" i="1"/>
  <c r="Q1738" i="1"/>
  <c r="P1738" i="1"/>
  <c r="T1737" i="1"/>
  <c r="S1737" i="1"/>
  <c r="R1737" i="1"/>
  <c r="Q1737" i="1"/>
  <c r="P1737" i="1"/>
  <c r="T1736" i="1"/>
  <c r="S1736" i="1"/>
  <c r="R1736" i="1"/>
  <c r="Q1736" i="1"/>
  <c r="P1736" i="1"/>
  <c r="T1735" i="1"/>
  <c r="S1735" i="1"/>
  <c r="R1735" i="1"/>
  <c r="Q1735" i="1"/>
  <c r="P1735" i="1"/>
  <c r="T1734" i="1"/>
  <c r="S1734" i="1"/>
  <c r="R1734" i="1"/>
  <c r="Q1734" i="1"/>
  <c r="P1734" i="1"/>
  <c r="T1733" i="1"/>
  <c r="S1733" i="1"/>
  <c r="R1733" i="1"/>
  <c r="Q1733" i="1"/>
  <c r="P1733" i="1"/>
  <c r="T1732" i="1"/>
  <c r="S1732" i="1"/>
  <c r="R1732" i="1"/>
  <c r="Q1732" i="1"/>
  <c r="P1732" i="1"/>
  <c r="T1731" i="1"/>
  <c r="S1731" i="1"/>
  <c r="R1731" i="1"/>
  <c r="Q1731" i="1"/>
  <c r="P1731" i="1"/>
  <c r="T1730" i="1"/>
  <c r="S1730" i="1"/>
  <c r="R1730" i="1"/>
  <c r="Q1730" i="1"/>
  <c r="P1730" i="1"/>
  <c r="T1729" i="1"/>
  <c r="S1729" i="1"/>
  <c r="R1729" i="1"/>
  <c r="Q1729" i="1"/>
  <c r="P1729" i="1"/>
  <c r="T1728" i="1"/>
  <c r="S1728" i="1"/>
  <c r="R1728" i="1"/>
  <c r="Q1728" i="1"/>
  <c r="P1728" i="1"/>
  <c r="T1727" i="1"/>
  <c r="S1727" i="1"/>
  <c r="R1727" i="1"/>
  <c r="Q1727" i="1"/>
  <c r="P1727" i="1"/>
  <c r="T1726" i="1"/>
  <c r="S1726" i="1"/>
  <c r="R1726" i="1"/>
  <c r="Q1726" i="1"/>
  <c r="P1726" i="1"/>
  <c r="T1725" i="1"/>
  <c r="S1725" i="1"/>
  <c r="R1725" i="1"/>
  <c r="Q1725" i="1"/>
  <c r="P1725" i="1"/>
  <c r="T1724" i="1"/>
  <c r="S1724" i="1"/>
  <c r="R1724" i="1"/>
  <c r="Q1724" i="1"/>
  <c r="P1724" i="1"/>
  <c r="T1723" i="1"/>
  <c r="S1723" i="1"/>
  <c r="R1723" i="1"/>
  <c r="Q1723" i="1"/>
  <c r="P1723" i="1"/>
  <c r="T1722" i="1"/>
  <c r="S1722" i="1"/>
  <c r="R1722" i="1"/>
  <c r="Q1722" i="1"/>
  <c r="P1722" i="1"/>
  <c r="T1721" i="1"/>
  <c r="S1721" i="1"/>
  <c r="R1721" i="1"/>
  <c r="Q1721" i="1"/>
  <c r="P1721" i="1"/>
  <c r="T1720" i="1"/>
  <c r="S1720" i="1"/>
  <c r="R1720" i="1"/>
  <c r="Q1720" i="1"/>
  <c r="P1720" i="1"/>
  <c r="T1719" i="1"/>
  <c r="S1719" i="1"/>
  <c r="R1719" i="1"/>
  <c r="Q1719" i="1"/>
  <c r="P1719" i="1"/>
  <c r="T1718" i="1"/>
  <c r="S1718" i="1"/>
  <c r="R1718" i="1"/>
  <c r="Q1718" i="1"/>
  <c r="P1718" i="1"/>
  <c r="T1717" i="1"/>
  <c r="S1717" i="1"/>
  <c r="R1717" i="1"/>
  <c r="Q1717" i="1"/>
  <c r="P1717" i="1"/>
  <c r="T1716" i="1"/>
  <c r="S1716" i="1"/>
  <c r="R1716" i="1"/>
  <c r="Q1716" i="1"/>
  <c r="P1716" i="1"/>
  <c r="T1715" i="1"/>
  <c r="S1715" i="1"/>
  <c r="R1715" i="1"/>
  <c r="Q1715" i="1"/>
  <c r="P1715" i="1"/>
  <c r="T1714" i="1"/>
  <c r="S1714" i="1"/>
  <c r="R1714" i="1"/>
  <c r="Q1714" i="1"/>
  <c r="P1714" i="1"/>
  <c r="T1713" i="1"/>
  <c r="S1713" i="1"/>
  <c r="R1713" i="1"/>
  <c r="Q1713" i="1"/>
  <c r="P1713" i="1"/>
  <c r="T1712" i="1"/>
  <c r="S1712" i="1"/>
  <c r="R1712" i="1"/>
  <c r="Q1712" i="1"/>
  <c r="P1712" i="1"/>
  <c r="T1711" i="1"/>
  <c r="S1711" i="1"/>
  <c r="R1711" i="1"/>
  <c r="Q1711" i="1"/>
  <c r="P1711" i="1"/>
  <c r="T1710" i="1"/>
  <c r="S1710" i="1"/>
  <c r="R1710" i="1"/>
  <c r="Q1710" i="1"/>
  <c r="P1710" i="1"/>
  <c r="T1709" i="1"/>
  <c r="S1709" i="1"/>
  <c r="R1709" i="1"/>
  <c r="Q1709" i="1"/>
  <c r="P1709" i="1"/>
  <c r="T1708" i="1"/>
  <c r="S1708" i="1"/>
  <c r="R1708" i="1"/>
  <c r="Q1708" i="1"/>
  <c r="P1708" i="1"/>
  <c r="T1707" i="1"/>
  <c r="S1707" i="1"/>
  <c r="R1707" i="1"/>
  <c r="Q1707" i="1"/>
  <c r="P1707" i="1"/>
  <c r="T1706" i="1"/>
  <c r="S1706" i="1"/>
  <c r="R1706" i="1"/>
  <c r="Q1706" i="1"/>
  <c r="P1706" i="1"/>
  <c r="T1705" i="1"/>
  <c r="S1705" i="1"/>
  <c r="R1705" i="1"/>
  <c r="Q1705" i="1"/>
  <c r="P1705" i="1"/>
  <c r="T1704" i="1"/>
  <c r="S1704" i="1"/>
  <c r="R1704" i="1"/>
  <c r="Q1704" i="1"/>
  <c r="P1704" i="1"/>
  <c r="T1703" i="1"/>
  <c r="S1703" i="1"/>
  <c r="R1703" i="1"/>
  <c r="Q1703" i="1"/>
  <c r="P1703" i="1"/>
  <c r="T1702" i="1"/>
  <c r="S1702" i="1"/>
  <c r="R1702" i="1"/>
  <c r="Q1702" i="1"/>
  <c r="P1702" i="1"/>
  <c r="T1701" i="1"/>
  <c r="S1701" i="1"/>
  <c r="R1701" i="1"/>
  <c r="Q1701" i="1"/>
  <c r="P1701" i="1"/>
  <c r="T1700" i="1"/>
  <c r="S1700" i="1"/>
  <c r="R1700" i="1"/>
  <c r="Q1700" i="1"/>
  <c r="P1700" i="1"/>
  <c r="T1699" i="1"/>
  <c r="S1699" i="1"/>
  <c r="R1699" i="1"/>
  <c r="Q1699" i="1"/>
  <c r="P1699" i="1"/>
  <c r="T1698" i="1"/>
  <c r="S1698" i="1"/>
  <c r="R1698" i="1"/>
  <c r="Q1698" i="1"/>
  <c r="P1698" i="1"/>
  <c r="T1697" i="1"/>
  <c r="S1697" i="1"/>
  <c r="R1697" i="1"/>
  <c r="Q1697" i="1"/>
  <c r="P1697" i="1"/>
  <c r="T1696" i="1"/>
  <c r="S1696" i="1"/>
  <c r="R1696" i="1"/>
  <c r="Q1696" i="1"/>
  <c r="P1696" i="1"/>
  <c r="T1695" i="1"/>
  <c r="S1695" i="1"/>
  <c r="R1695" i="1"/>
  <c r="Q1695" i="1"/>
  <c r="P1695" i="1"/>
  <c r="T1694" i="1"/>
  <c r="S1694" i="1"/>
  <c r="R1694" i="1"/>
  <c r="Q1694" i="1"/>
  <c r="P1694" i="1"/>
  <c r="T1693" i="1"/>
  <c r="S1693" i="1"/>
  <c r="R1693" i="1"/>
  <c r="Q1693" i="1"/>
  <c r="P1693" i="1"/>
  <c r="T1692" i="1"/>
  <c r="S1692" i="1"/>
  <c r="R1692" i="1"/>
  <c r="Q1692" i="1"/>
  <c r="P1692" i="1"/>
  <c r="T1691" i="1"/>
  <c r="S1691" i="1"/>
  <c r="R1691" i="1"/>
  <c r="Q1691" i="1"/>
  <c r="P1691" i="1"/>
  <c r="T1690" i="1"/>
  <c r="S1690" i="1"/>
  <c r="R1690" i="1"/>
  <c r="Q1690" i="1"/>
  <c r="P1690" i="1"/>
  <c r="T1689" i="1"/>
  <c r="S1689" i="1"/>
  <c r="R1689" i="1"/>
  <c r="Q1689" i="1"/>
  <c r="P1689" i="1"/>
  <c r="T1688" i="1"/>
  <c r="S1688" i="1"/>
  <c r="R1688" i="1"/>
  <c r="Q1688" i="1"/>
  <c r="P1688" i="1"/>
  <c r="T1687" i="1"/>
  <c r="S1687" i="1"/>
  <c r="R1687" i="1"/>
  <c r="Q1687" i="1"/>
  <c r="P1687" i="1"/>
  <c r="T1686" i="1"/>
  <c r="S1686" i="1"/>
  <c r="R1686" i="1"/>
  <c r="Q1686" i="1"/>
  <c r="P1686" i="1"/>
  <c r="T1685" i="1"/>
  <c r="S1685" i="1"/>
  <c r="R1685" i="1"/>
  <c r="Q1685" i="1"/>
  <c r="P1685" i="1"/>
  <c r="T1684" i="1"/>
  <c r="S1684" i="1"/>
  <c r="R1684" i="1"/>
  <c r="Q1684" i="1"/>
  <c r="P1684" i="1"/>
  <c r="T1683" i="1"/>
  <c r="S1683" i="1"/>
  <c r="R1683" i="1"/>
  <c r="Q1683" i="1"/>
  <c r="P1683" i="1"/>
  <c r="T1682" i="1"/>
  <c r="S1682" i="1"/>
  <c r="R1682" i="1"/>
  <c r="Q1682" i="1"/>
  <c r="P1682" i="1"/>
  <c r="T1681" i="1"/>
  <c r="S1681" i="1"/>
  <c r="R1681" i="1"/>
  <c r="Q1681" i="1"/>
  <c r="P1681" i="1"/>
  <c r="T1680" i="1"/>
  <c r="S1680" i="1"/>
  <c r="R1680" i="1"/>
  <c r="Q1680" i="1"/>
  <c r="P1680" i="1"/>
  <c r="T1679" i="1"/>
  <c r="S1679" i="1"/>
  <c r="R1679" i="1"/>
  <c r="Q1679" i="1"/>
  <c r="P1679" i="1"/>
  <c r="T1678" i="1"/>
  <c r="S1678" i="1"/>
  <c r="R1678" i="1"/>
  <c r="Q1678" i="1"/>
  <c r="P1678" i="1"/>
  <c r="T1677" i="1"/>
  <c r="S1677" i="1"/>
  <c r="R1677" i="1"/>
  <c r="Q1677" i="1"/>
  <c r="P1677" i="1"/>
  <c r="T1676" i="1"/>
  <c r="S1676" i="1"/>
  <c r="R1676" i="1"/>
  <c r="Q1676" i="1"/>
  <c r="P1676" i="1"/>
  <c r="T1675" i="1"/>
  <c r="S1675" i="1"/>
  <c r="R1675" i="1"/>
  <c r="Q1675" i="1"/>
  <c r="P1675" i="1"/>
  <c r="T1674" i="1"/>
  <c r="S1674" i="1"/>
  <c r="R1674" i="1"/>
  <c r="Q1674" i="1"/>
  <c r="P1674" i="1"/>
  <c r="T1673" i="1"/>
  <c r="S1673" i="1"/>
  <c r="R1673" i="1"/>
  <c r="Q1673" i="1"/>
  <c r="P1673" i="1"/>
  <c r="T1672" i="1"/>
  <c r="S1672" i="1"/>
  <c r="R1672" i="1"/>
  <c r="Q1672" i="1"/>
  <c r="P1672" i="1"/>
  <c r="T1671" i="1"/>
  <c r="S1671" i="1"/>
  <c r="R1671" i="1"/>
  <c r="Q1671" i="1"/>
  <c r="P1671" i="1"/>
  <c r="T1670" i="1"/>
  <c r="S1670" i="1"/>
  <c r="R1670" i="1"/>
  <c r="Q1670" i="1"/>
  <c r="P1670" i="1"/>
  <c r="T1669" i="1"/>
  <c r="S1669" i="1"/>
  <c r="R1669" i="1"/>
  <c r="Q1669" i="1"/>
  <c r="P1669" i="1"/>
  <c r="T1668" i="1"/>
  <c r="S1668" i="1"/>
  <c r="R1668" i="1"/>
  <c r="Q1668" i="1"/>
  <c r="P1668" i="1"/>
  <c r="T1667" i="1"/>
  <c r="S1667" i="1"/>
  <c r="R1667" i="1"/>
  <c r="Q1667" i="1"/>
  <c r="P1667" i="1"/>
  <c r="T1666" i="1"/>
  <c r="S1666" i="1"/>
  <c r="R1666" i="1"/>
  <c r="Q1666" i="1"/>
  <c r="P1666" i="1"/>
  <c r="T1665" i="1"/>
  <c r="S1665" i="1"/>
  <c r="R1665" i="1"/>
  <c r="Q1665" i="1"/>
  <c r="P1665" i="1"/>
  <c r="T1664" i="1"/>
  <c r="S1664" i="1"/>
  <c r="R1664" i="1"/>
  <c r="Q1664" i="1"/>
  <c r="P1664" i="1"/>
  <c r="T1663" i="1"/>
  <c r="S1663" i="1"/>
  <c r="R1663" i="1"/>
  <c r="Q1663" i="1"/>
  <c r="P1663" i="1"/>
  <c r="T1662" i="1"/>
  <c r="S1662" i="1"/>
  <c r="R1662" i="1"/>
  <c r="Q1662" i="1"/>
  <c r="P1662" i="1"/>
  <c r="T1661" i="1"/>
  <c r="S1661" i="1"/>
  <c r="R1661" i="1"/>
  <c r="Q1661" i="1"/>
  <c r="P1661" i="1"/>
  <c r="T1660" i="1"/>
  <c r="S1660" i="1"/>
  <c r="R1660" i="1"/>
  <c r="Q1660" i="1"/>
  <c r="P1660" i="1"/>
  <c r="T1659" i="1"/>
  <c r="S1659" i="1"/>
  <c r="R1659" i="1"/>
  <c r="Q1659" i="1"/>
  <c r="P1659" i="1"/>
  <c r="T1658" i="1"/>
  <c r="S1658" i="1"/>
  <c r="R1658" i="1"/>
  <c r="Q1658" i="1"/>
  <c r="P1658" i="1"/>
  <c r="T1657" i="1"/>
  <c r="S1657" i="1"/>
  <c r="R1657" i="1"/>
  <c r="Q1657" i="1"/>
  <c r="P1657" i="1"/>
  <c r="T1656" i="1"/>
  <c r="S1656" i="1"/>
  <c r="R1656" i="1"/>
  <c r="Q1656" i="1"/>
  <c r="P1656" i="1"/>
  <c r="T1655" i="1"/>
  <c r="S1655" i="1"/>
  <c r="R1655" i="1"/>
  <c r="Q1655" i="1"/>
  <c r="P1655" i="1"/>
  <c r="T1654" i="1"/>
  <c r="S1654" i="1"/>
  <c r="R1654" i="1"/>
  <c r="Q1654" i="1"/>
  <c r="P1654" i="1"/>
  <c r="T1653" i="1"/>
  <c r="S1653" i="1"/>
  <c r="R1653" i="1"/>
  <c r="Q1653" i="1"/>
  <c r="P1653" i="1"/>
  <c r="T1652" i="1"/>
  <c r="S1652" i="1"/>
  <c r="R1652" i="1"/>
  <c r="Q1652" i="1"/>
  <c r="P1652" i="1"/>
  <c r="T1651" i="1"/>
  <c r="S1651" i="1"/>
  <c r="R1651" i="1"/>
  <c r="Q1651" i="1"/>
  <c r="P1651" i="1"/>
  <c r="T1650" i="1"/>
  <c r="S1650" i="1"/>
  <c r="R1650" i="1"/>
  <c r="Q1650" i="1"/>
  <c r="P1650" i="1"/>
  <c r="T1649" i="1"/>
  <c r="S1649" i="1"/>
  <c r="R1649" i="1"/>
  <c r="Q1649" i="1"/>
  <c r="P1649" i="1"/>
  <c r="T1648" i="1"/>
  <c r="S1648" i="1"/>
  <c r="R1648" i="1"/>
  <c r="Q1648" i="1"/>
  <c r="P1648" i="1"/>
  <c r="T1647" i="1"/>
  <c r="S1647" i="1"/>
  <c r="R1647" i="1"/>
  <c r="Q1647" i="1"/>
  <c r="P1647" i="1"/>
  <c r="T1646" i="1"/>
  <c r="S1646" i="1"/>
  <c r="R1646" i="1"/>
  <c r="Q1646" i="1"/>
  <c r="P1646" i="1"/>
  <c r="T1645" i="1"/>
  <c r="S1645" i="1"/>
  <c r="R1645" i="1"/>
  <c r="Q1645" i="1"/>
  <c r="P1645" i="1"/>
  <c r="T1644" i="1"/>
  <c r="S1644" i="1"/>
  <c r="R1644" i="1"/>
  <c r="Q1644" i="1"/>
  <c r="P1644" i="1"/>
  <c r="T1643" i="1"/>
  <c r="S1643" i="1"/>
  <c r="R1643" i="1"/>
  <c r="Q1643" i="1"/>
  <c r="P1643" i="1"/>
  <c r="T1642" i="1"/>
  <c r="S1642" i="1"/>
  <c r="R1642" i="1"/>
  <c r="Q1642" i="1"/>
  <c r="P1642" i="1"/>
  <c r="T1641" i="1"/>
  <c r="S1641" i="1"/>
  <c r="R1641" i="1"/>
  <c r="Q1641" i="1"/>
  <c r="P1641" i="1"/>
  <c r="T1640" i="1"/>
  <c r="S1640" i="1"/>
  <c r="R1640" i="1"/>
  <c r="Q1640" i="1"/>
  <c r="P1640" i="1"/>
  <c r="T1639" i="1"/>
  <c r="S1639" i="1"/>
  <c r="R1639" i="1"/>
  <c r="Q1639" i="1"/>
  <c r="P1639" i="1"/>
  <c r="T1638" i="1"/>
  <c r="S1638" i="1"/>
  <c r="R1638" i="1"/>
  <c r="Q1638" i="1"/>
  <c r="P1638" i="1"/>
  <c r="T1637" i="1"/>
  <c r="S1637" i="1"/>
  <c r="R1637" i="1"/>
  <c r="Q1637" i="1"/>
  <c r="P1637" i="1"/>
  <c r="T1636" i="1"/>
  <c r="S1636" i="1"/>
  <c r="R1636" i="1"/>
  <c r="Q1636" i="1"/>
  <c r="P1636" i="1"/>
  <c r="T1635" i="1"/>
  <c r="S1635" i="1"/>
  <c r="R1635" i="1"/>
  <c r="Q1635" i="1"/>
  <c r="P1635" i="1"/>
  <c r="T1634" i="1"/>
  <c r="S1634" i="1"/>
  <c r="R1634" i="1"/>
  <c r="Q1634" i="1"/>
  <c r="P1634" i="1"/>
  <c r="T1633" i="1"/>
  <c r="S1633" i="1"/>
  <c r="R1633" i="1"/>
  <c r="Q1633" i="1"/>
  <c r="P1633" i="1"/>
  <c r="T1632" i="1"/>
  <c r="S1632" i="1"/>
  <c r="R1632" i="1"/>
  <c r="Q1632" i="1"/>
  <c r="P1632" i="1"/>
  <c r="T1631" i="1"/>
  <c r="S1631" i="1"/>
  <c r="R1631" i="1"/>
  <c r="Q1631" i="1"/>
  <c r="P1631" i="1"/>
  <c r="T1630" i="1"/>
  <c r="S1630" i="1"/>
  <c r="R1630" i="1"/>
  <c r="Q1630" i="1"/>
  <c r="P1630" i="1"/>
  <c r="T1629" i="1"/>
  <c r="S1629" i="1"/>
  <c r="R1629" i="1"/>
  <c r="Q1629" i="1"/>
  <c r="P1629" i="1"/>
  <c r="T1628" i="1"/>
  <c r="S1628" i="1"/>
  <c r="R1628" i="1"/>
  <c r="Q1628" i="1"/>
  <c r="P1628" i="1"/>
  <c r="T1627" i="1"/>
  <c r="S1627" i="1"/>
  <c r="R1627" i="1"/>
  <c r="Q1627" i="1"/>
  <c r="P1627" i="1"/>
  <c r="T1626" i="1"/>
  <c r="S1626" i="1"/>
  <c r="R1626" i="1"/>
  <c r="Q1626" i="1"/>
  <c r="P1626" i="1"/>
  <c r="T1625" i="1"/>
  <c r="S1625" i="1"/>
  <c r="R1625" i="1"/>
  <c r="Q1625" i="1"/>
  <c r="P1625" i="1"/>
  <c r="T1624" i="1"/>
  <c r="S1624" i="1"/>
  <c r="R1624" i="1"/>
  <c r="Q1624" i="1"/>
  <c r="P1624" i="1"/>
  <c r="T1623" i="1"/>
  <c r="S1623" i="1"/>
  <c r="R1623" i="1"/>
  <c r="Q1623" i="1"/>
  <c r="P1623" i="1"/>
  <c r="T1622" i="1"/>
  <c r="S1622" i="1"/>
  <c r="R1622" i="1"/>
  <c r="Q1622" i="1"/>
  <c r="P1622" i="1"/>
  <c r="T1621" i="1"/>
  <c r="S1621" i="1"/>
  <c r="R1621" i="1"/>
  <c r="Q1621" i="1"/>
  <c r="P1621" i="1"/>
  <c r="T1620" i="1"/>
  <c r="S1620" i="1"/>
  <c r="R1620" i="1"/>
  <c r="Q1620" i="1"/>
  <c r="P1620" i="1"/>
  <c r="T1619" i="1"/>
  <c r="S1619" i="1"/>
  <c r="R1619" i="1"/>
  <c r="Q1619" i="1"/>
  <c r="P1619" i="1"/>
  <c r="T1618" i="1"/>
  <c r="S1618" i="1"/>
  <c r="R1618" i="1"/>
  <c r="Q1618" i="1"/>
  <c r="P1618" i="1"/>
  <c r="T1617" i="1"/>
  <c r="S1617" i="1"/>
  <c r="R1617" i="1"/>
  <c r="Q1617" i="1"/>
  <c r="P1617" i="1"/>
  <c r="T1616" i="1"/>
  <c r="S1616" i="1"/>
  <c r="R1616" i="1"/>
  <c r="Q1616" i="1"/>
  <c r="P1616" i="1"/>
  <c r="T1615" i="1"/>
  <c r="S1615" i="1"/>
  <c r="R1615" i="1"/>
  <c r="Q1615" i="1"/>
  <c r="P1615" i="1"/>
  <c r="T1614" i="1"/>
  <c r="S1614" i="1"/>
  <c r="R1614" i="1"/>
  <c r="Q1614" i="1"/>
  <c r="P1614" i="1"/>
  <c r="T1613" i="1"/>
  <c r="S1613" i="1"/>
  <c r="R1613" i="1"/>
  <c r="Q1613" i="1"/>
  <c r="P1613" i="1"/>
  <c r="T1612" i="1"/>
  <c r="S1612" i="1"/>
  <c r="R1612" i="1"/>
  <c r="Q1612" i="1"/>
  <c r="P1612" i="1"/>
  <c r="T1611" i="1"/>
  <c r="S1611" i="1"/>
  <c r="R1611" i="1"/>
  <c r="Q1611" i="1"/>
  <c r="P1611" i="1"/>
  <c r="T1610" i="1"/>
  <c r="S1610" i="1"/>
  <c r="R1610" i="1"/>
  <c r="Q1610" i="1"/>
  <c r="P1610" i="1"/>
  <c r="T1609" i="1"/>
  <c r="S1609" i="1"/>
  <c r="R1609" i="1"/>
  <c r="Q1609" i="1"/>
  <c r="P1609" i="1"/>
  <c r="T1608" i="1"/>
  <c r="S1608" i="1"/>
  <c r="R1608" i="1"/>
  <c r="Q1608" i="1"/>
  <c r="P1608" i="1"/>
  <c r="T1607" i="1"/>
  <c r="S1607" i="1"/>
  <c r="R1607" i="1"/>
  <c r="Q1607" i="1"/>
  <c r="P1607" i="1"/>
  <c r="T1606" i="1"/>
  <c r="S1606" i="1"/>
  <c r="R1606" i="1"/>
  <c r="Q1606" i="1"/>
  <c r="P1606" i="1"/>
  <c r="T1605" i="1"/>
  <c r="S1605" i="1"/>
  <c r="R1605" i="1"/>
  <c r="Q1605" i="1"/>
  <c r="P1605" i="1"/>
  <c r="T1604" i="1"/>
  <c r="S1604" i="1"/>
  <c r="R1604" i="1"/>
  <c r="Q1604" i="1"/>
  <c r="P1604" i="1"/>
  <c r="T1603" i="1"/>
  <c r="S1603" i="1"/>
  <c r="R1603" i="1"/>
  <c r="Q1603" i="1"/>
  <c r="P1603" i="1"/>
  <c r="T1602" i="1"/>
  <c r="S1602" i="1"/>
  <c r="R1602" i="1"/>
  <c r="Q1602" i="1"/>
  <c r="P1602" i="1"/>
  <c r="T1601" i="1"/>
  <c r="S1601" i="1"/>
  <c r="R1601" i="1"/>
  <c r="Q1601" i="1"/>
  <c r="P1601" i="1"/>
  <c r="T1600" i="1"/>
  <c r="S1600" i="1"/>
  <c r="R1600" i="1"/>
  <c r="Q1600" i="1"/>
  <c r="P1600" i="1"/>
  <c r="T1599" i="1"/>
  <c r="S1599" i="1"/>
  <c r="R1599" i="1"/>
  <c r="Q1599" i="1"/>
  <c r="P1599" i="1"/>
  <c r="T1598" i="1"/>
  <c r="S1598" i="1"/>
  <c r="R1598" i="1"/>
  <c r="Q1598" i="1"/>
  <c r="P1598" i="1"/>
  <c r="T1597" i="1"/>
  <c r="S1597" i="1"/>
  <c r="R1597" i="1"/>
  <c r="Q1597" i="1"/>
  <c r="P1597" i="1"/>
  <c r="T1596" i="1"/>
  <c r="S1596" i="1"/>
  <c r="R1596" i="1"/>
  <c r="Q1596" i="1"/>
  <c r="P1596" i="1"/>
  <c r="T1595" i="1"/>
  <c r="S1595" i="1"/>
  <c r="R1595" i="1"/>
  <c r="Q1595" i="1"/>
  <c r="P1595" i="1"/>
  <c r="T1594" i="1"/>
  <c r="S1594" i="1"/>
  <c r="R1594" i="1"/>
  <c r="Q1594" i="1"/>
  <c r="P1594" i="1"/>
  <c r="T1593" i="1"/>
  <c r="S1593" i="1"/>
  <c r="R1593" i="1"/>
  <c r="Q1593" i="1"/>
  <c r="P1593" i="1"/>
  <c r="T1592" i="1"/>
  <c r="S1592" i="1"/>
  <c r="R1592" i="1"/>
  <c r="Q1592" i="1"/>
  <c r="P1592" i="1"/>
  <c r="T1591" i="1"/>
  <c r="S1591" i="1"/>
  <c r="R1591" i="1"/>
  <c r="Q1591" i="1"/>
  <c r="P1591" i="1"/>
  <c r="T1590" i="1"/>
  <c r="S1590" i="1"/>
  <c r="R1590" i="1"/>
  <c r="Q1590" i="1"/>
  <c r="P1590" i="1"/>
  <c r="T1589" i="1"/>
  <c r="S1589" i="1"/>
  <c r="R1589" i="1"/>
  <c r="Q1589" i="1"/>
  <c r="P1589" i="1"/>
  <c r="T1588" i="1"/>
  <c r="S1588" i="1"/>
  <c r="R1588" i="1"/>
  <c r="Q1588" i="1"/>
  <c r="P1588" i="1"/>
  <c r="T1587" i="1"/>
  <c r="S1587" i="1"/>
  <c r="R1587" i="1"/>
  <c r="Q1587" i="1"/>
  <c r="P1587" i="1"/>
  <c r="T1586" i="1"/>
  <c r="S1586" i="1"/>
  <c r="R1586" i="1"/>
  <c r="Q1586" i="1"/>
  <c r="P1586" i="1"/>
  <c r="T1585" i="1"/>
  <c r="S1585" i="1"/>
  <c r="R1585" i="1"/>
  <c r="Q1585" i="1"/>
  <c r="P1585" i="1"/>
  <c r="T1584" i="1"/>
  <c r="S1584" i="1"/>
  <c r="R1584" i="1"/>
  <c r="Q1584" i="1"/>
  <c r="P1584" i="1"/>
  <c r="T1583" i="1"/>
  <c r="S1583" i="1"/>
  <c r="R1583" i="1"/>
  <c r="Q1583" i="1"/>
  <c r="P1583" i="1"/>
  <c r="T1582" i="1"/>
  <c r="S1582" i="1"/>
  <c r="R1582" i="1"/>
  <c r="Q1582" i="1"/>
  <c r="P1582" i="1"/>
  <c r="T1581" i="1"/>
  <c r="S1581" i="1"/>
  <c r="R1581" i="1"/>
  <c r="Q1581" i="1"/>
  <c r="P1581" i="1"/>
  <c r="T1580" i="1"/>
  <c r="S1580" i="1"/>
  <c r="R1580" i="1"/>
  <c r="Q1580" i="1"/>
  <c r="P1580" i="1"/>
  <c r="T1579" i="1"/>
  <c r="S1579" i="1"/>
  <c r="R1579" i="1"/>
  <c r="Q1579" i="1"/>
  <c r="P1579" i="1"/>
  <c r="T1578" i="1"/>
  <c r="S1578" i="1"/>
  <c r="R1578" i="1"/>
  <c r="Q1578" i="1"/>
  <c r="P1578" i="1"/>
  <c r="T1577" i="1"/>
  <c r="S1577" i="1"/>
  <c r="R1577" i="1"/>
  <c r="Q1577" i="1"/>
  <c r="P1577" i="1"/>
  <c r="T1576" i="1"/>
  <c r="S1576" i="1"/>
  <c r="R1576" i="1"/>
  <c r="Q1576" i="1"/>
  <c r="P1576" i="1"/>
  <c r="T1575" i="1"/>
  <c r="S1575" i="1"/>
  <c r="R1575" i="1"/>
  <c r="Q1575" i="1"/>
  <c r="P1575" i="1"/>
  <c r="T1574" i="1"/>
  <c r="S1574" i="1"/>
  <c r="R1574" i="1"/>
  <c r="Q1574" i="1"/>
  <c r="P1574" i="1"/>
  <c r="T1573" i="1"/>
  <c r="S1573" i="1"/>
  <c r="R1573" i="1"/>
  <c r="Q1573" i="1"/>
  <c r="P1573" i="1"/>
  <c r="T1572" i="1"/>
  <c r="S1572" i="1"/>
  <c r="R1572" i="1"/>
  <c r="Q1572" i="1"/>
  <c r="P1572" i="1"/>
  <c r="T1571" i="1"/>
  <c r="S1571" i="1"/>
  <c r="R1571" i="1"/>
  <c r="Q1571" i="1"/>
  <c r="P1571" i="1"/>
  <c r="T1570" i="1"/>
  <c r="S1570" i="1"/>
  <c r="R1570" i="1"/>
  <c r="Q1570" i="1"/>
  <c r="P1570" i="1"/>
  <c r="T1569" i="1"/>
  <c r="S1569" i="1"/>
  <c r="R1569" i="1"/>
  <c r="Q1569" i="1"/>
  <c r="P1569" i="1"/>
  <c r="T1568" i="1"/>
  <c r="S1568" i="1"/>
  <c r="R1568" i="1"/>
  <c r="Q1568" i="1"/>
  <c r="P1568" i="1"/>
  <c r="T1567" i="1"/>
  <c r="S1567" i="1"/>
  <c r="R1567" i="1"/>
  <c r="Q1567" i="1"/>
  <c r="P1567" i="1"/>
  <c r="T1566" i="1"/>
  <c r="S1566" i="1"/>
  <c r="R1566" i="1"/>
  <c r="Q1566" i="1"/>
  <c r="P1566" i="1"/>
  <c r="T1565" i="1"/>
  <c r="S1565" i="1"/>
  <c r="R1565" i="1"/>
  <c r="Q1565" i="1"/>
  <c r="P1565" i="1"/>
  <c r="T1564" i="1"/>
  <c r="S1564" i="1"/>
  <c r="R1564" i="1"/>
  <c r="Q1564" i="1"/>
  <c r="P1564" i="1"/>
  <c r="T1563" i="1"/>
  <c r="S1563" i="1"/>
  <c r="R1563" i="1"/>
  <c r="Q1563" i="1"/>
  <c r="P1563" i="1"/>
  <c r="T1562" i="1"/>
  <c r="S1562" i="1"/>
  <c r="R1562" i="1"/>
  <c r="Q1562" i="1"/>
  <c r="P1562" i="1"/>
  <c r="T1561" i="1"/>
  <c r="S1561" i="1"/>
  <c r="R1561" i="1"/>
  <c r="Q1561" i="1"/>
  <c r="P1561" i="1"/>
  <c r="T1560" i="1"/>
  <c r="S1560" i="1"/>
  <c r="R1560" i="1"/>
  <c r="Q1560" i="1"/>
  <c r="P1560" i="1"/>
  <c r="T1559" i="1"/>
  <c r="S1559" i="1"/>
  <c r="R1559" i="1"/>
  <c r="Q1559" i="1"/>
  <c r="P1559" i="1"/>
  <c r="T1558" i="1"/>
  <c r="S1558" i="1"/>
  <c r="R1558" i="1"/>
  <c r="Q1558" i="1"/>
  <c r="P1558" i="1"/>
  <c r="T1557" i="1"/>
  <c r="S1557" i="1"/>
  <c r="R1557" i="1"/>
  <c r="Q1557" i="1"/>
  <c r="P1557" i="1"/>
  <c r="T1556" i="1"/>
  <c r="S1556" i="1"/>
  <c r="R1556" i="1"/>
  <c r="Q1556" i="1"/>
  <c r="P1556" i="1"/>
  <c r="T1555" i="1"/>
  <c r="S1555" i="1"/>
  <c r="R1555" i="1"/>
  <c r="Q1555" i="1"/>
  <c r="P1555" i="1"/>
  <c r="T1554" i="1"/>
  <c r="S1554" i="1"/>
  <c r="R1554" i="1"/>
  <c r="Q1554" i="1"/>
  <c r="P1554" i="1"/>
  <c r="T1553" i="1"/>
  <c r="S1553" i="1"/>
  <c r="R1553" i="1"/>
  <c r="Q1553" i="1"/>
  <c r="P1553" i="1"/>
  <c r="T1552" i="1"/>
  <c r="S1552" i="1"/>
  <c r="R1552" i="1"/>
  <c r="Q1552" i="1"/>
  <c r="P1552" i="1"/>
  <c r="T1551" i="1"/>
  <c r="S1551" i="1"/>
  <c r="R1551" i="1"/>
  <c r="Q1551" i="1"/>
  <c r="P1551" i="1"/>
  <c r="T1550" i="1"/>
  <c r="S1550" i="1"/>
  <c r="R1550" i="1"/>
  <c r="Q1550" i="1"/>
  <c r="P1550" i="1"/>
  <c r="T1549" i="1"/>
  <c r="S1549" i="1"/>
  <c r="R1549" i="1"/>
  <c r="Q1549" i="1"/>
  <c r="P1549" i="1"/>
  <c r="T1548" i="1"/>
  <c r="S1548" i="1"/>
  <c r="R1548" i="1"/>
  <c r="Q1548" i="1"/>
  <c r="P1548" i="1"/>
  <c r="T1547" i="1"/>
  <c r="S1547" i="1"/>
  <c r="R1547" i="1"/>
  <c r="Q1547" i="1"/>
  <c r="P1547" i="1"/>
  <c r="T1546" i="1"/>
  <c r="S1546" i="1"/>
  <c r="R1546" i="1"/>
  <c r="Q1546" i="1"/>
  <c r="P1546" i="1"/>
  <c r="T1545" i="1"/>
  <c r="S1545" i="1"/>
  <c r="R1545" i="1"/>
  <c r="Q1545" i="1"/>
  <c r="P1545" i="1"/>
  <c r="T1544" i="1"/>
  <c r="S1544" i="1"/>
  <c r="R1544" i="1"/>
  <c r="Q1544" i="1"/>
  <c r="P1544" i="1"/>
  <c r="T1543" i="1"/>
  <c r="S1543" i="1"/>
  <c r="R1543" i="1"/>
  <c r="Q1543" i="1"/>
  <c r="P1543" i="1"/>
  <c r="T1542" i="1"/>
  <c r="S1542" i="1"/>
  <c r="R1542" i="1"/>
  <c r="Q1542" i="1"/>
  <c r="P1542" i="1"/>
  <c r="T1541" i="1"/>
  <c r="S1541" i="1"/>
  <c r="R1541" i="1"/>
  <c r="Q1541" i="1"/>
  <c r="P1541" i="1"/>
  <c r="T1540" i="1"/>
  <c r="S1540" i="1"/>
  <c r="R1540" i="1"/>
  <c r="Q1540" i="1"/>
  <c r="P1540" i="1"/>
  <c r="T1539" i="1"/>
  <c r="S1539" i="1"/>
  <c r="R1539" i="1"/>
  <c r="Q1539" i="1"/>
  <c r="P1539" i="1"/>
  <c r="T1538" i="1"/>
  <c r="S1538" i="1"/>
  <c r="R1538" i="1"/>
  <c r="Q1538" i="1"/>
  <c r="P1538" i="1"/>
  <c r="T1537" i="1"/>
  <c r="S1537" i="1"/>
  <c r="R1537" i="1"/>
  <c r="Q1537" i="1"/>
  <c r="P1537" i="1"/>
  <c r="T1536" i="1"/>
  <c r="S1536" i="1"/>
  <c r="R1536" i="1"/>
  <c r="Q1536" i="1"/>
  <c r="P1536" i="1"/>
  <c r="T1535" i="1"/>
  <c r="S1535" i="1"/>
  <c r="R1535" i="1"/>
  <c r="Q1535" i="1"/>
  <c r="P1535" i="1"/>
  <c r="T1534" i="1"/>
  <c r="S1534" i="1"/>
  <c r="R1534" i="1"/>
  <c r="Q1534" i="1"/>
  <c r="P1534" i="1"/>
  <c r="T1533" i="1"/>
  <c r="S1533" i="1"/>
  <c r="R1533" i="1"/>
  <c r="Q1533" i="1"/>
  <c r="P1533" i="1"/>
  <c r="T1532" i="1"/>
  <c r="S1532" i="1"/>
  <c r="R1532" i="1"/>
  <c r="Q1532" i="1"/>
  <c r="P1532" i="1"/>
  <c r="T1531" i="1"/>
  <c r="S1531" i="1"/>
  <c r="R1531" i="1"/>
  <c r="Q1531" i="1"/>
  <c r="P1531" i="1"/>
  <c r="T1530" i="1"/>
  <c r="S1530" i="1"/>
  <c r="R1530" i="1"/>
  <c r="Q1530" i="1"/>
  <c r="P1530" i="1"/>
  <c r="T1529" i="1"/>
  <c r="S1529" i="1"/>
  <c r="R1529" i="1"/>
  <c r="Q1529" i="1"/>
  <c r="P1529" i="1"/>
  <c r="T1528" i="1"/>
  <c r="S1528" i="1"/>
  <c r="R1528" i="1"/>
  <c r="Q1528" i="1"/>
  <c r="P1528" i="1"/>
  <c r="T1527" i="1"/>
  <c r="S1527" i="1"/>
  <c r="R1527" i="1"/>
  <c r="Q1527" i="1"/>
  <c r="P1527" i="1"/>
  <c r="T1526" i="1"/>
  <c r="S1526" i="1"/>
  <c r="R1526" i="1"/>
  <c r="Q1526" i="1"/>
  <c r="P1526" i="1"/>
  <c r="T1525" i="1"/>
  <c r="S1525" i="1"/>
  <c r="R1525" i="1"/>
  <c r="Q1525" i="1"/>
  <c r="P1525" i="1"/>
  <c r="T1524" i="1"/>
  <c r="S1524" i="1"/>
  <c r="R1524" i="1"/>
  <c r="Q1524" i="1"/>
  <c r="P1524" i="1"/>
  <c r="T1523" i="1"/>
  <c r="S1523" i="1"/>
  <c r="R1523" i="1"/>
  <c r="Q1523" i="1"/>
  <c r="P1523" i="1"/>
  <c r="T1522" i="1"/>
  <c r="S1522" i="1"/>
  <c r="R1522" i="1"/>
  <c r="Q1522" i="1"/>
  <c r="P1522" i="1"/>
  <c r="T1521" i="1"/>
  <c r="S1521" i="1"/>
  <c r="R1521" i="1"/>
  <c r="Q1521" i="1"/>
  <c r="P1521" i="1"/>
  <c r="T1520" i="1"/>
  <c r="S1520" i="1"/>
  <c r="R1520" i="1"/>
  <c r="Q1520" i="1"/>
  <c r="P1520" i="1"/>
  <c r="T1519" i="1"/>
  <c r="S1519" i="1"/>
  <c r="R1519" i="1"/>
  <c r="Q1519" i="1"/>
  <c r="P1519" i="1"/>
  <c r="T1518" i="1"/>
  <c r="S1518" i="1"/>
  <c r="R1518" i="1"/>
  <c r="Q1518" i="1"/>
  <c r="P1518" i="1"/>
  <c r="T1517" i="1"/>
  <c r="S1517" i="1"/>
  <c r="R1517" i="1"/>
  <c r="Q1517" i="1"/>
  <c r="P1517" i="1"/>
  <c r="T1516" i="1"/>
  <c r="S1516" i="1"/>
  <c r="R1516" i="1"/>
  <c r="Q1516" i="1"/>
  <c r="P1516" i="1"/>
  <c r="T1515" i="1"/>
  <c r="S1515" i="1"/>
  <c r="R1515" i="1"/>
  <c r="Q1515" i="1"/>
  <c r="P1515" i="1"/>
  <c r="T1514" i="1"/>
  <c r="S1514" i="1"/>
  <c r="R1514" i="1"/>
  <c r="Q1514" i="1"/>
  <c r="P1514" i="1"/>
  <c r="T1513" i="1"/>
  <c r="S1513" i="1"/>
  <c r="R1513" i="1"/>
  <c r="Q1513" i="1"/>
  <c r="P1513" i="1"/>
  <c r="T1512" i="1"/>
  <c r="S1512" i="1"/>
  <c r="R1512" i="1"/>
  <c r="Q1512" i="1"/>
  <c r="P1512" i="1"/>
  <c r="T1511" i="1"/>
  <c r="S1511" i="1"/>
  <c r="R1511" i="1"/>
  <c r="Q1511" i="1"/>
  <c r="P1511" i="1"/>
  <c r="T1510" i="1"/>
  <c r="S1510" i="1"/>
  <c r="R1510" i="1"/>
  <c r="Q1510" i="1"/>
  <c r="P1510" i="1"/>
  <c r="T1509" i="1"/>
  <c r="S1509" i="1"/>
  <c r="R1509" i="1"/>
  <c r="Q1509" i="1"/>
  <c r="P1509" i="1"/>
  <c r="T1508" i="1"/>
  <c r="S1508" i="1"/>
  <c r="R1508" i="1"/>
  <c r="Q1508" i="1"/>
  <c r="P1508" i="1"/>
  <c r="T1507" i="1"/>
  <c r="S1507" i="1"/>
  <c r="R1507" i="1"/>
  <c r="Q1507" i="1"/>
  <c r="P1507" i="1"/>
  <c r="T1506" i="1"/>
  <c r="S1506" i="1"/>
  <c r="R1506" i="1"/>
  <c r="Q1506" i="1"/>
  <c r="P1506" i="1"/>
  <c r="T1505" i="1"/>
  <c r="S1505" i="1"/>
  <c r="R1505" i="1"/>
  <c r="Q1505" i="1"/>
  <c r="P1505" i="1"/>
  <c r="T1504" i="1"/>
  <c r="S1504" i="1"/>
  <c r="R1504" i="1"/>
  <c r="Q1504" i="1"/>
  <c r="P1504" i="1"/>
  <c r="T1503" i="1"/>
  <c r="S1503" i="1"/>
  <c r="R1503" i="1"/>
  <c r="Q1503" i="1"/>
  <c r="P1503" i="1"/>
  <c r="T1502" i="1"/>
  <c r="S1502" i="1"/>
  <c r="R1502" i="1"/>
  <c r="Q1502" i="1"/>
  <c r="P1502" i="1"/>
  <c r="T1501" i="1"/>
  <c r="S1501" i="1"/>
  <c r="R1501" i="1"/>
  <c r="Q1501" i="1"/>
  <c r="P1501" i="1"/>
  <c r="T1500" i="1"/>
  <c r="S1500" i="1"/>
  <c r="R1500" i="1"/>
  <c r="Q1500" i="1"/>
  <c r="P1500" i="1"/>
  <c r="T1499" i="1"/>
  <c r="S1499" i="1"/>
  <c r="R1499" i="1"/>
  <c r="Q1499" i="1"/>
  <c r="P1499" i="1"/>
  <c r="T1498" i="1"/>
  <c r="S1498" i="1"/>
  <c r="R1498" i="1"/>
  <c r="Q1498" i="1"/>
  <c r="P1498" i="1"/>
  <c r="T1497" i="1"/>
  <c r="S1497" i="1"/>
  <c r="R1497" i="1"/>
  <c r="Q1497" i="1"/>
  <c r="P1497" i="1"/>
  <c r="T1496" i="1"/>
  <c r="S1496" i="1"/>
  <c r="R1496" i="1"/>
  <c r="Q1496" i="1"/>
  <c r="P1496" i="1"/>
  <c r="T1495" i="1"/>
  <c r="S1495" i="1"/>
  <c r="R1495" i="1"/>
  <c r="Q1495" i="1"/>
  <c r="P1495" i="1"/>
  <c r="T1494" i="1"/>
  <c r="S1494" i="1"/>
  <c r="R1494" i="1"/>
  <c r="Q1494" i="1"/>
  <c r="P1494" i="1"/>
  <c r="T1493" i="1"/>
  <c r="S1493" i="1"/>
  <c r="R1493" i="1"/>
  <c r="Q1493" i="1"/>
  <c r="P1493" i="1"/>
  <c r="T1492" i="1"/>
  <c r="S1492" i="1"/>
  <c r="R1492" i="1"/>
  <c r="Q1492" i="1"/>
  <c r="P1492" i="1"/>
  <c r="T1491" i="1"/>
  <c r="S1491" i="1"/>
  <c r="R1491" i="1"/>
  <c r="Q1491" i="1"/>
  <c r="P1491" i="1"/>
  <c r="T1490" i="1"/>
  <c r="S1490" i="1"/>
  <c r="R1490" i="1"/>
  <c r="Q1490" i="1"/>
  <c r="P1490" i="1"/>
  <c r="T1489" i="1"/>
  <c r="S1489" i="1"/>
  <c r="R1489" i="1"/>
  <c r="Q1489" i="1"/>
  <c r="P1489" i="1"/>
  <c r="T1488" i="1"/>
  <c r="S1488" i="1"/>
  <c r="R1488" i="1"/>
  <c r="Q1488" i="1"/>
  <c r="P1488" i="1"/>
  <c r="T1487" i="1"/>
  <c r="S1487" i="1"/>
  <c r="R1487" i="1"/>
  <c r="Q1487" i="1"/>
  <c r="P1487" i="1"/>
  <c r="T1486" i="1"/>
  <c r="S1486" i="1"/>
  <c r="R1486" i="1"/>
  <c r="Q1486" i="1"/>
  <c r="P1486" i="1"/>
  <c r="T1485" i="1"/>
  <c r="S1485" i="1"/>
  <c r="R1485" i="1"/>
  <c r="Q1485" i="1"/>
  <c r="P1485" i="1"/>
  <c r="T1484" i="1"/>
  <c r="S1484" i="1"/>
  <c r="R1484" i="1"/>
  <c r="Q1484" i="1"/>
  <c r="P1484" i="1"/>
  <c r="T1483" i="1"/>
  <c r="S1483" i="1"/>
  <c r="R1483" i="1"/>
  <c r="Q1483" i="1"/>
  <c r="P1483" i="1"/>
  <c r="T1482" i="1"/>
  <c r="S1482" i="1"/>
  <c r="R1482" i="1"/>
  <c r="Q1482" i="1"/>
  <c r="P1482" i="1"/>
  <c r="T1481" i="1"/>
  <c r="S1481" i="1"/>
  <c r="R1481" i="1"/>
  <c r="Q1481" i="1"/>
  <c r="P1481" i="1"/>
  <c r="T1480" i="1"/>
  <c r="S1480" i="1"/>
  <c r="R1480" i="1"/>
  <c r="Q1480" i="1"/>
  <c r="P1480" i="1"/>
  <c r="T1479" i="1"/>
  <c r="S1479" i="1"/>
  <c r="R1479" i="1"/>
  <c r="Q1479" i="1"/>
  <c r="P1479" i="1"/>
  <c r="T1478" i="1"/>
  <c r="S1478" i="1"/>
  <c r="R1478" i="1"/>
  <c r="Q1478" i="1"/>
  <c r="P1478" i="1"/>
  <c r="T1477" i="1"/>
  <c r="S1477" i="1"/>
  <c r="R1477" i="1"/>
  <c r="Q1477" i="1"/>
  <c r="P1477" i="1"/>
  <c r="T1476" i="1"/>
  <c r="S1476" i="1"/>
  <c r="R1476" i="1"/>
  <c r="Q1476" i="1"/>
  <c r="P1476" i="1"/>
  <c r="T1475" i="1"/>
  <c r="S1475" i="1"/>
  <c r="R1475" i="1"/>
  <c r="Q1475" i="1"/>
  <c r="P1475" i="1"/>
  <c r="T1474" i="1"/>
  <c r="S1474" i="1"/>
  <c r="R1474" i="1"/>
  <c r="Q1474" i="1"/>
  <c r="P1474" i="1"/>
  <c r="T1473" i="1"/>
  <c r="S1473" i="1"/>
  <c r="R1473" i="1"/>
  <c r="Q1473" i="1"/>
  <c r="P1473" i="1"/>
  <c r="T1472" i="1"/>
  <c r="S1472" i="1"/>
  <c r="R1472" i="1"/>
  <c r="Q1472" i="1"/>
  <c r="P1472" i="1"/>
  <c r="T1471" i="1"/>
  <c r="S1471" i="1"/>
  <c r="R1471" i="1"/>
  <c r="Q1471" i="1"/>
  <c r="P1471" i="1"/>
  <c r="T1470" i="1"/>
  <c r="S1470" i="1"/>
  <c r="R1470" i="1"/>
  <c r="Q1470" i="1"/>
  <c r="P1470" i="1"/>
  <c r="T1469" i="1"/>
  <c r="S1469" i="1"/>
  <c r="R1469" i="1"/>
  <c r="Q1469" i="1"/>
  <c r="P1469" i="1"/>
  <c r="T1468" i="1"/>
  <c r="S1468" i="1"/>
  <c r="R1468" i="1"/>
  <c r="Q1468" i="1"/>
  <c r="P1468" i="1"/>
  <c r="T1467" i="1"/>
  <c r="S1467" i="1"/>
  <c r="R1467" i="1"/>
  <c r="Q1467" i="1"/>
  <c r="P1467" i="1"/>
  <c r="T1466" i="1"/>
  <c r="S1466" i="1"/>
  <c r="R1466" i="1"/>
  <c r="Q1466" i="1"/>
  <c r="P1466" i="1"/>
  <c r="T1465" i="1"/>
  <c r="S1465" i="1"/>
  <c r="R1465" i="1"/>
  <c r="Q1465" i="1"/>
  <c r="P1465" i="1"/>
  <c r="T1464" i="1"/>
  <c r="S1464" i="1"/>
  <c r="R1464" i="1"/>
  <c r="Q1464" i="1"/>
  <c r="P1464" i="1"/>
  <c r="T1463" i="1"/>
  <c r="S1463" i="1"/>
  <c r="R1463" i="1"/>
  <c r="Q1463" i="1"/>
  <c r="P1463" i="1"/>
  <c r="T1462" i="1"/>
  <c r="S1462" i="1"/>
  <c r="R1462" i="1"/>
  <c r="Q1462" i="1"/>
  <c r="P1462" i="1"/>
  <c r="T1461" i="1"/>
  <c r="S1461" i="1"/>
  <c r="R1461" i="1"/>
  <c r="Q1461" i="1"/>
  <c r="P1461" i="1"/>
  <c r="T1460" i="1"/>
  <c r="S1460" i="1"/>
  <c r="R1460" i="1"/>
  <c r="Q1460" i="1"/>
  <c r="P1460" i="1"/>
  <c r="T1459" i="1"/>
  <c r="S1459" i="1"/>
  <c r="R1459" i="1"/>
  <c r="Q1459" i="1"/>
  <c r="P1459" i="1"/>
  <c r="T1458" i="1"/>
  <c r="S1458" i="1"/>
  <c r="R1458" i="1"/>
  <c r="Q1458" i="1"/>
  <c r="P1458" i="1"/>
  <c r="T1457" i="1"/>
  <c r="S1457" i="1"/>
  <c r="R1457" i="1"/>
  <c r="Q1457" i="1"/>
  <c r="P1457" i="1"/>
  <c r="T1456" i="1"/>
  <c r="S1456" i="1"/>
  <c r="R1456" i="1"/>
  <c r="Q1456" i="1"/>
  <c r="P1456" i="1"/>
  <c r="T1455" i="1"/>
  <c r="S1455" i="1"/>
  <c r="R1455" i="1"/>
  <c r="Q1455" i="1"/>
  <c r="P1455" i="1"/>
  <c r="T1454" i="1"/>
  <c r="S1454" i="1"/>
  <c r="R1454" i="1"/>
  <c r="Q1454" i="1"/>
  <c r="P1454" i="1"/>
  <c r="T1453" i="1"/>
  <c r="S1453" i="1"/>
  <c r="R1453" i="1"/>
  <c r="Q1453" i="1"/>
  <c r="P1453" i="1"/>
  <c r="T1452" i="1"/>
  <c r="S1452" i="1"/>
  <c r="R1452" i="1"/>
  <c r="Q1452" i="1"/>
  <c r="P1452" i="1"/>
  <c r="T1451" i="1"/>
  <c r="S1451" i="1"/>
  <c r="R1451" i="1"/>
  <c r="Q1451" i="1"/>
  <c r="P1451" i="1"/>
  <c r="T1450" i="1"/>
  <c r="S1450" i="1"/>
  <c r="R1450" i="1"/>
  <c r="Q1450" i="1"/>
  <c r="P1450" i="1"/>
  <c r="T1449" i="1"/>
  <c r="S1449" i="1"/>
  <c r="R1449" i="1"/>
  <c r="Q1449" i="1"/>
  <c r="P1449" i="1"/>
  <c r="T1448" i="1"/>
  <c r="S1448" i="1"/>
  <c r="R1448" i="1"/>
  <c r="Q1448" i="1"/>
  <c r="P1448" i="1"/>
  <c r="T1447" i="1"/>
  <c r="S1447" i="1"/>
  <c r="R1447" i="1"/>
  <c r="Q1447" i="1"/>
  <c r="P1447" i="1"/>
  <c r="T1446" i="1"/>
  <c r="S1446" i="1"/>
  <c r="R1446" i="1"/>
  <c r="Q1446" i="1"/>
  <c r="P1446" i="1"/>
  <c r="T1445" i="1"/>
  <c r="S1445" i="1"/>
  <c r="R1445" i="1"/>
  <c r="Q1445" i="1"/>
  <c r="P1445" i="1"/>
  <c r="T1444" i="1"/>
  <c r="S1444" i="1"/>
  <c r="R1444" i="1"/>
  <c r="Q1444" i="1"/>
  <c r="P1444" i="1"/>
  <c r="T1443" i="1"/>
  <c r="S1443" i="1"/>
  <c r="R1443" i="1"/>
  <c r="Q1443" i="1"/>
  <c r="P1443" i="1"/>
  <c r="T1442" i="1"/>
  <c r="S1442" i="1"/>
  <c r="R1442" i="1"/>
  <c r="Q1442" i="1"/>
  <c r="P1442" i="1"/>
  <c r="T1441" i="1"/>
  <c r="S1441" i="1"/>
  <c r="R1441" i="1"/>
  <c r="Q1441" i="1"/>
  <c r="P1441" i="1"/>
  <c r="T1440" i="1"/>
  <c r="S1440" i="1"/>
  <c r="R1440" i="1"/>
  <c r="Q1440" i="1"/>
  <c r="P1440" i="1"/>
  <c r="T1439" i="1"/>
  <c r="S1439" i="1"/>
  <c r="R1439" i="1"/>
  <c r="Q1439" i="1"/>
  <c r="P1439" i="1"/>
  <c r="T1438" i="1"/>
  <c r="S1438" i="1"/>
  <c r="R1438" i="1"/>
  <c r="Q1438" i="1"/>
  <c r="P1438" i="1"/>
  <c r="T1437" i="1"/>
  <c r="S1437" i="1"/>
  <c r="R1437" i="1"/>
  <c r="Q1437" i="1"/>
  <c r="P1437" i="1"/>
  <c r="T1436" i="1"/>
  <c r="S1436" i="1"/>
  <c r="R1436" i="1"/>
  <c r="Q1436" i="1"/>
  <c r="P1436" i="1"/>
  <c r="T1435" i="1"/>
  <c r="S1435" i="1"/>
  <c r="R1435" i="1"/>
  <c r="Q1435" i="1"/>
  <c r="P1435" i="1"/>
  <c r="T1434" i="1"/>
  <c r="S1434" i="1"/>
  <c r="R1434" i="1"/>
  <c r="Q1434" i="1"/>
  <c r="P1434" i="1"/>
  <c r="T1433" i="1"/>
  <c r="S1433" i="1"/>
  <c r="R1433" i="1"/>
  <c r="Q1433" i="1"/>
  <c r="P1433" i="1"/>
  <c r="T1432" i="1"/>
  <c r="S1432" i="1"/>
  <c r="R1432" i="1"/>
  <c r="Q1432" i="1"/>
  <c r="P1432" i="1"/>
  <c r="T1431" i="1"/>
  <c r="S1431" i="1"/>
  <c r="R1431" i="1"/>
  <c r="Q1431" i="1"/>
  <c r="P1431" i="1"/>
  <c r="T1430" i="1"/>
  <c r="S1430" i="1"/>
  <c r="R1430" i="1"/>
  <c r="Q1430" i="1"/>
  <c r="P1430" i="1"/>
  <c r="T1429" i="1"/>
  <c r="S1429" i="1"/>
  <c r="R1429" i="1"/>
  <c r="Q1429" i="1"/>
  <c r="P1429" i="1"/>
  <c r="T1428" i="1"/>
  <c r="S1428" i="1"/>
  <c r="R1428" i="1"/>
  <c r="Q1428" i="1"/>
  <c r="P1428" i="1"/>
  <c r="T1427" i="1"/>
  <c r="S1427" i="1"/>
  <c r="R1427" i="1"/>
  <c r="Q1427" i="1"/>
  <c r="P1427" i="1"/>
  <c r="T1426" i="1"/>
  <c r="S1426" i="1"/>
  <c r="R1426" i="1"/>
  <c r="Q1426" i="1"/>
  <c r="P1426" i="1"/>
  <c r="T1425" i="1"/>
  <c r="S1425" i="1"/>
  <c r="R1425" i="1"/>
  <c r="Q1425" i="1"/>
  <c r="P1425" i="1"/>
  <c r="T1424" i="1"/>
  <c r="S1424" i="1"/>
  <c r="R1424" i="1"/>
  <c r="Q1424" i="1"/>
  <c r="P1424" i="1"/>
  <c r="T1423" i="1"/>
  <c r="S1423" i="1"/>
  <c r="R1423" i="1"/>
  <c r="Q1423" i="1"/>
  <c r="P1423" i="1"/>
  <c r="T1422" i="1"/>
  <c r="S1422" i="1"/>
  <c r="R1422" i="1"/>
  <c r="Q1422" i="1"/>
  <c r="P1422" i="1"/>
  <c r="T1421" i="1"/>
  <c r="S1421" i="1"/>
  <c r="R1421" i="1"/>
  <c r="Q1421" i="1"/>
  <c r="P1421" i="1"/>
  <c r="T1420" i="1"/>
  <c r="S1420" i="1"/>
  <c r="R1420" i="1"/>
  <c r="Q1420" i="1"/>
  <c r="P1420" i="1"/>
  <c r="T1419" i="1"/>
  <c r="S1419" i="1"/>
  <c r="R1419" i="1"/>
  <c r="Q1419" i="1"/>
  <c r="P1419" i="1"/>
  <c r="T1418" i="1"/>
  <c r="S1418" i="1"/>
  <c r="R1418" i="1"/>
  <c r="Q1418" i="1"/>
  <c r="P1418" i="1"/>
  <c r="T1417" i="1"/>
  <c r="S1417" i="1"/>
  <c r="R1417" i="1"/>
  <c r="Q1417" i="1"/>
  <c r="P1417" i="1"/>
  <c r="T1416" i="1"/>
  <c r="S1416" i="1"/>
  <c r="R1416" i="1"/>
  <c r="Q1416" i="1"/>
  <c r="P1416" i="1"/>
  <c r="T1415" i="1"/>
  <c r="S1415" i="1"/>
  <c r="R1415" i="1"/>
  <c r="Q1415" i="1"/>
  <c r="P1415" i="1"/>
  <c r="T1414" i="1"/>
  <c r="S1414" i="1"/>
  <c r="R1414" i="1"/>
  <c r="Q1414" i="1"/>
  <c r="P1414" i="1"/>
  <c r="T1413" i="1"/>
  <c r="S1413" i="1"/>
  <c r="R1413" i="1"/>
  <c r="Q1413" i="1"/>
  <c r="P1413" i="1"/>
  <c r="T1412" i="1"/>
  <c r="S1412" i="1"/>
  <c r="R1412" i="1"/>
  <c r="Q1412" i="1"/>
  <c r="P1412" i="1"/>
  <c r="T1411" i="1"/>
  <c r="S1411" i="1"/>
  <c r="R1411" i="1"/>
  <c r="Q1411" i="1"/>
  <c r="P1411" i="1"/>
  <c r="T1410" i="1"/>
  <c r="S1410" i="1"/>
  <c r="R1410" i="1"/>
  <c r="Q1410" i="1"/>
  <c r="P1410" i="1"/>
  <c r="T1409" i="1"/>
  <c r="S1409" i="1"/>
  <c r="R1409" i="1"/>
  <c r="Q1409" i="1"/>
  <c r="P1409" i="1"/>
  <c r="T1408" i="1"/>
  <c r="S1408" i="1"/>
  <c r="R1408" i="1"/>
  <c r="Q1408" i="1"/>
  <c r="P1408" i="1"/>
  <c r="T1407" i="1"/>
  <c r="S1407" i="1"/>
  <c r="R1407" i="1"/>
  <c r="Q1407" i="1"/>
  <c r="P1407" i="1"/>
  <c r="T1406" i="1"/>
  <c r="S1406" i="1"/>
  <c r="R1406" i="1"/>
  <c r="Q1406" i="1"/>
  <c r="P1406" i="1"/>
  <c r="T1405" i="1"/>
  <c r="S1405" i="1"/>
  <c r="R1405" i="1"/>
  <c r="Q1405" i="1"/>
  <c r="P1405" i="1"/>
  <c r="T1404" i="1"/>
  <c r="S1404" i="1"/>
  <c r="R1404" i="1"/>
  <c r="Q1404" i="1"/>
  <c r="P1404" i="1"/>
  <c r="T1403" i="1"/>
  <c r="S1403" i="1"/>
  <c r="R1403" i="1"/>
  <c r="Q1403" i="1"/>
  <c r="P1403" i="1"/>
  <c r="T1402" i="1"/>
  <c r="S1402" i="1"/>
  <c r="R1402" i="1"/>
  <c r="Q1402" i="1"/>
  <c r="P1402" i="1"/>
  <c r="T1401" i="1"/>
  <c r="S1401" i="1"/>
  <c r="R1401" i="1"/>
  <c r="Q1401" i="1"/>
  <c r="P1401" i="1"/>
  <c r="T1400" i="1"/>
  <c r="S1400" i="1"/>
  <c r="R1400" i="1"/>
  <c r="Q1400" i="1"/>
  <c r="P1400" i="1"/>
  <c r="T1399" i="1"/>
  <c r="S1399" i="1"/>
  <c r="R1399" i="1"/>
  <c r="Q1399" i="1"/>
  <c r="P1399" i="1"/>
  <c r="T1398" i="1"/>
  <c r="S1398" i="1"/>
  <c r="R1398" i="1"/>
  <c r="Q1398" i="1"/>
  <c r="P1398" i="1"/>
  <c r="T1397" i="1"/>
  <c r="S1397" i="1"/>
  <c r="R1397" i="1"/>
  <c r="Q1397" i="1"/>
  <c r="P1397" i="1"/>
  <c r="T1396" i="1"/>
  <c r="S1396" i="1"/>
  <c r="R1396" i="1"/>
  <c r="Q1396" i="1"/>
  <c r="P1396" i="1"/>
  <c r="T1395" i="1"/>
  <c r="S1395" i="1"/>
  <c r="R1395" i="1"/>
  <c r="Q1395" i="1"/>
  <c r="P1395" i="1"/>
  <c r="T1394" i="1"/>
  <c r="S1394" i="1"/>
  <c r="R1394" i="1"/>
  <c r="Q1394" i="1"/>
  <c r="P1394" i="1"/>
  <c r="T1393" i="1"/>
  <c r="S1393" i="1"/>
  <c r="R1393" i="1"/>
  <c r="Q1393" i="1"/>
  <c r="P1393" i="1"/>
  <c r="T1392" i="1"/>
  <c r="S1392" i="1"/>
  <c r="R1392" i="1"/>
  <c r="Q1392" i="1"/>
  <c r="P1392" i="1"/>
  <c r="T1391" i="1"/>
  <c r="S1391" i="1"/>
  <c r="R1391" i="1"/>
  <c r="Q1391" i="1"/>
  <c r="P1391" i="1"/>
  <c r="T1390" i="1"/>
  <c r="S1390" i="1"/>
  <c r="R1390" i="1"/>
  <c r="Q1390" i="1"/>
  <c r="P1390" i="1"/>
  <c r="T1389" i="1"/>
  <c r="S1389" i="1"/>
  <c r="R1389" i="1"/>
  <c r="Q1389" i="1"/>
  <c r="P1389" i="1"/>
  <c r="T1388" i="1"/>
  <c r="S1388" i="1"/>
  <c r="R1388" i="1"/>
  <c r="Q1388" i="1"/>
  <c r="P1388" i="1"/>
  <c r="T1387" i="1"/>
  <c r="S1387" i="1"/>
  <c r="R1387" i="1"/>
  <c r="Q1387" i="1"/>
  <c r="P1387" i="1"/>
  <c r="T1386" i="1"/>
  <c r="S1386" i="1"/>
  <c r="R1386" i="1"/>
  <c r="Q1386" i="1"/>
  <c r="P1386" i="1"/>
  <c r="T1385" i="1"/>
  <c r="S1385" i="1"/>
  <c r="R1385" i="1"/>
  <c r="Q1385" i="1"/>
  <c r="P1385" i="1"/>
  <c r="T1384" i="1"/>
  <c r="S1384" i="1"/>
  <c r="R1384" i="1"/>
  <c r="Q1384" i="1"/>
  <c r="P1384" i="1"/>
  <c r="T1383" i="1"/>
  <c r="S1383" i="1"/>
  <c r="R1383" i="1"/>
  <c r="Q1383" i="1"/>
  <c r="P1383" i="1"/>
  <c r="T1382" i="1"/>
  <c r="S1382" i="1"/>
  <c r="R1382" i="1"/>
  <c r="Q1382" i="1"/>
  <c r="P1382" i="1"/>
  <c r="T1381" i="1"/>
  <c r="S1381" i="1"/>
  <c r="R1381" i="1"/>
  <c r="Q1381" i="1"/>
  <c r="P1381" i="1"/>
  <c r="T1380" i="1"/>
  <c r="S1380" i="1"/>
  <c r="R1380" i="1"/>
  <c r="Q1380" i="1"/>
  <c r="P1380" i="1"/>
  <c r="T1379" i="1"/>
  <c r="S1379" i="1"/>
  <c r="R1379" i="1"/>
  <c r="Q1379" i="1"/>
  <c r="P1379" i="1"/>
  <c r="T1378" i="1"/>
  <c r="S1378" i="1"/>
  <c r="R1378" i="1"/>
  <c r="Q1378" i="1"/>
  <c r="P1378" i="1"/>
  <c r="T1377" i="1"/>
  <c r="S1377" i="1"/>
  <c r="R1377" i="1"/>
  <c r="Q1377" i="1"/>
  <c r="P1377" i="1"/>
  <c r="T1376" i="1"/>
  <c r="S1376" i="1"/>
  <c r="R1376" i="1"/>
  <c r="Q1376" i="1"/>
  <c r="P1376" i="1"/>
  <c r="T1375" i="1"/>
  <c r="S1375" i="1"/>
  <c r="R1375" i="1"/>
  <c r="Q1375" i="1"/>
  <c r="P1375" i="1"/>
  <c r="T1374" i="1"/>
  <c r="S1374" i="1"/>
  <c r="R1374" i="1"/>
  <c r="Q1374" i="1"/>
  <c r="P1374" i="1"/>
  <c r="T1373" i="1"/>
  <c r="S1373" i="1"/>
  <c r="R1373" i="1"/>
  <c r="Q1373" i="1"/>
  <c r="P1373" i="1"/>
  <c r="T1372" i="1"/>
  <c r="S1372" i="1"/>
  <c r="R1372" i="1"/>
  <c r="Q1372" i="1"/>
  <c r="P1372" i="1"/>
  <c r="T1371" i="1"/>
  <c r="S1371" i="1"/>
  <c r="R1371" i="1"/>
  <c r="Q1371" i="1"/>
  <c r="P1371" i="1"/>
  <c r="T1370" i="1"/>
  <c r="S1370" i="1"/>
  <c r="R1370" i="1"/>
  <c r="Q1370" i="1"/>
  <c r="P1370" i="1"/>
  <c r="T1369" i="1"/>
  <c r="S1369" i="1"/>
  <c r="R1369" i="1"/>
  <c r="Q1369" i="1"/>
  <c r="P1369" i="1"/>
  <c r="T1368" i="1"/>
  <c r="S1368" i="1"/>
  <c r="R1368" i="1"/>
  <c r="Q1368" i="1"/>
  <c r="P1368" i="1"/>
  <c r="T1367" i="1"/>
  <c r="S1367" i="1"/>
  <c r="R1367" i="1"/>
  <c r="Q1367" i="1"/>
  <c r="P1367" i="1"/>
  <c r="T1366" i="1"/>
  <c r="S1366" i="1"/>
  <c r="R1366" i="1"/>
  <c r="Q1366" i="1"/>
  <c r="P1366" i="1"/>
  <c r="T1365" i="1"/>
  <c r="S1365" i="1"/>
  <c r="R1365" i="1"/>
  <c r="Q1365" i="1"/>
  <c r="P1365" i="1"/>
  <c r="T1364" i="1"/>
  <c r="S1364" i="1"/>
  <c r="R1364" i="1"/>
  <c r="Q1364" i="1"/>
  <c r="P1364" i="1"/>
  <c r="T1363" i="1"/>
  <c r="S1363" i="1"/>
  <c r="R1363" i="1"/>
  <c r="Q1363" i="1"/>
  <c r="P1363" i="1"/>
  <c r="T1362" i="1"/>
  <c r="S1362" i="1"/>
  <c r="R1362" i="1"/>
  <c r="Q1362" i="1"/>
  <c r="P1362" i="1"/>
  <c r="T1361" i="1"/>
  <c r="S1361" i="1"/>
  <c r="R1361" i="1"/>
  <c r="Q1361" i="1"/>
  <c r="P1361" i="1"/>
  <c r="T1360" i="1"/>
  <c r="S1360" i="1"/>
  <c r="R1360" i="1"/>
  <c r="Q1360" i="1"/>
  <c r="P1360" i="1"/>
  <c r="T1359" i="1"/>
  <c r="S1359" i="1"/>
  <c r="R1359" i="1"/>
  <c r="Q1359" i="1"/>
  <c r="P1359" i="1"/>
  <c r="T1358" i="1"/>
  <c r="S1358" i="1"/>
  <c r="R1358" i="1"/>
  <c r="Q1358" i="1"/>
  <c r="P1358" i="1"/>
  <c r="T1357" i="1"/>
  <c r="S1357" i="1"/>
  <c r="R1357" i="1"/>
  <c r="Q1357" i="1"/>
  <c r="P1357" i="1"/>
  <c r="T1356" i="1"/>
  <c r="S1356" i="1"/>
  <c r="R1356" i="1"/>
  <c r="Q1356" i="1"/>
  <c r="P1356" i="1"/>
  <c r="T1355" i="1"/>
  <c r="S1355" i="1"/>
  <c r="R1355" i="1"/>
  <c r="Q1355" i="1"/>
  <c r="P1355" i="1"/>
  <c r="T1354" i="1"/>
  <c r="S1354" i="1"/>
  <c r="R1354" i="1"/>
  <c r="Q1354" i="1"/>
  <c r="P1354" i="1"/>
  <c r="T1353" i="1"/>
  <c r="S1353" i="1"/>
  <c r="R1353" i="1"/>
  <c r="Q1353" i="1"/>
  <c r="P1353" i="1"/>
  <c r="T1352" i="1"/>
  <c r="S1352" i="1"/>
  <c r="R1352" i="1"/>
  <c r="Q1352" i="1"/>
  <c r="P1352" i="1"/>
  <c r="T1351" i="1"/>
  <c r="S1351" i="1"/>
  <c r="R1351" i="1"/>
  <c r="Q1351" i="1"/>
  <c r="P1351" i="1"/>
  <c r="T1350" i="1"/>
  <c r="S1350" i="1"/>
  <c r="R1350" i="1"/>
  <c r="Q1350" i="1"/>
  <c r="P1350" i="1"/>
  <c r="T1349" i="1"/>
  <c r="S1349" i="1"/>
  <c r="R1349" i="1"/>
  <c r="Q1349" i="1"/>
  <c r="P1349" i="1"/>
  <c r="T1348" i="1"/>
  <c r="S1348" i="1"/>
  <c r="R1348" i="1"/>
  <c r="Q1348" i="1"/>
  <c r="P1348" i="1"/>
  <c r="T1347" i="1"/>
  <c r="S1347" i="1"/>
  <c r="R1347" i="1"/>
  <c r="Q1347" i="1"/>
  <c r="P1347" i="1"/>
  <c r="T1346" i="1"/>
  <c r="S1346" i="1"/>
  <c r="R1346" i="1"/>
  <c r="Q1346" i="1"/>
  <c r="P1346" i="1"/>
  <c r="T1345" i="1"/>
  <c r="S1345" i="1"/>
  <c r="R1345" i="1"/>
  <c r="Q1345" i="1"/>
  <c r="P1345" i="1"/>
  <c r="T1344" i="1"/>
  <c r="S1344" i="1"/>
  <c r="R1344" i="1"/>
  <c r="Q1344" i="1"/>
  <c r="P1344" i="1"/>
  <c r="T1343" i="1"/>
  <c r="S1343" i="1"/>
  <c r="R1343" i="1"/>
  <c r="Q1343" i="1"/>
  <c r="P1343" i="1"/>
  <c r="T1342" i="1"/>
  <c r="S1342" i="1"/>
  <c r="R1342" i="1"/>
  <c r="Q1342" i="1"/>
  <c r="P1342" i="1"/>
  <c r="T1341" i="1"/>
  <c r="S1341" i="1"/>
  <c r="R1341" i="1"/>
  <c r="Q1341" i="1"/>
  <c r="P1341" i="1"/>
  <c r="T1340" i="1"/>
  <c r="S1340" i="1"/>
  <c r="R1340" i="1"/>
  <c r="Q1340" i="1"/>
  <c r="P1340" i="1"/>
  <c r="T1339" i="1"/>
  <c r="S1339" i="1"/>
  <c r="R1339" i="1"/>
  <c r="Q1339" i="1"/>
  <c r="P1339" i="1"/>
  <c r="T1338" i="1"/>
  <c r="S1338" i="1"/>
  <c r="R1338" i="1"/>
  <c r="Q1338" i="1"/>
  <c r="P1338" i="1"/>
  <c r="T1337" i="1"/>
  <c r="S1337" i="1"/>
  <c r="R1337" i="1"/>
  <c r="Q1337" i="1"/>
  <c r="P1337" i="1"/>
  <c r="T1336" i="1"/>
  <c r="S1336" i="1"/>
  <c r="R1336" i="1"/>
  <c r="Q1336" i="1"/>
  <c r="P1336" i="1"/>
  <c r="T1335" i="1"/>
  <c r="S1335" i="1"/>
  <c r="R1335" i="1"/>
  <c r="Q1335" i="1"/>
  <c r="P1335" i="1"/>
  <c r="T1334" i="1"/>
  <c r="S1334" i="1"/>
  <c r="R1334" i="1"/>
  <c r="Q1334" i="1"/>
  <c r="P1334" i="1"/>
  <c r="T1333" i="1"/>
  <c r="S1333" i="1"/>
  <c r="R1333" i="1"/>
  <c r="Q1333" i="1"/>
  <c r="P1333" i="1"/>
  <c r="T1332" i="1"/>
  <c r="S1332" i="1"/>
  <c r="R1332" i="1"/>
  <c r="Q1332" i="1"/>
  <c r="P1332" i="1"/>
  <c r="T1331" i="1"/>
  <c r="S1331" i="1"/>
  <c r="R1331" i="1"/>
  <c r="Q1331" i="1"/>
  <c r="P1331" i="1"/>
  <c r="T1330" i="1"/>
  <c r="S1330" i="1"/>
  <c r="R1330" i="1"/>
  <c r="Q1330" i="1"/>
  <c r="P1330" i="1"/>
  <c r="T1329" i="1"/>
  <c r="S1329" i="1"/>
  <c r="R1329" i="1"/>
  <c r="Q1329" i="1"/>
  <c r="P1329" i="1"/>
  <c r="T1328" i="1"/>
  <c r="S1328" i="1"/>
  <c r="R1328" i="1"/>
  <c r="Q1328" i="1"/>
  <c r="P1328" i="1"/>
  <c r="T1327" i="1"/>
  <c r="S1327" i="1"/>
  <c r="R1327" i="1"/>
  <c r="Q1327" i="1"/>
  <c r="P1327" i="1"/>
  <c r="T1326" i="1"/>
  <c r="S1326" i="1"/>
  <c r="R1326" i="1"/>
  <c r="Q1326" i="1"/>
  <c r="P1326" i="1"/>
  <c r="T1325" i="1"/>
  <c r="S1325" i="1"/>
  <c r="R1325" i="1"/>
  <c r="Q1325" i="1"/>
  <c r="P1325" i="1"/>
  <c r="T1324" i="1"/>
  <c r="S1324" i="1"/>
  <c r="R1324" i="1"/>
  <c r="Q1324" i="1"/>
  <c r="P1324" i="1"/>
  <c r="T1323" i="1"/>
  <c r="S1323" i="1"/>
  <c r="R1323" i="1"/>
  <c r="Q1323" i="1"/>
  <c r="P1323" i="1"/>
  <c r="T1322" i="1"/>
  <c r="S1322" i="1"/>
  <c r="R1322" i="1"/>
  <c r="Q1322" i="1"/>
  <c r="P1322" i="1"/>
  <c r="T1321" i="1"/>
  <c r="S1321" i="1"/>
  <c r="R1321" i="1"/>
  <c r="Q1321" i="1"/>
  <c r="P1321" i="1"/>
  <c r="T1320" i="1"/>
  <c r="S1320" i="1"/>
  <c r="R1320" i="1"/>
  <c r="Q1320" i="1"/>
  <c r="P1320" i="1"/>
  <c r="T1319" i="1"/>
  <c r="S1319" i="1"/>
  <c r="R1319" i="1"/>
  <c r="Q1319" i="1"/>
  <c r="P1319" i="1"/>
  <c r="T1318" i="1"/>
  <c r="S1318" i="1"/>
  <c r="R1318" i="1"/>
  <c r="Q1318" i="1"/>
  <c r="P1318" i="1"/>
  <c r="T1317" i="1"/>
  <c r="S1317" i="1"/>
  <c r="R1317" i="1"/>
  <c r="Q1317" i="1"/>
  <c r="P1317" i="1"/>
  <c r="T1316" i="1"/>
  <c r="S1316" i="1"/>
  <c r="R1316" i="1"/>
  <c r="Q1316" i="1"/>
  <c r="P1316" i="1"/>
  <c r="T1315" i="1"/>
  <c r="S1315" i="1"/>
  <c r="R1315" i="1"/>
  <c r="Q1315" i="1"/>
  <c r="P1315" i="1"/>
  <c r="T1314" i="1"/>
  <c r="S1314" i="1"/>
  <c r="R1314" i="1"/>
  <c r="Q1314" i="1"/>
  <c r="P1314" i="1"/>
  <c r="T1313" i="1"/>
  <c r="S1313" i="1"/>
  <c r="R1313" i="1"/>
  <c r="Q1313" i="1"/>
  <c r="P1313" i="1"/>
  <c r="T1312" i="1"/>
  <c r="S1312" i="1"/>
  <c r="R1312" i="1"/>
  <c r="Q1312" i="1"/>
  <c r="P1312" i="1"/>
  <c r="T1311" i="1"/>
  <c r="S1311" i="1"/>
  <c r="R1311" i="1"/>
  <c r="Q1311" i="1"/>
  <c r="P1311" i="1"/>
  <c r="T1310" i="1"/>
  <c r="S1310" i="1"/>
  <c r="R1310" i="1"/>
  <c r="Q1310" i="1"/>
  <c r="P1310" i="1"/>
  <c r="T1309" i="1"/>
  <c r="S1309" i="1"/>
  <c r="R1309" i="1"/>
  <c r="Q1309" i="1"/>
  <c r="P1309" i="1"/>
  <c r="T1308" i="1"/>
  <c r="S1308" i="1"/>
  <c r="R1308" i="1"/>
  <c r="Q1308" i="1"/>
  <c r="P1308" i="1"/>
  <c r="T1307" i="1"/>
  <c r="S1307" i="1"/>
  <c r="R1307" i="1"/>
  <c r="Q1307" i="1"/>
  <c r="P1307" i="1"/>
  <c r="T1306" i="1"/>
  <c r="S1306" i="1"/>
  <c r="R1306" i="1"/>
  <c r="Q1306" i="1"/>
  <c r="P1306" i="1"/>
  <c r="T1305" i="1"/>
  <c r="S1305" i="1"/>
  <c r="R1305" i="1"/>
  <c r="Q1305" i="1"/>
  <c r="P1305" i="1"/>
  <c r="T1304" i="1"/>
  <c r="S1304" i="1"/>
  <c r="R1304" i="1"/>
  <c r="Q1304" i="1"/>
  <c r="P1304" i="1"/>
  <c r="T1303" i="1"/>
  <c r="S1303" i="1"/>
  <c r="R1303" i="1"/>
  <c r="Q1303" i="1"/>
  <c r="P1303" i="1"/>
  <c r="T1302" i="1"/>
  <c r="S1302" i="1"/>
  <c r="R1302" i="1"/>
  <c r="Q1302" i="1"/>
  <c r="P1302" i="1"/>
  <c r="T1301" i="1"/>
  <c r="S1301" i="1"/>
  <c r="R1301" i="1"/>
  <c r="Q1301" i="1"/>
  <c r="P1301" i="1"/>
  <c r="T1300" i="1"/>
  <c r="S1300" i="1"/>
  <c r="R1300" i="1"/>
  <c r="Q1300" i="1"/>
  <c r="P1300" i="1"/>
  <c r="T1299" i="1"/>
  <c r="S1299" i="1"/>
  <c r="R1299" i="1"/>
  <c r="Q1299" i="1"/>
  <c r="P1299" i="1"/>
  <c r="T1298" i="1"/>
  <c r="S1298" i="1"/>
  <c r="R1298" i="1"/>
  <c r="Q1298" i="1"/>
  <c r="P1298" i="1"/>
  <c r="T1297" i="1"/>
  <c r="S1297" i="1"/>
  <c r="R1297" i="1"/>
  <c r="Q1297" i="1"/>
  <c r="P1297" i="1"/>
  <c r="T1296" i="1"/>
  <c r="S1296" i="1"/>
  <c r="R1296" i="1"/>
  <c r="Q1296" i="1"/>
  <c r="P1296" i="1"/>
  <c r="T1295" i="1"/>
  <c r="S1295" i="1"/>
  <c r="R1295" i="1"/>
  <c r="Q1295" i="1"/>
  <c r="P1295" i="1"/>
  <c r="T1294" i="1"/>
  <c r="S1294" i="1"/>
  <c r="R1294" i="1"/>
  <c r="Q1294" i="1"/>
  <c r="P1294" i="1"/>
  <c r="T1293" i="1"/>
  <c r="S1293" i="1"/>
  <c r="R1293" i="1"/>
  <c r="Q1293" i="1"/>
  <c r="P1293" i="1"/>
  <c r="T1292" i="1"/>
  <c r="S1292" i="1"/>
  <c r="R1292" i="1"/>
  <c r="Q1292" i="1"/>
  <c r="P1292" i="1"/>
  <c r="T1291" i="1"/>
  <c r="S1291" i="1"/>
  <c r="R1291" i="1"/>
  <c r="Q1291" i="1"/>
  <c r="P1291" i="1"/>
  <c r="T1290" i="1"/>
  <c r="S1290" i="1"/>
  <c r="R1290" i="1"/>
  <c r="Q1290" i="1"/>
  <c r="P1290" i="1"/>
  <c r="T1289" i="1"/>
  <c r="S1289" i="1"/>
  <c r="R1289" i="1"/>
  <c r="Q1289" i="1"/>
  <c r="P1289" i="1"/>
  <c r="T1288" i="1"/>
  <c r="S1288" i="1"/>
  <c r="R1288" i="1"/>
  <c r="Q1288" i="1"/>
  <c r="P1288" i="1"/>
  <c r="T1287" i="1"/>
  <c r="S1287" i="1"/>
  <c r="R1287" i="1"/>
  <c r="Q1287" i="1"/>
  <c r="P1287" i="1"/>
  <c r="T1286" i="1"/>
  <c r="S1286" i="1"/>
  <c r="R1286" i="1"/>
  <c r="Q1286" i="1"/>
  <c r="P1286" i="1"/>
  <c r="T1285" i="1"/>
  <c r="S1285" i="1"/>
  <c r="R1285" i="1"/>
  <c r="Q1285" i="1"/>
  <c r="P1285" i="1"/>
  <c r="T1284" i="1"/>
  <c r="S1284" i="1"/>
  <c r="R1284" i="1"/>
  <c r="Q1284" i="1"/>
  <c r="P1284" i="1"/>
  <c r="T1283" i="1"/>
  <c r="S1283" i="1"/>
  <c r="R1283" i="1"/>
  <c r="Q1283" i="1"/>
  <c r="P1283" i="1"/>
  <c r="T1282" i="1"/>
  <c r="S1282" i="1"/>
  <c r="R1282" i="1"/>
  <c r="Q1282" i="1"/>
  <c r="P1282" i="1"/>
  <c r="T1281" i="1"/>
  <c r="S1281" i="1"/>
  <c r="R1281" i="1"/>
  <c r="Q1281" i="1"/>
  <c r="P1281" i="1"/>
  <c r="T1280" i="1"/>
  <c r="S1280" i="1"/>
  <c r="R1280" i="1"/>
  <c r="Q1280" i="1"/>
  <c r="P1280" i="1"/>
  <c r="T1279" i="1"/>
  <c r="S1279" i="1"/>
  <c r="R1279" i="1"/>
  <c r="Q1279" i="1"/>
  <c r="P1279" i="1"/>
  <c r="T1278" i="1"/>
  <c r="S1278" i="1"/>
  <c r="R1278" i="1"/>
  <c r="Q1278" i="1"/>
  <c r="P1278" i="1"/>
  <c r="T1277" i="1"/>
  <c r="S1277" i="1"/>
  <c r="R1277" i="1"/>
  <c r="Q1277" i="1"/>
  <c r="P1277" i="1"/>
  <c r="T1276" i="1"/>
  <c r="S1276" i="1"/>
  <c r="R1276" i="1"/>
  <c r="Q1276" i="1"/>
  <c r="P1276" i="1"/>
  <c r="T1275" i="1"/>
  <c r="S1275" i="1"/>
  <c r="R1275" i="1"/>
  <c r="Q1275" i="1"/>
  <c r="P1275" i="1"/>
  <c r="T1274" i="1"/>
  <c r="S1274" i="1"/>
  <c r="R1274" i="1"/>
  <c r="Q1274" i="1"/>
  <c r="P1274" i="1"/>
  <c r="T1273" i="1"/>
  <c r="S1273" i="1"/>
  <c r="R1273" i="1"/>
  <c r="Q1273" i="1"/>
  <c r="P1273" i="1"/>
  <c r="T1272" i="1"/>
  <c r="S1272" i="1"/>
  <c r="R1272" i="1"/>
  <c r="Q1272" i="1"/>
  <c r="P1272" i="1"/>
  <c r="T1271" i="1"/>
  <c r="S1271" i="1"/>
  <c r="R1271" i="1"/>
  <c r="Q1271" i="1"/>
  <c r="P1271" i="1"/>
  <c r="T1270" i="1"/>
  <c r="S1270" i="1"/>
  <c r="R1270" i="1"/>
  <c r="Q1270" i="1"/>
  <c r="P1270" i="1"/>
  <c r="T1269" i="1"/>
  <c r="S1269" i="1"/>
  <c r="R1269" i="1"/>
  <c r="Q1269" i="1"/>
  <c r="P1269" i="1"/>
  <c r="T1268" i="1"/>
  <c r="S1268" i="1"/>
  <c r="R1268" i="1"/>
  <c r="Q1268" i="1"/>
  <c r="P1268" i="1"/>
  <c r="T1267" i="1"/>
  <c r="S1267" i="1"/>
  <c r="R1267" i="1"/>
  <c r="Q1267" i="1"/>
  <c r="P1267" i="1"/>
  <c r="T1266" i="1"/>
  <c r="S1266" i="1"/>
  <c r="R1266" i="1"/>
  <c r="Q1266" i="1"/>
  <c r="P1266" i="1"/>
  <c r="T1265" i="1"/>
  <c r="S1265" i="1"/>
  <c r="R1265" i="1"/>
  <c r="Q1265" i="1"/>
  <c r="P1265" i="1"/>
  <c r="T1264" i="1"/>
  <c r="S1264" i="1"/>
  <c r="R1264" i="1"/>
  <c r="Q1264" i="1"/>
  <c r="P1264" i="1"/>
  <c r="T1263" i="1"/>
  <c r="S1263" i="1"/>
  <c r="R1263" i="1"/>
  <c r="Q1263" i="1"/>
  <c r="P1263" i="1"/>
  <c r="T1262" i="1"/>
  <c r="S1262" i="1"/>
  <c r="R1262" i="1"/>
  <c r="Q1262" i="1"/>
  <c r="P1262" i="1"/>
  <c r="T1261" i="1"/>
  <c r="S1261" i="1"/>
  <c r="R1261" i="1"/>
  <c r="Q1261" i="1"/>
  <c r="P1261" i="1"/>
  <c r="T1260" i="1"/>
  <c r="S1260" i="1"/>
  <c r="R1260" i="1"/>
  <c r="Q1260" i="1"/>
  <c r="P1260" i="1"/>
  <c r="T1259" i="1"/>
  <c r="S1259" i="1"/>
  <c r="R1259" i="1"/>
  <c r="Q1259" i="1"/>
  <c r="P1259" i="1"/>
  <c r="T1258" i="1"/>
  <c r="S1258" i="1"/>
  <c r="R1258" i="1"/>
  <c r="Q1258" i="1"/>
  <c r="P1258" i="1"/>
  <c r="T1257" i="1"/>
  <c r="S1257" i="1"/>
  <c r="R1257" i="1"/>
  <c r="Q1257" i="1"/>
  <c r="P1257" i="1"/>
  <c r="T1256" i="1"/>
  <c r="S1256" i="1"/>
  <c r="R1256" i="1"/>
  <c r="Q1256" i="1"/>
  <c r="P1256" i="1"/>
  <c r="T1255" i="1"/>
  <c r="S1255" i="1"/>
  <c r="R1255" i="1"/>
  <c r="Q1255" i="1"/>
  <c r="P1255" i="1"/>
  <c r="T1254" i="1"/>
  <c r="S1254" i="1"/>
  <c r="R1254" i="1"/>
  <c r="Q1254" i="1"/>
  <c r="P1254" i="1"/>
  <c r="T1253" i="1"/>
  <c r="S1253" i="1"/>
  <c r="R1253" i="1"/>
  <c r="Q1253" i="1"/>
  <c r="P1253" i="1"/>
  <c r="T1252" i="1"/>
  <c r="S1252" i="1"/>
  <c r="R1252" i="1"/>
  <c r="Q1252" i="1"/>
  <c r="P1252" i="1"/>
  <c r="T1251" i="1"/>
  <c r="S1251" i="1"/>
  <c r="R1251" i="1"/>
  <c r="Q1251" i="1"/>
  <c r="P1251" i="1"/>
  <c r="T1250" i="1"/>
  <c r="S1250" i="1"/>
  <c r="R1250" i="1"/>
  <c r="Q1250" i="1"/>
  <c r="P1250" i="1"/>
  <c r="T1249" i="1"/>
  <c r="S1249" i="1"/>
  <c r="R1249" i="1"/>
  <c r="Q1249" i="1"/>
  <c r="P1249" i="1"/>
  <c r="T1248" i="1"/>
  <c r="S1248" i="1"/>
  <c r="R1248" i="1"/>
  <c r="Q1248" i="1"/>
  <c r="P1248" i="1"/>
  <c r="T1247" i="1"/>
  <c r="S1247" i="1"/>
  <c r="R1247" i="1"/>
  <c r="Q1247" i="1"/>
  <c r="P1247" i="1"/>
  <c r="T1246" i="1"/>
  <c r="S1246" i="1"/>
  <c r="R1246" i="1"/>
  <c r="Q1246" i="1"/>
  <c r="P1246" i="1"/>
  <c r="T1245" i="1"/>
  <c r="S1245" i="1"/>
  <c r="R1245" i="1"/>
  <c r="Q1245" i="1"/>
  <c r="P1245" i="1"/>
  <c r="T1244" i="1"/>
  <c r="S1244" i="1"/>
  <c r="R1244" i="1"/>
  <c r="Q1244" i="1"/>
  <c r="P1244" i="1"/>
  <c r="T1243" i="1"/>
  <c r="S1243" i="1"/>
  <c r="R1243" i="1"/>
  <c r="Q1243" i="1"/>
  <c r="P1243" i="1"/>
  <c r="T1242" i="1"/>
  <c r="S1242" i="1"/>
  <c r="R1242" i="1"/>
  <c r="Q1242" i="1"/>
  <c r="P1242" i="1"/>
  <c r="T1241" i="1"/>
  <c r="S1241" i="1"/>
  <c r="R1241" i="1"/>
  <c r="Q1241" i="1"/>
  <c r="P1241" i="1"/>
  <c r="T1240" i="1"/>
  <c r="S1240" i="1"/>
  <c r="R1240" i="1"/>
  <c r="Q1240" i="1"/>
  <c r="P1240" i="1"/>
  <c r="T1239" i="1"/>
  <c r="S1239" i="1"/>
  <c r="R1239" i="1"/>
  <c r="Q1239" i="1"/>
  <c r="P1239" i="1"/>
  <c r="T1238" i="1"/>
  <c r="S1238" i="1"/>
  <c r="R1238" i="1"/>
  <c r="Q1238" i="1"/>
  <c r="P1238" i="1"/>
  <c r="T1237" i="1"/>
  <c r="S1237" i="1"/>
  <c r="R1237" i="1"/>
  <c r="Q1237" i="1"/>
  <c r="P1237" i="1"/>
  <c r="T1236" i="1"/>
  <c r="S1236" i="1"/>
  <c r="R1236" i="1"/>
  <c r="Q1236" i="1"/>
  <c r="P1236" i="1"/>
  <c r="T1235" i="1"/>
  <c r="S1235" i="1"/>
  <c r="R1235" i="1"/>
  <c r="Q1235" i="1"/>
  <c r="P1235" i="1"/>
  <c r="T1234" i="1"/>
  <c r="S1234" i="1"/>
  <c r="R1234" i="1"/>
  <c r="Q1234" i="1"/>
  <c r="P1234" i="1"/>
  <c r="T1233" i="1"/>
  <c r="S1233" i="1"/>
  <c r="R1233" i="1"/>
  <c r="Q1233" i="1"/>
  <c r="P1233" i="1"/>
  <c r="T1232" i="1"/>
  <c r="S1232" i="1"/>
  <c r="R1232" i="1"/>
  <c r="Q1232" i="1"/>
  <c r="P1232" i="1"/>
  <c r="T1231" i="1"/>
  <c r="S1231" i="1"/>
  <c r="R1231" i="1"/>
  <c r="Q1231" i="1"/>
  <c r="P1231" i="1"/>
  <c r="T1230" i="1"/>
  <c r="S1230" i="1"/>
  <c r="R1230" i="1"/>
  <c r="Q1230" i="1"/>
  <c r="P1230" i="1"/>
  <c r="T1229" i="1"/>
  <c r="S1229" i="1"/>
  <c r="R1229" i="1"/>
  <c r="Q1229" i="1"/>
  <c r="P1229" i="1"/>
  <c r="T1228" i="1"/>
  <c r="S1228" i="1"/>
  <c r="R1228" i="1"/>
  <c r="Q1228" i="1"/>
  <c r="P1228" i="1"/>
  <c r="T1227" i="1"/>
  <c r="S1227" i="1"/>
  <c r="R1227" i="1"/>
  <c r="Q1227" i="1"/>
  <c r="P1227" i="1"/>
  <c r="T1226" i="1"/>
  <c r="S1226" i="1"/>
  <c r="R1226" i="1"/>
  <c r="Q1226" i="1"/>
  <c r="P1226" i="1"/>
  <c r="T1225" i="1"/>
  <c r="S1225" i="1"/>
  <c r="R1225" i="1"/>
  <c r="Q1225" i="1"/>
  <c r="P1225" i="1"/>
  <c r="T1224" i="1"/>
  <c r="S1224" i="1"/>
  <c r="R1224" i="1"/>
  <c r="Q1224" i="1"/>
  <c r="P1224" i="1"/>
  <c r="T1223" i="1"/>
  <c r="S1223" i="1"/>
  <c r="R1223" i="1"/>
  <c r="Q1223" i="1"/>
  <c r="P1223" i="1"/>
  <c r="T1222" i="1"/>
  <c r="S1222" i="1"/>
  <c r="R1222" i="1"/>
  <c r="Q1222" i="1"/>
  <c r="P1222" i="1"/>
  <c r="T1221" i="1"/>
  <c r="S1221" i="1"/>
  <c r="R1221" i="1"/>
  <c r="Q1221" i="1"/>
  <c r="P1221" i="1"/>
  <c r="T1220" i="1"/>
  <c r="S1220" i="1"/>
  <c r="R1220" i="1"/>
  <c r="Q1220" i="1"/>
  <c r="P1220" i="1"/>
  <c r="T1219" i="1"/>
  <c r="S1219" i="1"/>
  <c r="R1219" i="1"/>
  <c r="Q1219" i="1"/>
  <c r="P1219" i="1"/>
  <c r="T1218" i="1"/>
  <c r="S1218" i="1"/>
  <c r="R1218" i="1"/>
  <c r="Q1218" i="1"/>
  <c r="P1218" i="1"/>
  <c r="T1217" i="1"/>
  <c r="S1217" i="1"/>
  <c r="R1217" i="1"/>
  <c r="Q1217" i="1"/>
  <c r="P1217" i="1"/>
  <c r="T1216" i="1"/>
  <c r="S1216" i="1"/>
  <c r="R1216" i="1"/>
  <c r="Q1216" i="1"/>
  <c r="P1216" i="1"/>
  <c r="T1215" i="1"/>
  <c r="S1215" i="1"/>
  <c r="R1215" i="1"/>
  <c r="Q1215" i="1"/>
  <c r="P1215" i="1"/>
  <c r="T1214" i="1"/>
  <c r="S1214" i="1"/>
  <c r="R1214" i="1"/>
  <c r="Q1214" i="1"/>
  <c r="P1214" i="1"/>
  <c r="T1213" i="1"/>
  <c r="S1213" i="1"/>
  <c r="R1213" i="1"/>
  <c r="Q1213" i="1"/>
  <c r="P1213" i="1"/>
  <c r="T1212" i="1"/>
  <c r="S1212" i="1"/>
  <c r="R1212" i="1"/>
  <c r="Q1212" i="1"/>
  <c r="P1212" i="1"/>
  <c r="T1211" i="1"/>
  <c r="S1211" i="1"/>
  <c r="R1211" i="1"/>
  <c r="Q1211" i="1"/>
  <c r="P1211" i="1"/>
  <c r="T1210" i="1"/>
  <c r="S1210" i="1"/>
  <c r="R1210" i="1"/>
  <c r="Q1210" i="1"/>
  <c r="P1210" i="1"/>
  <c r="T1209" i="1"/>
  <c r="S1209" i="1"/>
  <c r="R1209" i="1"/>
  <c r="Q1209" i="1"/>
  <c r="P1209" i="1"/>
  <c r="T1208" i="1"/>
  <c r="S1208" i="1"/>
  <c r="R1208" i="1"/>
  <c r="Q1208" i="1"/>
  <c r="P1208" i="1"/>
  <c r="T1207" i="1"/>
  <c r="S1207" i="1"/>
  <c r="R1207" i="1"/>
  <c r="Q1207" i="1"/>
  <c r="P1207" i="1"/>
  <c r="T1206" i="1"/>
  <c r="S1206" i="1"/>
  <c r="R1206" i="1"/>
  <c r="Q1206" i="1"/>
  <c r="P1206" i="1"/>
  <c r="T1205" i="1"/>
  <c r="S1205" i="1"/>
  <c r="R1205" i="1"/>
  <c r="Q1205" i="1"/>
  <c r="P1205" i="1"/>
  <c r="T1204" i="1"/>
  <c r="S1204" i="1"/>
  <c r="R1204" i="1"/>
  <c r="Q1204" i="1"/>
  <c r="P1204" i="1"/>
  <c r="T1203" i="1"/>
  <c r="S1203" i="1"/>
  <c r="R1203" i="1"/>
  <c r="Q1203" i="1"/>
  <c r="P1203" i="1"/>
  <c r="T1202" i="1"/>
  <c r="S1202" i="1"/>
  <c r="R1202" i="1"/>
  <c r="Q1202" i="1"/>
  <c r="P1202" i="1"/>
  <c r="T1201" i="1"/>
  <c r="S1201" i="1"/>
  <c r="R1201" i="1"/>
  <c r="Q1201" i="1"/>
  <c r="P1201" i="1"/>
  <c r="T1200" i="1"/>
  <c r="S1200" i="1"/>
  <c r="R1200" i="1"/>
  <c r="Q1200" i="1"/>
  <c r="P1200" i="1"/>
  <c r="T1199" i="1"/>
  <c r="S1199" i="1"/>
  <c r="R1199" i="1"/>
  <c r="Q1199" i="1"/>
  <c r="P1199" i="1"/>
  <c r="T1198" i="1"/>
  <c r="S1198" i="1"/>
  <c r="R1198" i="1"/>
  <c r="Q1198" i="1"/>
  <c r="P1198" i="1"/>
  <c r="T1197" i="1"/>
  <c r="S1197" i="1"/>
  <c r="R1197" i="1"/>
  <c r="Q1197" i="1"/>
  <c r="P1197" i="1"/>
  <c r="T1196" i="1"/>
  <c r="S1196" i="1"/>
  <c r="R1196" i="1"/>
  <c r="Q1196" i="1"/>
  <c r="P1196" i="1"/>
  <c r="T1195" i="1"/>
  <c r="S1195" i="1"/>
  <c r="R1195" i="1"/>
  <c r="Q1195" i="1"/>
  <c r="P1195" i="1"/>
  <c r="T1194" i="1"/>
  <c r="S1194" i="1"/>
  <c r="R1194" i="1"/>
  <c r="Q1194" i="1"/>
  <c r="P1194" i="1"/>
  <c r="T1193" i="1"/>
  <c r="S1193" i="1"/>
  <c r="R1193" i="1"/>
  <c r="Q1193" i="1"/>
  <c r="P1193" i="1"/>
  <c r="T1192" i="1"/>
  <c r="S1192" i="1"/>
  <c r="R1192" i="1"/>
  <c r="Q1192" i="1"/>
  <c r="P1192" i="1"/>
  <c r="T1191" i="1"/>
  <c r="S1191" i="1"/>
  <c r="R1191" i="1"/>
  <c r="Q1191" i="1"/>
  <c r="P1191" i="1"/>
  <c r="T1190" i="1"/>
  <c r="S1190" i="1"/>
  <c r="R1190" i="1"/>
  <c r="Q1190" i="1"/>
  <c r="P1190" i="1"/>
  <c r="T1189" i="1"/>
  <c r="S1189" i="1"/>
  <c r="R1189" i="1"/>
  <c r="Q1189" i="1"/>
  <c r="P1189" i="1"/>
  <c r="T1188" i="1"/>
  <c r="S1188" i="1"/>
  <c r="R1188" i="1"/>
  <c r="Q1188" i="1"/>
  <c r="P1188" i="1"/>
  <c r="T1187" i="1"/>
  <c r="S1187" i="1"/>
  <c r="R1187" i="1"/>
  <c r="Q1187" i="1"/>
  <c r="P1187" i="1"/>
  <c r="T1186" i="1"/>
  <c r="S1186" i="1"/>
  <c r="R1186" i="1"/>
  <c r="Q1186" i="1"/>
  <c r="P1186" i="1"/>
  <c r="T1185" i="1"/>
  <c r="S1185" i="1"/>
  <c r="R1185" i="1"/>
  <c r="Q1185" i="1"/>
  <c r="P1185" i="1"/>
  <c r="T1184" i="1"/>
  <c r="S1184" i="1"/>
  <c r="R1184" i="1"/>
  <c r="Q1184" i="1"/>
  <c r="P1184" i="1"/>
  <c r="T1183" i="1"/>
  <c r="S1183" i="1"/>
  <c r="R1183" i="1"/>
  <c r="Q1183" i="1"/>
  <c r="P1183" i="1"/>
  <c r="T1182" i="1"/>
  <c r="S1182" i="1"/>
  <c r="R1182" i="1"/>
  <c r="Q1182" i="1"/>
  <c r="P1182" i="1"/>
  <c r="T1181" i="1"/>
  <c r="S1181" i="1"/>
  <c r="R1181" i="1"/>
  <c r="Q1181" i="1"/>
  <c r="P1181" i="1"/>
  <c r="T1180" i="1"/>
  <c r="S1180" i="1"/>
  <c r="R1180" i="1"/>
  <c r="Q1180" i="1"/>
  <c r="P1180" i="1"/>
  <c r="T1179" i="1"/>
  <c r="S1179" i="1"/>
  <c r="R1179" i="1"/>
  <c r="Q1179" i="1"/>
  <c r="P1179" i="1"/>
  <c r="T1178" i="1"/>
  <c r="S1178" i="1"/>
  <c r="R1178" i="1"/>
  <c r="Q1178" i="1"/>
  <c r="P1178" i="1"/>
  <c r="T1177" i="1"/>
  <c r="S1177" i="1"/>
  <c r="R1177" i="1"/>
  <c r="Q1177" i="1"/>
  <c r="P1177" i="1"/>
  <c r="T1176" i="1"/>
  <c r="S1176" i="1"/>
  <c r="R1176" i="1"/>
  <c r="Q1176" i="1"/>
  <c r="P1176" i="1"/>
  <c r="T1175" i="1"/>
  <c r="S1175" i="1"/>
  <c r="R1175" i="1"/>
  <c r="Q1175" i="1"/>
  <c r="P1175" i="1"/>
  <c r="T1174" i="1"/>
  <c r="S1174" i="1"/>
  <c r="R1174" i="1"/>
  <c r="Q1174" i="1"/>
  <c r="P1174" i="1"/>
  <c r="T1173" i="1"/>
  <c r="S1173" i="1"/>
  <c r="R1173" i="1"/>
  <c r="Q1173" i="1"/>
  <c r="P1173" i="1"/>
  <c r="T1172" i="1"/>
  <c r="S1172" i="1"/>
  <c r="R1172" i="1"/>
  <c r="Q1172" i="1"/>
  <c r="P1172" i="1"/>
  <c r="T1171" i="1"/>
  <c r="S1171" i="1"/>
  <c r="R1171" i="1"/>
  <c r="Q1171" i="1"/>
  <c r="P1171" i="1"/>
  <c r="T1170" i="1"/>
  <c r="S1170" i="1"/>
  <c r="R1170" i="1"/>
  <c r="Q1170" i="1"/>
  <c r="P1170" i="1"/>
  <c r="T1169" i="1"/>
  <c r="S1169" i="1"/>
  <c r="R1169" i="1"/>
  <c r="Q1169" i="1"/>
  <c r="P1169" i="1"/>
  <c r="T1168" i="1"/>
  <c r="S1168" i="1"/>
  <c r="R1168" i="1"/>
  <c r="Q1168" i="1"/>
  <c r="P1168" i="1"/>
  <c r="T1167" i="1"/>
  <c r="S1167" i="1"/>
  <c r="R1167" i="1"/>
  <c r="Q1167" i="1"/>
  <c r="P1167" i="1"/>
  <c r="T1166" i="1"/>
  <c r="S1166" i="1"/>
  <c r="R1166" i="1"/>
  <c r="Q1166" i="1"/>
  <c r="P1166" i="1"/>
  <c r="T1165" i="1"/>
  <c r="S1165" i="1"/>
  <c r="R1165" i="1"/>
  <c r="Q1165" i="1"/>
  <c r="P1165" i="1"/>
  <c r="T1164" i="1"/>
  <c r="S1164" i="1"/>
  <c r="R1164" i="1"/>
  <c r="Q1164" i="1"/>
  <c r="P1164" i="1"/>
  <c r="T1163" i="1"/>
  <c r="S1163" i="1"/>
  <c r="R1163" i="1"/>
  <c r="Q1163" i="1"/>
  <c r="P1163" i="1"/>
  <c r="T1162" i="1"/>
  <c r="S1162" i="1"/>
  <c r="R1162" i="1"/>
  <c r="Q1162" i="1"/>
  <c r="P1162" i="1"/>
  <c r="T1161" i="1"/>
  <c r="S1161" i="1"/>
  <c r="R1161" i="1"/>
  <c r="Q1161" i="1"/>
  <c r="P1161" i="1"/>
  <c r="T1160" i="1"/>
  <c r="S1160" i="1"/>
  <c r="R1160" i="1"/>
  <c r="Q1160" i="1"/>
  <c r="P1160" i="1"/>
  <c r="T1159" i="1"/>
  <c r="S1159" i="1"/>
  <c r="R1159" i="1"/>
  <c r="Q1159" i="1"/>
  <c r="P1159" i="1"/>
  <c r="T1158" i="1"/>
  <c r="S1158" i="1"/>
  <c r="R1158" i="1"/>
  <c r="Q1158" i="1"/>
  <c r="P1158" i="1"/>
  <c r="T1157" i="1"/>
  <c r="S1157" i="1"/>
  <c r="R1157" i="1"/>
  <c r="Q1157" i="1"/>
  <c r="P1157" i="1"/>
  <c r="T1156" i="1"/>
  <c r="S1156" i="1"/>
  <c r="R1156" i="1"/>
  <c r="Q1156" i="1"/>
  <c r="P1156" i="1"/>
  <c r="T1155" i="1"/>
  <c r="S1155" i="1"/>
  <c r="R1155" i="1"/>
  <c r="Q1155" i="1"/>
  <c r="P1155" i="1"/>
  <c r="T1154" i="1"/>
  <c r="S1154" i="1"/>
  <c r="R1154" i="1"/>
  <c r="Q1154" i="1"/>
  <c r="P1154" i="1"/>
  <c r="T1153" i="1"/>
  <c r="S1153" i="1"/>
  <c r="R1153" i="1"/>
  <c r="Q1153" i="1"/>
  <c r="P1153" i="1"/>
  <c r="T1152" i="1"/>
  <c r="S1152" i="1"/>
  <c r="R1152" i="1"/>
  <c r="Q1152" i="1"/>
  <c r="P1152" i="1"/>
  <c r="T1151" i="1"/>
  <c r="S1151" i="1"/>
  <c r="R1151" i="1"/>
  <c r="Q1151" i="1"/>
  <c r="P1151" i="1"/>
  <c r="T1150" i="1"/>
  <c r="S1150" i="1"/>
  <c r="R1150" i="1"/>
  <c r="Q1150" i="1"/>
  <c r="P1150" i="1"/>
  <c r="T1149" i="1"/>
  <c r="S1149" i="1"/>
  <c r="R1149" i="1"/>
  <c r="Q1149" i="1"/>
  <c r="P1149" i="1"/>
  <c r="T1148" i="1"/>
  <c r="S1148" i="1"/>
  <c r="R1148" i="1"/>
  <c r="Q1148" i="1"/>
  <c r="P1148" i="1"/>
  <c r="T1147" i="1"/>
  <c r="S1147" i="1"/>
  <c r="R1147" i="1"/>
  <c r="Q1147" i="1"/>
  <c r="P1147" i="1"/>
  <c r="T1146" i="1"/>
  <c r="S1146" i="1"/>
  <c r="R1146" i="1"/>
  <c r="Q1146" i="1"/>
  <c r="P1146" i="1"/>
  <c r="T1145" i="1"/>
  <c r="S1145" i="1"/>
  <c r="R1145" i="1"/>
  <c r="Q1145" i="1"/>
  <c r="P1145" i="1"/>
  <c r="T1144" i="1"/>
  <c r="S1144" i="1"/>
  <c r="R1144" i="1"/>
  <c r="Q1144" i="1"/>
  <c r="P1144" i="1"/>
  <c r="T1143" i="1"/>
  <c r="S1143" i="1"/>
  <c r="R1143" i="1"/>
  <c r="Q1143" i="1"/>
  <c r="P1143" i="1"/>
  <c r="T1142" i="1"/>
  <c r="S1142" i="1"/>
  <c r="R1142" i="1"/>
  <c r="Q1142" i="1"/>
  <c r="P1142" i="1"/>
  <c r="T1141" i="1"/>
  <c r="S1141" i="1"/>
  <c r="R1141" i="1"/>
  <c r="Q1141" i="1"/>
  <c r="P1141" i="1"/>
  <c r="T1140" i="1"/>
  <c r="S1140" i="1"/>
  <c r="R1140" i="1"/>
  <c r="Q1140" i="1"/>
  <c r="P1140" i="1"/>
  <c r="T1139" i="1"/>
  <c r="S1139" i="1"/>
  <c r="R1139" i="1"/>
  <c r="Q1139" i="1"/>
  <c r="P1139" i="1"/>
  <c r="T1138" i="1"/>
  <c r="S1138" i="1"/>
  <c r="R1138" i="1"/>
  <c r="Q1138" i="1"/>
  <c r="P1138" i="1"/>
  <c r="T1137" i="1"/>
  <c r="S1137" i="1"/>
  <c r="R1137" i="1"/>
  <c r="Q1137" i="1"/>
  <c r="P1137" i="1"/>
  <c r="T1136" i="1"/>
  <c r="S1136" i="1"/>
  <c r="R1136" i="1"/>
  <c r="Q1136" i="1"/>
  <c r="P1136" i="1"/>
  <c r="T1135" i="1"/>
  <c r="S1135" i="1"/>
  <c r="R1135" i="1"/>
  <c r="Q1135" i="1"/>
  <c r="P1135" i="1"/>
  <c r="T1134" i="1"/>
  <c r="S1134" i="1"/>
  <c r="R1134" i="1"/>
  <c r="Q1134" i="1"/>
  <c r="P1134" i="1"/>
  <c r="T1133" i="1"/>
  <c r="S1133" i="1"/>
  <c r="R1133" i="1"/>
  <c r="Q1133" i="1"/>
  <c r="P1133" i="1"/>
  <c r="T1132" i="1"/>
  <c r="S1132" i="1"/>
  <c r="R1132" i="1"/>
  <c r="Q1132" i="1"/>
  <c r="P1132" i="1"/>
  <c r="T1131" i="1"/>
  <c r="S1131" i="1"/>
  <c r="R1131" i="1"/>
  <c r="Q1131" i="1"/>
  <c r="P1131" i="1"/>
  <c r="T1130" i="1"/>
  <c r="S1130" i="1"/>
  <c r="R1130" i="1"/>
  <c r="Q1130" i="1"/>
  <c r="P1130" i="1"/>
  <c r="T1129" i="1"/>
  <c r="S1129" i="1"/>
  <c r="R1129" i="1"/>
  <c r="Q1129" i="1"/>
  <c r="P1129" i="1"/>
  <c r="T1128" i="1"/>
  <c r="S1128" i="1"/>
  <c r="R1128" i="1"/>
  <c r="Q1128" i="1"/>
  <c r="P1128" i="1"/>
  <c r="T1127" i="1"/>
  <c r="S1127" i="1"/>
  <c r="R1127" i="1"/>
  <c r="Q1127" i="1"/>
  <c r="P1127" i="1"/>
  <c r="T1126" i="1"/>
  <c r="S1126" i="1"/>
  <c r="R1126" i="1"/>
  <c r="Q1126" i="1"/>
  <c r="P1126" i="1"/>
  <c r="T1125" i="1"/>
  <c r="S1125" i="1"/>
  <c r="R1125" i="1"/>
  <c r="Q1125" i="1"/>
  <c r="P1125" i="1"/>
  <c r="T1124" i="1"/>
  <c r="S1124" i="1"/>
  <c r="R1124" i="1"/>
  <c r="Q1124" i="1"/>
  <c r="P1124" i="1"/>
  <c r="T1123" i="1"/>
  <c r="S1123" i="1"/>
  <c r="R1123" i="1"/>
  <c r="Q1123" i="1"/>
  <c r="P1123" i="1"/>
  <c r="T1122" i="1"/>
  <c r="S1122" i="1"/>
  <c r="R1122" i="1"/>
  <c r="Q1122" i="1"/>
  <c r="P1122" i="1"/>
  <c r="T1121" i="1"/>
  <c r="S1121" i="1"/>
  <c r="R1121" i="1"/>
  <c r="Q1121" i="1"/>
  <c r="P1121" i="1"/>
  <c r="T1120" i="1"/>
  <c r="S1120" i="1"/>
  <c r="R1120" i="1"/>
  <c r="Q1120" i="1"/>
  <c r="P1120" i="1"/>
  <c r="T1119" i="1"/>
  <c r="S1119" i="1"/>
  <c r="R1119" i="1"/>
  <c r="Q1119" i="1"/>
  <c r="P1119" i="1"/>
  <c r="T1118" i="1"/>
  <c r="S1118" i="1"/>
  <c r="R1118" i="1"/>
  <c r="Q1118" i="1"/>
  <c r="P1118" i="1"/>
  <c r="T1117" i="1"/>
  <c r="S1117" i="1"/>
  <c r="R1117" i="1"/>
  <c r="Q1117" i="1"/>
  <c r="P1117" i="1"/>
  <c r="T1116" i="1"/>
  <c r="S1116" i="1"/>
  <c r="R1116" i="1"/>
  <c r="Q1116" i="1"/>
  <c r="P1116" i="1"/>
  <c r="T1115" i="1"/>
  <c r="S1115" i="1"/>
  <c r="R1115" i="1"/>
  <c r="Q1115" i="1"/>
  <c r="P1115" i="1"/>
  <c r="T1114" i="1"/>
  <c r="S1114" i="1"/>
  <c r="R1114" i="1"/>
  <c r="Q1114" i="1"/>
  <c r="P1114" i="1"/>
  <c r="T1113" i="1"/>
  <c r="S1113" i="1"/>
  <c r="R1113" i="1"/>
  <c r="Q1113" i="1"/>
  <c r="P1113" i="1"/>
  <c r="T1112" i="1"/>
  <c r="S1112" i="1"/>
  <c r="R1112" i="1"/>
  <c r="Q1112" i="1"/>
  <c r="P1112" i="1"/>
  <c r="T1111" i="1"/>
  <c r="S1111" i="1"/>
  <c r="R1111" i="1"/>
  <c r="Q1111" i="1"/>
  <c r="P1111" i="1"/>
  <c r="T1110" i="1"/>
  <c r="S1110" i="1"/>
  <c r="R1110" i="1"/>
  <c r="Q1110" i="1"/>
  <c r="P1110" i="1"/>
  <c r="T1109" i="1"/>
  <c r="S1109" i="1"/>
  <c r="R1109" i="1"/>
  <c r="Q1109" i="1"/>
  <c r="P1109" i="1"/>
  <c r="T1108" i="1"/>
  <c r="S1108" i="1"/>
  <c r="R1108" i="1"/>
  <c r="Q1108" i="1"/>
  <c r="P1108" i="1"/>
  <c r="T1107" i="1"/>
  <c r="S1107" i="1"/>
  <c r="R1107" i="1"/>
  <c r="Q1107" i="1"/>
  <c r="P1107" i="1"/>
  <c r="T1106" i="1"/>
  <c r="S1106" i="1"/>
  <c r="R1106" i="1"/>
  <c r="Q1106" i="1"/>
  <c r="P1106" i="1"/>
  <c r="T1105" i="1"/>
  <c r="S1105" i="1"/>
  <c r="R1105" i="1"/>
  <c r="Q1105" i="1"/>
  <c r="P1105" i="1"/>
  <c r="T1104" i="1"/>
  <c r="S1104" i="1"/>
  <c r="R1104" i="1"/>
  <c r="Q1104" i="1"/>
  <c r="P1104" i="1"/>
  <c r="T1103" i="1"/>
  <c r="S1103" i="1"/>
  <c r="R1103" i="1"/>
  <c r="Q1103" i="1"/>
  <c r="P1103" i="1"/>
  <c r="T1102" i="1"/>
  <c r="S1102" i="1"/>
  <c r="R1102" i="1"/>
  <c r="Q1102" i="1"/>
  <c r="P1102" i="1"/>
  <c r="T1101" i="1"/>
  <c r="S1101" i="1"/>
  <c r="R1101" i="1"/>
  <c r="Q1101" i="1"/>
  <c r="P1101" i="1"/>
  <c r="T1100" i="1"/>
  <c r="S1100" i="1"/>
  <c r="R1100" i="1"/>
  <c r="Q1100" i="1"/>
  <c r="P1100" i="1"/>
  <c r="T1099" i="1"/>
  <c r="S1099" i="1"/>
  <c r="R1099" i="1"/>
  <c r="Q1099" i="1"/>
  <c r="P1099" i="1"/>
  <c r="T1098" i="1"/>
  <c r="S1098" i="1"/>
  <c r="R1098" i="1"/>
  <c r="Q1098" i="1"/>
  <c r="P1098" i="1"/>
  <c r="T1097" i="1"/>
  <c r="S1097" i="1"/>
  <c r="R1097" i="1"/>
  <c r="Q1097" i="1"/>
  <c r="P1097" i="1"/>
  <c r="T1096" i="1"/>
  <c r="S1096" i="1"/>
  <c r="R1096" i="1"/>
  <c r="Q1096" i="1"/>
  <c r="P1096" i="1"/>
  <c r="T1095" i="1"/>
  <c r="S1095" i="1"/>
  <c r="R1095" i="1"/>
  <c r="Q1095" i="1"/>
  <c r="P1095" i="1"/>
  <c r="T1094" i="1"/>
  <c r="S1094" i="1"/>
  <c r="R1094" i="1"/>
  <c r="Q1094" i="1"/>
  <c r="P1094" i="1"/>
  <c r="T1093" i="1"/>
  <c r="S1093" i="1"/>
  <c r="R1093" i="1"/>
  <c r="Q1093" i="1"/>
  <c r="P1093" i="1"/>
  <c r="T1092" i="1"/>
  <c r="S1092" i="1"/>
  <c r="R1092" i="1"/>
  <c r="Q1092" i="1"/>
  <c r="P1092" i="1"/>
  <c r="T1091" i="1"/>
  <c r="S1091" i="1"/>
  <c r="R1091" i="1"/>
  <c r="Q1091" i="1"/>
  <c r="P1091" i="1"/>
  <c r="T1090" i="1"/>
  <c r="S1090" i="1"/>
  <c r="R1090" i="1"/>
  <c r="Q1090" i="1"/>
  <c r="P1090" i="1"/>
  <c r="T1089" i="1"/>
  <c r="S1089" i="1"/>
  <c r="R1089" i="1"/>
  <c r="Q1089" i="1"/>
  <c r="P1089" i="1"/>
  <c r="T1088" i="1"/>
  <c r="S1088" i="1"/>
  <c r="R1088" i="1"/>
  <c r="Q1088" i="1"/>
  <c r="P1088" i="1"/>
  <c r="T1087" i="1"/>
  <c r="S1087" i="1"/>
  <c r="R1087" i="1"/>
  <c r="Q1087" i="1"/>
  <c r="P1087" i="1"/>
  <c r="T1086" i="1"/>
  <c r="S1086" i="1"/>
  <c r="R1086" i="1"/>
  <c r="Q1086" i="1"/>
  <c r="P1086" i="1"/>
  <c r="T1085" i="1"/>
  <c r="S1085" i="1"/>
  <c r="R1085" i="1"/>
  <c r="Q1085" i="1"/>
  <c r="P1085" i="1"/>
  <c r="T1084" i="1"/>
  <c r="S1084" i="1"/>
  <c r="R1084" i="1"/>
  <c r="Q1084" i="1"/>
  <c r="P1084" i="1"/>
  <c r="T1083" i="1"/>
  <c r="S1083" i="1"/>
  <c r="R1083" i="1"/>
  <c r="Q1083" i="1"/>
  <c r="P1083" i="1"/>
  <c r="T1082" i="1"/>
  <c r="S1082" i="1"/>
  <c r="R1082" i="1"/>
  <c r="Q1082" i="1"/>
  <c r="P1082" i="1"/>
  <c r="T1081" i="1"/>
  <c r="S1081" i="1"/>
  <c r="R1081" i="1"/>
  <c r="Q1081" i="1"/>
  <c r="P1081" i="1"/>
  <c r="T1080" i="1"/>
  <c r="S1080" i="1"/>
  <c r="R1080" i="1"/>
  <c r="Q1080" i="1"/>
  <c r="P1080" i="1"/>
  <c r="T1079" i="1"/>
  <c r="S1079" i="1"/>
  <c r="R1079" i="1"/>
  <c r="Q1079" i="1"/>
  <c r="P1079" i="1"/>
  <c r="T1078" i="1"/>
  <c r="S1078" i="1"/>
  <c r="R1078" i="1"/>
  <c r="Q1078" i="1"/>
  <c r="P1078" i="1"/>
  <c r="T1077" i="1"/>
  <c r="S1077" i="1"/>
  <c r="R1077" i="1"/>
  <c r="Q1077" i="1"/>
  <c r="P1077" i="1"/>
  <c r="T1076" i="1"/>
  <c r="S1076" i="1"/>
  <c r="R1076" i="1"/>
  <c r="Q1076" i="1"/>
  <c r="P1076" i="1"/>
  <c r="T1075" i="1"/>
  <c r="S1075" i="1"/>
  <c r="R1075" i="1"/>
  <c r="Q1075" i="1"/>
  <c r="P1075" i="1"/>
  <c r="T1074" i="1"/>
  <c r="S1074" i="1"/>
  <c r="R1074" i="1"/>
  <c r="Q1074" i="1"/>
  <c r="P1074" i="1"/>
  <c r="T1073" i="1"/>
  <c r="S1073" i="1"/>
  <c r="R1073" i="1"/>
  <c r="Q1073" i="1"/>
  <c r="P1073" i="1"/>
  <c r="T1072" i="1"/>
  <c r="S1072" i="1"/>
  <c r="R1072" i="1"/>
  <c r="Q1072" i="1"/>
  <c r="P1072" i="1"/>
  <c r="T1071" i="1"/>
  <c r="S1071" i="1"/>
  <c r="R1071" i="1"/>
  <c r="Q1071" i="1"/>
  <c r="P1071" i="1"/>
  <c r="T1070" i="1"/>
  <c r="S1070" i="1"/>
  <c r="R1070" i="1"/>
  <c r="Q1070" i="1"/>
  <c r="P1070" i="1"/>
  <c r="T1069" i="1"/>
  <c r="S1069" i="1"/>
  <c r="R1069" i="1"/>
  <c r="Q1069" i="1"/>
  <c r="P1069" i="1"/>
  <c r="T1068" i="1"/>
  <c r="S1068" i="1"/>
  <c r="R1068" i="1"/>
  <c r="Q1068" i="1"/>
  <c r="P1068" i="1"/>
  <c r="T1067" i="1"/>
  <c r="S1067" i="1"/>
  <c r="R1067" i="1"/>
  <c r="Q1067" i="1"/>
  <c r="P1067" i="1"/>
  <c r="T1066" i="1"/>
  <c r="S1066" i="1"/>
  <c r="R1066" i="1"/>
  <c r="Q1066" i="1"/>
  <c r="P1066" i="1"/>
  <c r="T1065" i="1"/>
  <c r="S1065" i="1"/>
  <c r="R1065" i="1"/>
  <c r="Q1065" i="1"/>
  <c r="P1065" i="1"/>
  <c r="T1064" i="1"/>
  <c r="S1064" i="1"/>
  <c r="R1064" i="1"/>
  <c r="Q1064" i="1"/>
  <c r="P1064" i="1"/>
  <c r="T1063" i="1"/>
  <c r="S1063" i="1"/>
  <c r="R1063" i="1"/>
  <c r="Q1063" i="1"/>
  <c r="P1063" i="1"/>
  <c r="T1062" i="1"/>
  <c r="S1062" i="1"/>
  <c r="R1062" i="1"/>
  <c r="Q1062" i="1"/>
  <c r="P1062" i="1"/>
  <c r="T1061" i="1"/>
  <c r="S1061" i="1"/>
  <c r="R1061" i="1"/>
  <c r="Q1061" i="1"/>
  <c r="P1061" i="1"/>
  <c r="T1060" i="1"/>
  <c r="S1060" i="1"/>
  <c r="R1060" i="1"/>
  <c r="Q1060" i="1"/>
  <c r="P1060" i="1"/>
  <c r="T1059" i="1"/>
  <c r="S1059" i="1"/>
  <c r="R1059" i="1"/>
  <c r="Q1059" i="1"/>
  <c r="P1059" i="1"/>
  <c r="T1058" i="1"/>
  <c r="S1058" i="1"/>
  <c r="R1058" i="1"/>
  <c r="Q1058" i="1"/>
  <c r="P1058" i="1"/>
  <c r="T1057" i="1"/>
  <c r="S1057" i="1"/>
  <c r="R1057" i="1"/>
  <c r="Q1057" i="1"/>
  <c r="P1057" i="1"/>
  <c r="T1056" i="1"/>
  <c r="S1056" i="1"/>
  <c r="R1056" i="1"/>
  <c r="Q1056" i="1"/>
  <c r="P1056" i="1"/>
  <c r="T1055" i="1"/>
  <c r="S1055" i="1"/>
  <c r="R1055" i="1"/>
  <c r="Q1055" i="1"/>
  <c r="P1055" i="1"/>
  <c r="T1054" i="1"/>
  <c r="S1054" i="1"/>
  <c r="R1054" i="1"/>
  <c r="Q1054" i="1"/>
  <c r="P1054" i="1"/>
  <c r="T1053" i="1"/>
  <c r="S1053" i="1"/>
  <c r="R1053" i="1"/>
  <c r="Q1053" i="1"/>
  <c r="P1053" i="1"/>
  <c r="T1052" i="1"/>
  <c r="S1052" i="1"/>
  <c r="R1052" i="1"/>
  <c r="Q1052" i="1"/>
  <c r="P1052" i="1"/>
  <c r="T1051" i="1"/>
  <c r="S1051" i="1"/>
  <c r="R1051" i="1"/>
  <c r="Q1051" i="1"/>
  <c r="P1051" i="1"/>
  <c r="T1050" i="1"/>
  <c r="S1050" i="1"/>
  <c r="R1050" i="1"/>
  <c r="Q1050" i="1"/>
  <c r="P1050" i="1"/>
  <c r="T1049" i="1"/>
  <c r="S1049" i="1"/>
  <c r="R1049" i="1"/>
  <c r="Q1049" i="1"/>
  <c r="P1049" i="1"/>
  <c r="T1048" i="1"/>
  <c r="S1048" i="1"/>
  <c r="R1048" i="1"/>
  <c r="Q1048" i="1"/>
  <c r="P1048" i="1"/>
  <c r="T1047" i="1"/>
  <c r="S1047" i="1"/>
  <c r="R1047" i="1"/>
  <c r="Q1047" i="1"/>
  <c r="P1047" i="1"/>
  <c r="T1046" i="1"/>
  <c r="S1046" i="1"/>
  <c r="R1046" i="1"/>
  <c r="Q1046" i="1"/>
  <c r="P1046" i="1"/>
  <c r="T1045" i="1"/>
  <c r="S1045" i="1"/>
  <c r="R1045" i="1"/>
  <c r="Q1045" i="1"/>
  <c r="P1045" i="1"/>
  <c r="T1044" i="1"/>
  <c r="S1044" i="1"/>
  <c r="R1044" i="1"/>
  <c r="Q1044" i="1"/>
  <c r="P1044" i="1"/>
  <c r="T1043" i="1"/>
  <c r="S1043" i="1"/>
  <c r="R1043" i="1"/>
  <c r="Q1043" i="1"/>
  <c r="P1043" i="1"/>
  <c r="T1042" i="1"/>
  <c r="S1042" i="1"/>
  <c r="R1042" i="1"/>
  <c r="Q1042" i="1"/>
  <c r="P1042" i="1"/>
  <c r="T1041" i="1"/>
  <c r="S1041" i="1"/>
  <c r="R1041" i="1"/>
  <c r="Q1041" i="1"/>
  <c r="P1041" i="1"/>
  <c r="T1040" i="1"/>
  <c r="S1040" i="1"/>
  <c r="R1040" i="1"/>
  <c r="Q1040" i="1"/>
  <c r="P1040" i="1"/>
  <c r="T1039" i="1"/>
  <c r="S1039" i="1"/>
  <c r="R1039" i="1"/>
  <c r="Q1039" i="1"/>
  <c r="P1039" i="1"/>
  <c r="T1038" i="1"/>
  <c r="S1038" i="1"/>
  <c r="R1038" i="1"/>
  <c r="Q1038" i="1"/>
  <c r="P1038" i="1"/>
  <c r="T1037" i="1"/>
  <c r="S1037" i="1"/>
  <c r="R1037" i="1"/>
  <c r="Q1037" i="1"/>
  <c r="P1037" i="1"/>
  <c r="T1036" i="1"/>
  <c r="S1036" i="1"/>
  <c r="R1036" i="1"/>
  <c r="Q1036" i="1"/>
  <c r="P1036" i="1"/>
  <c r="T1035" i="1"/>
  <c r="S1035" i="1"/>
  <c r="R1035" i="1"/>
  <c r="Q1035" i="1"/>
  <c r="P1035" i="1"/>
  <c r="T1034" i="1"/>
  <c r="S1034" i="1"/>
  <c r="R1034" i="1"/>
  <c r="Q1034" i="1"/>
  <c r="P1034" i="1"/>
  <c r="T1033" i="1"/>
  <c r="S1033" i="1"/>
  <c r="R1033" i="1"/>
  <c r="Q1033" i="1"/>
  <c r="P1033" i="1"/>
  <c r="T1032" i="1"/>
  <c r="S1032" i="1"/>
  <c r="R1032" i="1"/>
  <c r="Q1032" i="1"/>
  <c r="P1032" i="1"/>
  <c r="T1031" i="1"/>
  <c r="S1031" i="1"/>
  <c r="R1031" i="1"/>
  <c r="Q1031" i="1"/>
  <c r="P1031" i="1"/>
  <c r="T1030" i="1"/>
  <c r="S1030" i="1"/>
  <c r="R1030" i="1"/>
  <c r="Q1030" i="1"/>
  <c r="P1030" i="1"/>
  <c r="T1029" i="1"/>
  <c r="S1029" i="1"/>
  <c r="R1029" i="1"/>
  <c r="Q1029" i="1"/>
  <c r="P1029" i="1"/>
  <c r="T1028" i="1"/>
  <c r="S1028" i="1"/>
  <c r="R1028" i="1"/>
  <c r="Q1028" i="1"/>
  <c r="P1028" i="1"/>
  <c r="T1027" i="1"/>
  <c r="S1027" i="1"/>
  <c r="R1027" i="1"/>
  <c r="Q1027" i="1"/>
  <c r="P1027" i="1"/>
  <c r="T1026" i="1"/>
  <c r="S1026" i="1"/>
  <c r="R1026" i="1"/>
  <c r="Q1026" i="1"/>
  <c r="P1026" i="1"/>
  <c r="T1025" i="1"/>
  <c r="S1025" i="1"/>
  <c r="R1025" i="1"/>
  <c r="Q1025" i="1"/>
  <c r="P1025" i="1"/>
  <c r="T1024" i="1"/>
  <c r="S1024" i="1"/>
  <c r="R1024" i="1"/>
  <c r="Q1024" i="1"/>
  <c r="P1024" i="1"/>
  <c r="T1023" i="1"/>
  <c r="S1023" i="1"/>
  <c r="R1023" i="1"/>
  <c r="Q1023" i="1"/>
  <c r="P1023" i="1"/>
  <c r="T1022" i="1"/>
  <c r="S1022" i="1"/>
  <c r="R1022" i="1"/>
  <c r="Q1022" i="1"/>
  <c r="P1022" i="1"/>
  <c r="T1021" i="1"/>
  <c r="S1021" i="1"/>
  <c r="R1021" i="1"/>
  <c r="Q1021" i="1"/>
  <c r="P1021" i="1"/>
  <c r="T1020" i="1"/>
  <c r="S1020" i="1"/>
  <c r="R1020" i="1"/>
  <c r="Q1020" i="1"/>
  <c r="P1020" i="1"/>
  <c r="T1019" i="1"/>
  <c r="S1019" i="1"/>
  <c r="R1019" i="1"/>
  <c r="Q1019" i="1"/>
  <c r="P1019" i="1"/>
  <c r="T1018" i="1"/>
  <c r="S1018" i="1"/>
  <c r="R1018" i="1"/>
  <c r="Q1018" i="1"/>
  <c r="P1018" i="1"/>
  <c r="T1017" i="1"/>
  <c r="S1017" i="1"/>
  <c r="R1017" i="1"/>
  <c r="Q1017" i="1"/>
  <c r="P1017" i="1"/>
  <c r="T1016" i="1"/>
  <c r="S1016" i="1"/>
  <c r="R1016" i="1"/>
  <c r="Q1016" i="1"/>
  <c r="P1016" i="1"/>
  <c r="T1015" i="1"/>
  <c r="S1015" i="1"/>
  <c r="R1015" i="1"/>
  <c r="Q1015" i="1"/>
  <c r="P1015" i="1"/>
  <c r="T1014" i="1"/>
  <c r="S1014" i="1"/>
  <c r="R1014" i="1"/>
  <c r="Q1014" i="1"/>
  <c r="P1014" i="1"/>
  <c r="T1013" i="1"/>
  <c r="S1013" i="1"/>
  <c r="R1013" i="1"/>
  <c r="Q1013" i="1"/>
  <c r="P1013" i="1"/>
  <c r="T1012" i="1"/>
  <c r="S1012" i="1"/>
  <c r="R1012" i="1"/>
  <c r="Q1012" i="1"/>
  <c r="P1012" i="1"/>
  <c r="T1011" i="1"/>
  <c r="S1011" i="1"/>
  <c r="R1011" i="1"/>
  <c r="Q1011" i="1"/>
  <c r="P1011" i="1"/>
  <c r="T1010" i="1"/>
  <c r="S1010" i="1"/>
  <c r="R1010" i="1"/>
  <c r="Q1010" i="1"/>
  <c r="P1010" i="1"/>
  <c r="T1009" i="1"/>
  <c r="S1009" i="1"/>
  <c r="R1009" i="1"/>
  <c r="Q1009" i="1"/>
  <c r="P1009" i="1"/>
  <c r="T1008" i="1"/>
  <c r="S1008" i="1"/>
  <c r="R1008" i="1"/>
  <c r="Q1008" i="1"/>
  <c r="P1008" i="1"/>
  <c r="T1007" i="1"/>
  <c r="S1007" i="1"/>
  <c r="R1007" i="1"/>
  <c r="Q1007" i="1"/>
  <c r="P1007" i="1"/>
  <c r="T1006" i="1"/>
  <c r="S1006" i="1"/>
  <c r="R1006" i="1"/>
  <c r="Q1006" i="1"/>
  <c r="P1006" i="1"/>
  <c r="T1005" i="1"/>
  <c r="S1005" i="1"/>
  <c r="R1005" i="1"/>
  <c r="Q1005" i="1"/>
  <c r="P1005" i="1"/>
  <c r="T1004" i="1"/>
  <c r="S1004" i="1"/>
  <c r="R1004" i="1"/>
  <c r="Q1004" i="1"/>
  <c r="P1004" i="1"/>
  <c r="T1003" i="1"/>
  <c r="S1003" i="1"/>
  <c r="R1003" i="1"/>
  <c r="Q1003" i="1"/>
  <c r="P1003" i="1"/>
  <c r="T1002" i="1"/>
  <c r="S1002" i="1"/>
  <c r="R1002" i="1"/>
  <c r="Q1002" i="1"/>
  <c r="P1002" i="1"/>
  <c r="T1001" i="1"/>
  <c r="S1001" i="1"/>
  <c r="R1001" i="1"/>
  <c r="Q1001" i="1"/>
  <c r="P1001" i="1"/>
  <c r="T1000" i="1"/>
  <c r="S1000" i="1"/>
  <c r="R1000" i="1"/>
  <c r="Q1000" i="1"/>
  <c r="P1000" i="1"/>
  <c r="T999" i="1"/>
  <c r="S999" i="1"/>
  <c r="R999" i="1"/>
  <c r="Q999" i="1"/>
  <c r="P999" i="1"/>
  <c r="T998" i="1"/>
  <c r="S998" i="1"/>
  <c r="R998" i="1"/>
  <c r="Q998" i="1"/>
  <c r="P998" i="1"/>
  <c r="T997" i="1"/>
  <c r="S997" i="1"/>
  <c r="R997" i="1"/>
  <c r="Q997" i="1"/>
  <c r="P997" i="1"/>
  <c r="T996" i="1"/>
  <c r="S996" i="1"/>
  <c r="R996" i="1"/>
  <c r="Q996" i="1"/>
  <c r="P996" i="1"/>
  <c r="T995" i="1"/>
  <c r="S995" i="1"/>
  <c r="R995" i="1"/>
  <c r="Q995" i="1"/>
  <c r="P995" i="1"/>
  <c r="T994" i="1"/>
  <c r="S994" i="1"/>
  <c r="R994" i="1"/>
  <c r="Q994" i="1"/>
  <c r="P994" i="1"/>
  <c r="T993" i="1"/>
  <c r="S993" i="1"/>
  <c r="R993" i="1"/>
  <c r="Q993" i="1"/>
  <c r="P993" i="1"/>
  <c r="T992" i="1"/>
  <c r="S992" i="1"/>
  <c r="R992" i="1"/>
  <c r="Q992" i="1"/>
  <c r="P992" i="1"/>
  <c r="T991" i="1"/>
  <c r="S991" i="1"/>
  <c r="R991" i="1"/>
  <c r="Q991" i="1"/>
  <c r="P991" i="1"/>
  <c r="T990" i="1"/>
  <c r="S990" i="1"/>
  <c r="R990" i="1"/>
  <c r="Q990" i="1"/>
  <c r="P990" i="1"/>
  <c r="T989" i="1"/>
  <c r="S989" i="1"/>
  <c r="R989" i="1"/>
  <c r="Q989" i="1"/>
  <c r="P989" i="1"/>
  <c r="T988" i="1"/>
  <c r="S988" i="1"/>
  <c r="R988" i="1"/>
  <c r="Q988" i="1"/>
  <c r="P988" i="1"/>
  <c r="T987" i="1"/>
  <c r="S987" i="1"/>
  <c r="R987" i="1"/>
  <c r="Q987" i="1"/>
  <c r="P987" i="1"/>
  <c r="T986" i="1"/>
  <c r="S986" i="1"/>
  <c r="R986" i="1"/>
  <c r="Q986" i="1"/>
  <c r="P986" i="1"/>
  <c r="T985" i="1"/>
  <c r="S985" i="1"/>
  <c r="R985" i="1"/>
  <c r="Q985" i="1"/>
  <c r="P985" i="1"/>
  <c r="T984" i="1"/>
  <c r="S984" i="1"/>
  <c r="R984" i="1"/>
  <c r="Q984" i="1"/>
  <c r="P984" i="1"/>
  <c r="T983" i="1"/>
  <c r="S983" i="1"/>
  <c r="R983" i="1"/>
  <c r="Q983" i="1"/>
  <c r="P983" i="1"/>
  <c r="T982" i="1"/>
  <c r="S982" i="1"/>
  <c r="R982" i="1"/>
  <c r="Q982" i="1"/>
  <c r="P982" i="1"/>
  <c r="T981" i="1"/>
  <c r="S981" i="1"/>
  <c r="R981" i="1"/>
  <c r="Q981" i="1"/>
  <c r="P981" i="1"/>
  <c r="T980" i="1"/>
  <c r="S980" i="1"/>
  <c r="R980" i="1"/>
  <c r="Q980" i="1"/>
  <c r="P980" i="1"/>
  <c r="T979" i="1"/>
  <c r="S979" i="1"/>
  <c r="R979" i="1"/>
  <c r="Q979" i="1"/>
  <c r="P979" i="1"/>
  <c r="T978" i="1"/>
  <c r="S978" i="1"/>
  <c r="R978" i="1"/>
  <c r="Q978" i="1"/>
  <c r="P978" i="1"/>
  <c r="T977" i="1"/>
  <c r="S977" i="1"/>
  <c r="R977" i="1"/>
  <c r="Q977" i="1"/>
  <c r="P977" i="1"/>
  <c r="T976" i="1"/>
  <c r="S976" i="1"/>
  <c r="R976" i="1"/>
  <c r="Q976" i="1"/>
  <c r="P976" i="1"/>
  <c r="T975" i="1"/>
  <c r="S975" i="1"/>
  <c r="R975" i="1"/>
  <c r="Q975" i="1"/>
  <c r="P975" i="1"/>
  <c r="T974" i="1"/>
  <c r="S974" i="1"/>
  <c r="R974" i="1"/>
  <c r="Q974" i="1"/>
  <c r="P974" i="1"/>
  <c r="T973" i="1"/>
  <c r="S973" i="1"/>
  <c r="R973" i="1"/>
  <c r="Q973" i="1"/>
  <c r="P973" i="1"/>
  <c r="T972" i="1"/>
  <c r="S972" i="1"/>
  <c r="R972" i="1"/>
  <c r="Q972" i="1"/>
  <c r="P972" i="1"/>
  <c r="T971" i="1"/>
  <c r="S971" i="1"/>
  <c r="R971" i="1"/>
  <c r="Q971" i="1"/>
  <c r="P971" i="1"/>
  <c r="T970" i="1"/>
  <c r="S970" i="1"/>
  <c r="R970" i="1"/>
  <c r="Q970" i="1"/>
  <c r="P970" i="1"/>
  <c r="T969" i="1"/>
  <c r="S969" i="1"/>
  <c r="R969" i="1"/>
  <c r="Q969" i="1"/>
  <c r="P969" i="1"/>
  <c r="T968" i="1"/>
  <c r="S968" i="1"/>
  <c r="R968" i="1"/>
  <c r="Q968" i="1"/>
  <c r="P968" i="1"/>
  <c r="T967" i="1"/>
  <c r="S967" i="1"/>
  <c r="R967" i="1"/>
  <c r="Q967" i="1"/>
  <c r="P967" i="1"/>
  <c r="T966" i="1"/>
  <c r="S966" i="1"/>
  <c r="R966" i="1"/>
  <c r="Q966" i="1"/>
  <c r="P966" i="1"/>
  <c r="T965" i="1"/>
  <c r="S965" i="1"/>
  <c r="R965" i="1"/>
  <c r="Q965" i="1"/>
  <c r="P965" i="1"/>
  <c r="T964" i="1"/>
  <c r="S964" i="1"/>
  <c r="R964" i="1"/>
  <c r="Q964" i="1"/>
  <c r="P964" i="1"/>
  <c r="T963" i="1"/>
  <c r="S963" i="1"/>
  <c r="R963" i="1"/>
  <c r="Q963" i="1"/>
  <c r="P963" i="1"/>
  <c r="T962" i="1"/>
  <c r="S962" i="1"/>
  <c r="R962" i="1"/>
  <c r="Q962" i="1"/>
  <c r="P962" i="1"/>
  <c r="T961" i="1"/>
  <c r="S961" i="1"/>
  <c r="R961" i="1"/>
  <c r="Q961" i="1"/>
  <c r="P961" i="1"/>
  <c r="T960" i="1"/>
  <c r="S960" i="1"/>
  <c r="R960" i="1"/>
  <c r="Q960" i="1"/>
  <c r="P960" i="1"/>
  <c r="T959" i="1"/>
  <c r="S959" i="1"/>
  <c r="R959" i="1"/>
  <c r="Q959" i="1"/>
  <c r="P959" i="1"/>
  <c r="T958" i="1"/>
  <c r="S958" i="1"/>
  <c r="R958" i="1"/>
  <c r="Q958" i="1"/>
  <c r="P958" i="1"/>
  <c r="T957" i="1"/>
  <c r="S957" i="1"/>
  <c r="R957" i="1"/>
  <c r="Q957" i="1"/>
  <c r="P957" i="1"/>
  <c r="T956" i="1"/>
  <c r="S956" i="1"/>
  <c r="R956" i="1"/>
  <c r="Q956" i="1"/>
  <c r="P956" i="1"/>
  <c r="T955" i="1"/>
  <c r="S955" i="1"/>
  <c r="R955" i="1"/>
  <c r="Q955" i="1"/>
  <c r="P955" i="1"/>
  <c r="T954" i="1"/>
  <c r="S954" i="1"/>
  <c r="R954" i="1"/>
  <c r="Q954" i="1"/>
  <c r="P954" i="1"/>
  <c r="T953" i="1"/>
  <c r="S953" i="1"/>
  <c r="R953" i="1"/>
  <c r="Q953" i="1"/>
  <c r="P953" i="1"/>
  <c r="T952" i="1"/>
  <c r="S952" i="1"/>
  <c r="R952" i="1"/>
  <c r="Q952" i="1"/>
  <c r="P952" i="1"/>
  <c r="T951" i="1"/>
  <c r="S951" i="1"/>
  <c r="R951" i="1"/>
  <c r="Q951" i="1"/>
  <c r="P951" i="1"/>
  <c r="T950" i="1"/>
  <c r="S950" i="1"/>
  <c r="R950" i="1"/>
  <c r="Q950" i="1"/>
  <c r="P950" i="1"/>
  <c r="T949" i="1"/>
  <c r="S949" i="1"/>
  <c r="R949" i="1"/>
  <c r="Q949" i="1"/>
  <c r="P949" i="1"/>
  <c r="T948" i="1"/>
  <c r="S948" i="1"/>
  <c r="R948" i="1"/>
  <c r="Q948" i="1"/>
  <c r="P948" i="1"/>
  <c r="T947" i="1"/>
  <c r="S947" i="1"/>
  <c r="R947" i="1"/>
  <c r="Q947" i="1"/>
  <c r="P947" i="1"/>
  <c r="T946" i="1"/>
  <c r="S946" i="1"/>
  <c r="R946" i="1"/>
  <c r="Q946" i="1"/>
  <c r="P946" i="1"/>
  <c r="T945" i="1"/>
  <c r="S945" i="1"/>
  <c r="R945" i="1"/>
  <c r="Q945" i="1"/>
  <c r="P945" i="1"/>
  <c r="T944" i="1"/>
  <c r="S944" i="1"/>
  <c r="R944" i="1"/>
  <c r="Q944" i="1"/>
  <c r="P944" i="1"/>
  <c r="T943" i="1"/>
  <c r="S943" i="1"/>
  <c r="R943" i="1"/>
  <c r="Q943" i="1"/>
  <c r="P943" i="1"/>
  <c r="T942" i="1"/>
  <c r="S942" i="1"/>
  <c r="R942" i="1"/>
  <c r="Q942" i="1"/>
  <c r="P942" i="1"/>
  <c r="T941" i="1"/>
  <c r="S941" i="1"/>
  <c r="R941" i="1"/>
  <c r="Q941" i="1"/>
  <c r="P941" i="1"/>
  <c r="T940" i="1"/>
  <c r="S940" i="1"/>
  <c r="R940" i="1"/>
  <c r="Q940" i="1"/>
  <c r="P940" i="1"/>
  <c r="T939" i="1"/>
  <c r="S939" i="1"/>
  <c r="R939" i="1"/>
  <c r="Q939" i="1"/>
  <c r="P939" i="1"/>
  <c r="T938" i="1"/>
  <c r="S938" i="1"/>
  <c r="R938" i="1"/>
  <c r="Q938" i="1"/>
  <c r="P938" i="1"/>
  <c r="T937" i="1"/>
  <c r="S937" i="1"/>
  <c r="R937" i="1"/>
  <c r="Q937" i="1"/>
  <c r="P937" i="1"/>
  <c r="T936" i="1"/>
  <c r="S936" i="1"/>
  <c r="R936" i="1"/>
  <c r="Q936" i="1"/>
  <c r="P936" i="1"/>
  <c r="T935" i="1"/>
  <c r="S935" i="1"/>
  <c r="R935" i="1"/>
  <c r="Q935" i="1"/>
  <c r="P935" i="1"/>
  <c r="T934" i="1"/>
  <c r="S934" i="1"/>
  <c r="R934" i="1"/>
  <c r="Q934" i="1"/>
  <c r="P934" i="1"/>
  <c r="T933" i="1"/>
  <c r="S933" i="1"/>
  <c r="R933" i="1"/>
  <c r="Q933" i="1"/>
  <c r="P933" i="1"/>
  <c r="T932" i="1"/>
  <c r="S932" i="1"/>
  <c r="R932" i="1"/>
  <c r="Q932" i="1"/>
  <c r="P932" i="1"/>
  <c r="T931" i="1"/>
  <c r="S931" i="1"/>
  <c r="R931" i="1"/>
  <c r="Q931" i="1"/>
  <c r="P931" i="1"/>
  <c r="T930" i="1"/>
  <c r="S930" i="1"/>
  <c r="R930" i="1"/>
  <c r="Q930" i="1"/>
  <c r="P930" i="1"/>
  <c r="T929" i="1"/>
  <c r="S929" i="1"/>
  <c r="R929" i="1"/>
  <c r="Q929" i="1"/>
  <c r="P929" i="1"/>
  <c r="T928" i="1"/>
  <c r="S928" i="1"/>
  <c r="R928" i="1"/>
  <c r="Q928" i="1"/>
  <c r="P928" i="1"/>
  <c r="T927" i="1"/>
  <c r="S927" i="1"/>
  <c r="R927" i="1"/>
  <c r="Q927" i="1"/>
  <c r="P927" i="1"/>
  <c r="T926" i="1"/>
  <c r="S926" i="1"/>
  <c r="R926" i="1"/>
  <c r="Q926" i="1"/>
  <c r="P926" i="1"/>
  <c r="T925" i="1"/>
  <c r="S925" i="1"/>
  <c r="R925" i="1"/>
  <c r="Q925" i="1"/>
  <c r="P925" i="1"/>
  <c r="T924" i="1"/>
  <c r="S924" i="1"/>
  <c r="R924" i="1"/>
  <c r="Q924" i="1"/>
  <c r="P924" i="1"/>
  <c r="T923" i="1"/>
  <c r="S923" i="1"/>
  <c r="R923" i="1"/>
  <c r="Q923" i="1"/>
  <c r="P923" i="1"/>
  <c r="T922" i="1"/>
  <c r="S922" i="1"/>
  <c r="R922" i="1"/>
  <c r="Q922" i="1"/>
  <c r="P922" i="1"/>
  <c r="T921" i="1"/>
  <c r="S921" i="1"/>
  <c r="R921" i="1"/>
  <c r="Q921" i="1"/>
  <c r="P921" i="1"/>
  <c r="T920" i="1"/>
  <c r="S920" i="1"/>
  <c r="R920" i="1"/>
  <c r="Q920" i="1"/>
  <c r="P920" i="1"/>
  <c r="T919" i="1"/>
  <c r="S919" i="1"/>
  <c r="R919" i="1"/>
  <c r="Q919" i="1"/>
  <c r="P919" i="1"/>
  <c r="T918" i="1"/>
  <c r="S918" i="1"/>
  <c r="R918" i="1"/>
  <c r="Q918" i="1"/>
  <c r="P918" i="1"/>
  <c r="T917" i="1"/>
  <c r="S917" i="1"/>
  <c r="R917" i="1"/>
  <c r="Q917" i="1"/>
  <c r="P917" i="1"/>
  <c r="T916" i="1"/>
  <c r="S916" i="1"/>
  <c r="R916" i="1"/>
  <c r="Q916" i="1"/>
  <c r="P916" i="1"/>
  <c r="T915" i="1"/>
  <c r="S915" i="1"/>
  <c r="R915" i="1"/>
  <c r="Q915" i="1"/>
  <c r="P915" i="1"/>
  <c r="T914" i="1"/>
  <c r="S914" i="1"/>
  <c r="R914" i="1"/>
  <c r="Q914" i="1"/>
  <c r="P914" i="1"/>
  <c r="T913" i="1"/>
  <c r="S913" i="1"/>
  <c r="R913" i="1"/>
  <c r="Q913" i="1"/>
  <c r="P913" i="1"/>
  <c r="T912" i="1"/>
  <c r="S912" i="1"/>
  <c r="R912" i="1"/>
  <c r="Q912" i="1"/>
  <c r="P912" i="1"/>
  <c r="T911" i="1"/>
  <c r="S911" i="1"/>
  <c r="R911" i="1"/>
  <c r="Q911" i="1"/>
  <c r="P911" i="1"/>
  <c r="T910" i="1"/>
  <c r="S910" i="1"/>
  <c r="R910" i="1"/>
  <c r="Q910" i="1"/>
  <c r="P910" i="1"/>
  <c r="T909" i="1"/>
  <c r="S909" i="1"/>
  <c r="R909" i="1"/>
  <c r="Q909" i="1"/>
  <c r="P909" i="1"/>
  <c r="T908" i="1"/>
  <c r="S908" i="1"/>
  <c r="R908" i="1"/>
  <c r="Q908" i="1"/>
  <c r="P908" i="1"/>
  <c r="T907" i="1"/>
  <c r="S907" i="1"/>
  <c r="R907" i="1"/>
  <c r="Q907" i="1"/>
  <c r="P907" i="1"/>
  <c r="T906" i="1"/>
  <c r="S906" i="1"/>
  <c r="R906" i="1"/>
  <c r="Q906" i="1"/>
  <c r="P906" i="1"/>
  <c r="T905" i="1"/>
  <c r="S905" i="1"/>
  <c r="R905" i="1"/>
  <c r="Q905" i="1"/>
  <c r="P905" i="1"/>
  <c r="T904" i="1"/>
  <c r="S904" i="1"/>
  <c r="R904" i="1"/>
  <c r="Q904" i="1"/>
  <c r="P904" i="1"/>
  <c r="T903" i="1"/>
  <c r="S903" i="1"/>
  <c r="R903" i="1"/>
  <c r="Q903" i="1"/>
  <c r="P903" i="1"/>
  <c r="T902" i="1"/>
  <c r="S902" i="1"/>
  <c r="R902" i="1"/>
  <c r="Q902" i="1"/>
  <c r="P902" i="1"/>
  <c r="T901" i="1"/>
  <c r="S901" i="1"/>
  <c r="R901" i="1"/>
  <c r="Q901" i="1"/>
  <c r="P901" i="1"/>
  <c r="T900" i="1"/>
  <c r="S900" i="1"/>
  <c r="R900" i="1"/>
  <c r="Q900" i="1"/>
  <c r="P900" i="1"/>
  <c r="T899" i="1"/>
  <c r="S899" i="1"/>
  <c r="R899" i="1"/>
  <c r="Q899" i="1"/>
  <c r="P899" i="1"/>
  <c r="T898" i="1"/>
  <c r="S898" i="1"/>
  <c r="R898" i="1"/>
  <c r="Q898" i="1"/>
  <c r="P898" i="1"/>
  <c r="T897" i="1"/>
  <c r="S897" i="1"/>
  <c r="R897" i="1"/>
  <c r="Q897" i="1"/>
  <c r="P897" i="1"/>
  <c r="T896" i="1"/>
  <c r="S896" i="1"/>
  <c r="R896" i="1"/>
  <c r="Q896" i="1"/>
  <c r="P896" i="1"/>
  <c r="T895" i="1"/>
  <c r="S895" i="1"/>
  <c r="R895" i="1"/>
  <c r="Q895" i="1"/>
  <c r="P895" i="1"/>
  <c r="T894" i="1"/>
  <c r="S894" i="1"/>
  <c r="R894" i="1"/>
  <c r="Q894" i="1"/>
  <c r="P894" i="1"/>
  <c r="T893" i="1"/>
  <c r="S893" i="1"/>
  <c r="R893" i="1"/>
  <c r="Q893" i="1"/>
  <c r="P893" i="1"/>
  <c r="T892" i="1"/>
  <c r="S892" i="1"/>
  <c r="R892" i="1"/>
  <c r="Q892" i="1"/>
  <c r="P892" i="1"/>
  <c r="T891" i="1"/>
  <c r="S891" i="1"/>
  <c r="R891" i="1"/>
  <c r="Q891" i="1"/>
  <c r="P891" i="1"/>
  <c r="T890" i="1"/>
  <c r="S890" i="1"/>
  <c r="R890" i="1"/>
  <c r="Q890" i="1"/>
  <c r="P890" i="1"/>
  <c r="T889" i="1"/>
  <c r="S889" i="1"/>
  <c r="R889" i="1"/>
  <c r="Q889" i="1"/>
  <c r="P889" i="1"/>
  <c r="T888" i="1"/>
  <c r="S888" i="1"/>
  <c r="R888" i="1"/>
  <c r="Q888" i="1"/>
  <c r="P888" i="1"/>
  <c r="T887" i="1"/>
  <c r="S887" i="1"/>
  <c r="R887" i="1"/>
  <c r="Q887" i="1"/>
  <c r="P887" i="1"/>
  <c r="T886" i="1"/>
  <c r="S886" i="1"/>
  <c r="R886" i="1"/>
  <c r="Q886" i="1"/>
  <c r="P886" i="1"/>
  <c r="T885" i="1"/>
  <c r="S885" i="1"/>
  <c r="R885" i="1"/>
  <c r="Q885" i="1"/>
  <c r="P885" i="1"/>
  <c r="T884" i="1"/>
  <c r="S884" i="1"/>
  <c r="R884" i="1"/>
  <c r="Q884" i="1"/>
  <c r="P884" i="1"/>
  <c r="T883" i="1"/>
  <c r="S883" i="1"/>
  <c r="R883" i="1"/>
  <c r="Q883" i="1"/>
  <c r="P883" i="1"/>
  <c r="T882" i="1"/>
  <c r="S882" i="1"/>
  <c r="R882" i="1"/>
  <c r="Q882" i="1"/>
  <c r="P882" i="1"/>
  <c r="T881" i="1"/>
  <c r="S881" i="1"/>
  <c r="R881" i="1"/>
  <c r="Q881" i="1"/>
  <c r="P881" i="1"/>
  <c r="T880" i="1"/>
  <c r="S880" i="1"/>
  <c r="R880" i="1"/>
  <c r="Q880" i="1"/>
  <c r="P880" i="1"/>
  <c r="T879" i="1"/>
  <c r="S879" i="1"/>
  <c r="R879" i="1"/>
  <c r="Q879" i="1"/>
  <c r="P879" i="1"/>
  <c r="T878" i="1"/>
  <c r="S878" i="1"/>
  <c r="R878" i="1"/>
  <c r="Q878" i="1"/>
  <c r="P878" i="1"/>
  <c r="T877" i="1"/>
  <c r="S877" i="1"/>
  <c r="R877" i="1"/>
  <c r="Q877" i="1"/>
  <c r="P877" i="1"/>
  <c r="T876" i="1"/>
  <c r="S876" i="1"/>
  <c r="R876" i="1"/>
  <c r="Q876" i="1"/>
  <c r="P876" i="1"/>
  <c r="T875" i="1"/>
  <c r="S875" i="1"/>
  <c r="R875" i="1"/>
  <c r="Q875" i="1"/>
  <c r="P875" i="1"/>
  <c r="T874" i="1"/>
  <c r="S874" i="1"/>
  <c r="R874" i="1"/>
  <c r="Q874" i="1"/>
  <c r="P874" i="1"/>
  <c r="T873" i="1"/>
  <c r="S873" i="1"/>
  <c r="R873" i="1"/>
  <c r="Q873" i="1"/>
  <c r="P873" i="1"/>
  <c r="T872" i="1"/>
  <c r="S872" i="1"/>
  <c r="R872" i="1"/>
  <c r="Q872" i="1"/>
  <c r="P872" i="1"/>
  <c r="T871" i="1"/>
  <c r="S871" i="1"/>
  <c r="R871" i="1"/>
  <c r="Q871" i="1"/>
  <c r="P871" i="1"/>
  <c r="T870" i="1"/>
  <c r="S870" i="1"/>
  <c r="R870" i="1"/>
  <c r="Q870" i="1"/>
  <c r="P870" i="1"/>
  <c r="T869" i="1"/>
  <c r="S869" i="1"/>
  <c r="R869" i="1"/>
  <c r="Q869" i="1"/>
  <c r="P869" i="1"/>
  <c r="T868" i="1"/>
  <c r="S868" i="1"/>
  <c r="R868" i="1"/>
  <c r="Q868" i="1"/>
  <c r="P868" i="1"/>
  <c r="T867" i="1"/>
  <c r="S867" i="1"/>
  <c r="R867" i="1"/>
  <c r="Q867" i="1"/>
  <c r="P867" i="1"/>
  <c r="T866" i="1"/>
  <c r="S866" i="1"/>
  <c r="R866" i="1"/>
  <c r="Q866" i="1"/>
  <c r="P866" i="1"/>
  <c r="T865" i="1"/>
  <c r="S865" i="1"/>
  <c r="R865" i="1"/>
  <c r="Q865" i="1"/>
  <c r="P865" i="1"/>
  <c r="T864" i="1"/>
  <c r="S864" i="1"/>
  <c r="R864" i="1"/>
  <c r="Q864" i="1"/>
  <c r="P864" i="1"/>
  <c r="T863" i="1"/>
  <c r="S863" i="1"/>
  <c r="R863" i="1"/>
  <c r="Q863" i="1"/>
  <c r="P863" i="1"/>
  <c r="T862" i="1"/>
  <c r="S862" i="1"/>
  <c r="R862" i="1"/>
  <c r="Q862" i="1"/>
  <c r="P862" i="1"/>
  <c r="T861" i="1"/>
  <c r="S861" i="1"/>
  <c r="R861" i="1"/>
  <c r="Q861" i="1"/>
  <c r="P861" i="1"/>
  <c r="T860" i="1"/>
  <c r="S860" i="1"/>
  <c r="R860" i="1"/>
  <c r="Q860" i="1"/>
  <c r="P860" i="1"/>
  <c r="T859" i="1"/>
  <c r="S859" i="1"/>
  <c r="R859" i="1"/>
  <c r="Q859" i="1"/>
  <c r="P859" i="1"/>
  <c r="T858" i="1"/>
  <c r="S858" i="1"/>
  <c r="R858" i="1"/>
  <c r="Q858" i="1"/>
  <c r="P858" i="1"/>
  <c r="T857" i="1"/>
  <c r="S857" i="1"/>
  <c r="R857" i="1"/>
  <c r="Q857" i="1"/>
  <c r="P857" i="1"/>
  <c r="T856" i="1"/>
  <c r="S856" i="1"/>
  <c r="R856" i="1"/>
  <c r="Q856" i="1"/>
  <c r="P856" i="1"/>
  <c r="T855" i="1"/>
  <c r="S855" i="1"/>
  <c r="R855" i="1"/>
  <c r="Q855" i="1"/>
  <c r="P855" i="1"/>
  <c r="T854" i="1"/>
  <c r="S854" i="1"/>
  <c r="R854" i="1"/>
  <c r="Q854" i="1"/>
  <c r="P854" i="1"/>
  <c r="T853" i="1"/>
  <c r="S853" i="1"/>
  <c r="R853" i="1"/>
  <c r="Q853" i="1"/>
  <c r="P853" i="1"/>
  <c r="T852" i="1"/>
  <c r="S852" i="1"/>
  <c r="R852" i="1"/>
  <c r="Q852" i="1"/>
  <c r="P852" i="1"/>
  <c r="T851" i="1"/>
  <c r="S851" i="1"/>
  <c r="R851" i="1"/>
  <c r="Q851" i="1"/>
  <c r="P851" i="1"/>
  <c r="T850" i="1"/>
  <c r="S850" i="1"/>
  <c r="R850" i="1"/>
  <c r="Q850" i="1"/>
  <c r="P850" i="1"/>
  <c r="T849" i="1"/>
  <c r="S849" i="1"/>
  <c r="R849" i="1"/>
  <c r="Q849" i="1"/>
  <c r="P849" i="1"/>
  <c r="T848" i="1"/>
  <c r="S848" i="1"/>
  <c r="R848" i="1"/>
  <c r="Q848" i="1"/>
  <c r="P848" i="1"/>
  <c r="T847" i="1"/>
  <c r="S847" i="1"/>
  <c r="R847" i="1"/>
  <c r="Q847" i="1"/>
  <c r="P847" i="1"/>
  <c r="T846" i="1"/>
  <c r="S846" i="1"/>
  <c r="R846" i="1"/>
  <c r="Q846" i="1"/>
  <c r="P846" i="1"/>
  <c r="T845" i="1"/>
  <c r="S845" i="1"/>
  <c r="R845" i="1"/>
  <c r="Q845" i="1"/>
  <c r="P845" i="1"/>
  <c r="T844" i="1"/>
  <c r="S844" i="1"/>
  <c r="R844" i="1"/>
  <c r="Q844" i="1"/>
  <c r="P844" i="1"/>
  <c r="T843" i="1"/>
  <c r="S843" i="1"/>
  <c r="R843" i="1"/>
  <c r="Q843" i="1"/>
  <c r="P843" i="1"/>
  <c r="T842" i="1"/>
  <c r="S842" i="1"/>
  <c r="R842" i="1"/>
  <c r="Q842" i="1"/>
  <c r="P842" i="1"/>
  <c r="T841" i="1"/>
  <c r="S841" i="1"/>
  <c r="R841" i="1"/>
  <c r="Q841" i="1"/>
  <c r="P841" i="1"/>
  <c r="T840" i="1"/>
  <c r="S840" i="1"/>
  <c r="R840" i="1"/>
  <c r="Q840" i="1"/>
  <c r="P840" i="1"/>
  <c r="T839" i="1"/>
  <c r="S839" i="1"/>
  <c r="R839" i="1"/>
  <c r="Q839" i="1"/>
  <c r="P839" i="1"/>
  <c r="T838" i="1"/>
  <c r="S838" i="1"/>
  <c r="R838" i="1"/>
  <c r="Q838" i="1"/>
  <c r="P838" i="1"/>
  <c r="T837" i="1"/>
  <c r="S837" i="1"/>
  <c r="R837" i="1"/>
  <c r="Q837" i="1"/>
  <c r="P837" i="1"/>
  <c r="T836" i="1"/>
  <c r="S836" i="1"/>
  <c r="R836" i="1"/>
  <c r="Q836" i="1"/>
  <c r="P836" i="1"/>
  <c r="T835" i="1"/>
  <c r="S835" i="1"/>
  <c r="R835" i="1"/>
  <c r="Q835" i="1"/>
  <c r="P835" i="1"/>
  <c r="T834" i="1"/>
  <c r="S834" i="1"/>
  <c r="R834" i="1"/>
  <c r="Q834" i="1"/>
  <c r="P834" i="1"/>
  <c r="T833" i="1"/>
  <c r="S833" i="1"/>
  <c r="R833" i="1"/>
  <c r="Q833" i="1"/>
  <c r="P833" i="1"/>
  <c r="T832" i="1"/>
  <c r="S832" i="1"/>
  <c r="R832" i="1"/>
  <c r="Q832" i="1"/>
  <c r="P832" i="1"/>
  <c r="T831" i="1"/>
  <c r="S831" i="1"/>
  <c r="R831" i="1"/>
  <c r="Q831" i="1"/>
  <c r="P831" i="1"/>
  <c r="T830" i="1"/>
  <c r="S830" i="1"/>
  <c r="R830" i="1"/>
  <c r="Q830" i="1"/>
  <c r="P830" i="1"/>
  <c r="T829" i="1"/>
  <c r="S829" i="1"/>
  <c r="R829" i="1"/>
  <c r="Q829" i="1"/>
  <c r="P829" i="1"/>
  <c r="T828" i="1"/>
  <c r="S828" i="1"/>
  <c r="R828" i="1"/>
  <c r="Q828" i="1"/>
  <c r="P828" i="1"/>
  <c r="T827" i="1"/>
  <c r="S827" i="1"/>
  <c r="R827" i="1"/>
  <c r="Q827" i="1"/>
  <c r="P827" i="1"/>
  <c r="T826" i="1"/>
  <c r="S826" i="1"/>
  <c r="R826" i="1"/>
  <c r="Q826" i="1"/>
  <c r="P826" i="1"/>
  <c r="T825" i="1"/>
  <c r="S825" i="1"/>
  <c r="R825" i="1"/>
  <c r="Q825" i="1"/>
  <c r="P825" i="1"/>
  <c r="T824" i="1"/>
  <c r="S824" i="1"/>
  <c r="R824" i="1"/>
  <c r="Q824" i="1"/>
  <c r="P824" i="1"/>
  <c r="T823" i="1"/>
  <c r="S823" i="1"/>
  <c r="R823" i="1"/>
  <c r="Q823" i="1"/>
  <c r="P823" i="1"/>
  <c r="T822" i="1"/>
  <c r="S822" i="1"/>
  <c r="R822" i="1"/>
  <c r="Q822" i="1"/>
  <c r="P822" i="1"/>
  <c r="T821" i="1"/>
  <c r="S821" i="1"/>
  <c r="R821" i="1"/>
  <c r="Q821" i="1"/>
  <c r="P821" i="1"/>
  <c r="T820" i="1"/>
  <c r="S820" i="1"/>
  <c r="R820" i="1"/>
  <c r="Q820" i="1"/>
  <c r="P820" i="1"/>
  <c r="T819" i="1"/>
  <c r="S819" i="1"/>
  <c r="R819" i="1"/>
  <c r="Q819" i="1"/>
  <c r="P819" i="1"/>
  <c r="T818" i="1"/>
  <c r="S818" i="1"/>
  <c r="R818" i="1"/>
  <c r="Q818" i="1"/>
  <c r="P818" i="1"/>
  <c r="T817" i="1"/>
  <c r="S817" i="1"/>
  <c r="R817" i="1"/>
  <c r="Q817" i="1"/>
  <c r="P817" i="1"/>
  <c r="T816" i="1"/>
  <c r="S816" i="1"/>
  <c r="R816" i="1"/>
  <c r="Q816" i="1"/>
  <c r="P816" i="1"/>
  <c r="T815" i="1"/>
  <c r="S815" i="1"/>
  <c r="R815" i="1"/>
  <c r="Q815" i="1"/>
  <c r="P815" i="1"/>
  <c r="T814" i="1"/>
  <c r="S814" i="1"/>
  <c r="R814" i="1"/>
  <c r="Q814" i="1"/>
  <c r="P814" i="1"/>
  <c r="T813" i="1"/>
  <c r="S813" i="1"/>
  <c r="R813" i="1"/>
  <c r="Q813" i="1"/>
  <c r="P813" i="1"/>
  <c r="T812" i="1"/>
  <c r="S812" i="1"/>
  <c r="R812" i="1"/>
  <c r="Q812" i="1"/>
  <c r="P812" i="1"/>
  <c r="T811" i="1"/>
  <c r="S811" i="1"/>
  <c r="R811" i="1"/>
  <c r="Q811" i="1"/>
  <c r="P811" i="1"/>
  <c r="T810" i="1"/>
  <c r="S810" i="1"/>
  <c r="R810" i="1"/>
  <c r="Q810" i="1"/>
  <c r="P810" i="1"/>
  <c r="T809" i="1"/>
  <c r="S809" i="1"/>
  <c r="R809" i="1"/>
  <c r="Q809" i="1"/>
  <c r="P809" i="1"/>
  <c r="T808" i="1"/>
  <c r="S808" i="1"/>
  <c r="R808" i="1"/>
  <c r="Q808" i="1"/>
  <c r="P808" i="1"/>
  <c r="T807" i="1"/>
  <c r="S807" i="1"/>
  <c r="R807" i="1"/>
  <c r="Q807" i="1"/>
  <c r="P807" i="1"/>
  <c r="T806" i="1"/>
  <c r="S806" i="1"/>
  <c r="R806" i="1"/>
  <c r="Q806" i="1"/>
  <c r="P806" i="1"/>
  <c r="T805" i="1"/>
  <c r="S805" i="1"/>
  <c r="R805" i="1"/>
  <c r="Q805" i="1"/>
  <c r="P805" i="1"/>
  <c r="T804" i="1"/>
  <c r="S804" i="1"/>
  <c r="R804" i="1"/>
  <c r="Q804" i="1"/>
  <c r="P804" i="1"/>
  <c r="T803" i="1"/>
  <c r="S803" i="1"/>
  <c r="R803" i="1"/>
  <c r="Q803" i="1"/>
  <c r="P803" i="1"/>
  <c r="T802" i="1"/>
  <c r="S802" i="1"/>
  <c r="R802" i="1"/>
  <c r="Q802" i="1"/>
  <c r="P802" i="1"/>
  <c r="T801" i="1"/>
  <c r="S801" i="1"/>
  <c r="R801" i="1"/>
  <c r="Q801" i="1"/>
  <c r="P801" i="1"/>
  <c r="T800" i="1"/>
  <c r="S800" i="1"/>
  <c r="R800" i="1"/>
  <c r="Q800" i="1"/>
  <c r="P800" i="1"/>
  <c r="T799" i="1"/>
  <c r="S799" i="1"/>
  <c r="R799" i="1"/>
  <c r="Q799" i="1"/>
  <c r="P799" i="1"/>
  <c r="T798" i="1"/>
  <c r="S798" i="1"/>
  <c r="R798" i="1"/>
  <c r="Q798" i="1"/>
  <c r="P798" i="1"/>
  <c r="T797" i="1"/>
  <c r="S797" i="1"/>
  <c r="R797" i="1"/>
  <c r="Q797" i="1"/>
  <c r="P797" i="1"/>
  <c r="T796" i="1"/>
  <c r="S796" i="1"/>
  <c r="R796" i="1"/>
  <c r="Q796" i="1"/>
  <c r="P796" i="1"/>
  <c r="T795" i="1"/>
  <c r="S795" i="1"/>
  <c r="R795" i="1"/>
  <c r="Q795" i="1"/>
  <c r="P795" i="1"/>
  <c r="T794" i="1"/>
  <c r="S794" i="1"/>
  <c r="R794" i="1"/>
  <c r="Q794" i="1"/>
  <c r="P794" i="1"/>
  <c r="T793" i="1"/>
  <c r="S793" i="1"/>
  <c r="R793" i="1"/>
  <c r="Q793" i="1"/>
  <c r="P793" i="1"/>
  <c r="T792" i="1"/>
  <c r="S792" i="1"/>
  <c r="R792" i="1"/>
  <c r="Q792" i="1"/>
  <c r="P792" i="1"/>
  <c r="T791" i="1"/>
  <c r="S791" i="1"/>
  <c r="R791" i="1"/>
  <c r="Q791" i="1"/>
  <c r="P791" i="1"/>
  <c r="T790" i="1"/>
  <c r="S790" i="1"/>
  <c r="R790" i="1"/>
  <c r="Q790" i="1"/>
  <c r="P790" i="1"/>
  <c r="T789" i="1"/>
  <c r="S789" i="1"/>
  <c r="R789" i="1"/>
  <c r="Q789" i="1"/>
  <c r="P789" i="1"/>
  <c r="T788" i="1"/>
  <c r="S788" i="1"/>
  <c r="R788" i="1"/>
  <c r="Q788" i="1"/>
  <c r="P788" i="1"/>
  <c r="T787" i="1"/>
  <c r="S787" i="1"/>
  <c r="R787" i="1"/>
  <c r="Q787" i="1"/>
  <c r="P787" i="1"/>
  <c r="T786" i="1"/>
  <c r="S786" i="1"/>
  <c r="R786" i="1"/>
  <c r="Q786" i="1"/>
  <c r="P786" i="1"/>
  <c r="T785" i="1"/>
  <c r="S785" i="1"/>
  <c r="R785" i="1"/>
  <c r="Q785" i="1"/>
  <c r="P785" i="1"/>
  <c r="T784" i="1"/>
  <c r="S784" i="1"/>
  <c r="R784" i="1"/>
  <c r="Q784" i="1"/>
  <c r="P784" i="1"/>
  <c r="T783" i="1"/>
  <c r="S783" i="1"/>
  <c r="R783" i="1"/>
  <c r="Q783" i="1"/>
  <c r="P783" i="1"/>
  <c r="T782" i="1"/>
  <c r="S782" i="1"/>
  <c r="R782" i="1"/>
  <c r="Q782" i="1"/>
  <c r="P782" i="1"/>
  <c r="T781" i="1"/>
  <c r="S781" i="1"/>
  <c r="R781" i="1"/>
  <c r="Q781" i="1"/>
  <c r="P781" i="1"/>
  <c r="T780" i="1"/>
  <c r="S780" i="1"/>
  <c r="R780" i="1"/>
  <c r="Q780" i="1"/>
  <c r="P780" i="1"/>
  <c r="T779" i="1"/>
  <c r="S779" i="1"/>
  <c r="R779" i="1"/>
  <c r="Q779" i="1"/>
  <c r="P779" i="1"/>
  <c r="T778" i="1"/>
  <c r="S778" i="1"/>
  <c r="R778" i="1"/>
  <c r="Q778" i="1"/>
  <c r="P778" i="1"/>
  <c r="T777" i="1"/>
  <c r="S777" i="1"/>
  <c r="R777" i="1"/>
  <c r="Q777" i="1"/>
  <c r="P777" i="1"/>
  <c r="T776" i="1"/>
  <c r="S776" i="1"/>
  <c r="R776" i="1"/>
  <c r="Q776" i="1"/>
  <c r="P776" i="1"/>
  <c r="T775" i="1"/>
  <c r="S775" i="1"/>
  <c r="R775" i="1"/>
  <c r="Q775" i="1"/>
  <c r="P775" i="1"/>
  <c r="T774" i="1"/>
  <c r="S774" i="1"/>
  <c r="R774" i="1"/>
  <c r="Q774" i="1"/>
  <c r="P774" i="1"/>
  <c r="T773" i="1"/>
  <c r="S773" i="1"/>
  <c r="R773" i="1"/>
  <c r="Q773" i="1"/>
  <c r="P773" i="1"/>
  <c r="T772" i="1"/>
  <c r="S772" i="1"/>
  <c r="R772" i="1"/>
  <c r="Q772" i="1"/>
  <c r="P772" i="1"/>
  <c r="T771" i="1"/>
  <c r="S771" i="1"/>
  <c r="R771" i="1"/>
  <c r="Q771" i="1"/>
  <c r="P771" i="1"/>
  <c r="T770" i="1"/>
  <c r="S770" i="1"/>
  <c r="R770" i="1"/>
  <c r="Q770" i="1"/>
  <c r="P770" i="1"/>
  <c r="T769" i="1"/>
  <c r="S769" i="1"/>
  <c r="R769" i="1"/>
  <c r="Q769" i="1"/>
  <c r="P769" i="1"/>
  <c r="T768" i="1"/>
  <c r="S768" i="1"/>
  <c r="R768" i="1"/>
  <c r="Q768" i="1"/>
  <c r="P768" i="1"/>
  <c r="T767" i="1"/>
  <c r="S767" i="1"/>
  <c r="R767" i="1"/>
  <c r="Q767" i="1"/>
  <c r="P767" i="1"/>
  <c r="T766" i="1"/>
  <c r="S766" i="1"/>
  <c r="R766" i="1"/>
  <c r="Q766" i="1"/>
  <c r="P766" i="1"/>
  <c r="T765" i="1"/>
  <c r="S765" i="1"/>
  <c r="R765" i="1"/>
  <c r="Q765" i="1"/>
  <c r="P765" i="1"/>
  <c r="T764" i="1"/>
  <c r="S764" i="1"/>
  <c r="R764" i="1"/>
  <c r="Q764" i="1"/>
  <c r="P764" i="1"/>
  <c r="T763" i="1"/>
  <c r="S763" i="1"/>
  <c r="R763" i="1"/>
  <c r="Q763" i="1"/>
  <c r="P763" i="1"/>
  <c r="T762" i="1"/>
  <c r="S762" i="1"/>
  <c r="R762" i="1"/>
  <c r="Q762" i="1"/>
  <c r="P762" i="1"/>
  <c r="T761" i="1"/>
  <c r="S761" i="1"/>
  <c r="R761" i="1"/>
  <c r="Q761" i="1"/>
  <c r="P761" i="1"/>
  <c r="T760" i="1"/>
  <c r="S760" i="1"/>
  <c r="R760" i="1"/>
  <c r="Q760" i="1"/>
  <c r="P760" i="1"/>
  <c r="T759" i="1"/>
  <c r="S759" i="1"/>
  <c r="R759" i="1"/>
  <c r="Q759" i="1"/>
  <c r="P759" i="1"/>
  <c r="T758" i="1"/>
  <c r="S758" i="1"/>
  <c r="R758" i="1"/>
  <c r="Q758" i="1"/>
  <c r="P758" i="1"/>
  <c r="T757" i="1"/>
  <c r="S757" i="1"/>
  <c r="R757" i="1"/>
  <c r="Q757" i="1"/>
  <c r="P757" i="1"/>
  <c r="T756" i="1"/>
  <c r="S756" i="1"/>
  <c r="R756" i="1"/>
  <c r="Q756" i="1"/>
  <c r="P756" i="1"/>
  <c r="T755" i="1"/>
  <c r="S755" i="1"/>
  <c r="R755" i="1"/>
  <c r="Q755" i="1"/>
  <c r="P755" i="1"/>
  <c r="T754" i="1"/>
  <c r="S754" i="1"/>
  <c r="R754" i="1"/>
  <c r="Q754" i="1"/>
  <c r="P754" i="1"/>
  <c r="T753" i="1"/>
  <c r="S753" i="1"/>
  <c r="R753" i="1"/>
  <c r="Q753" i="1"/>
  <c r="P753" i="1"/>
  <c r="T752" i="1"/>
  <c r="S752" i="1"/>
  <c r="R752" i="1"/>
  <c r="Q752" i="1"/>
  <c r="P752" i="1"/>
  <c r="T751" i="1"/>
  <c r="S751" i="1"/>
  <c r="R751" i="1"/>
  <c r="Q751" i="1"/>
  <c r="P751" i="1"/>
  <c r="T750" i="1"/>
  <c r="S750" i="1"/>
  <c r="R750" i="1"/>
  <c r="Q750" i="1"/>
  <c r="P750" i="1"/>
  <c r="T749" i="1"/>
  <c r="S749" i="1"/>
  <c r="R749" i="1"/>
  <c r="Q749" i="1"/>
  <c r="P749" i="1"/>
  <c r="T748" i="1"/>
  <c r="S748" i="1"/>
  <c r="R748" i="1"/>
  <c r="Q748" i="1"/>
  <c r="P748" i="1"/>
  <c r="T747" i="1"/>
  <c r="S747" i="1"/>
  <c r="R747" i="1"/>
  <c r="Q747" i="1"/>
  <c r="P747" i="1"/>
  <c r="T746" i="1"/>
  <c r="S746" i="1"/>
  <c r="R746" i="1"/>
  <c r="Q746" i="1"/>
  <c r="P746" i="1"/>
  <c r="T745" i="1"/>
  <c r="S745" i="1"/>
  <c r="R745" i="1"/>
  <c r="Q745" i="1"/>
  <c r="P745" i="1"/>
  <c r="T744" i="1"/>
  <c r="S744" i="1"/>
  <c r="R744" i="1"/>
  <c r="Q744" i="1"/>
  <c r="P744" i="1"/>
  <c r="T743" i="1"/>
  <c r="S743" i="1"/>
  <c r="R743" i="1"/>
  <c r="Q743" i="1"/>
  <c r="P743" i="1"/>
  <c r="T742" i="1"/>
  <c r="S742" i="1"/>
  <c r="R742" i="1"/>
  <c r="Q742" i="1"/>
  <c r="P742" i="1"/>
  <c r="T741" i="1"/>
  <c r="S741" i="1"/>
  <c r="R741" i="1"/>
  <c r="Q741" i="1"/>
  <c r="P741" i="1"/>
  <c r="T740" i="1"/>
  <c r="S740" i="1"/>
  <c r="R740" i="1"/>
  <c r="Q740" i="1"/>
  <c r="P740" i="1"/>
  <c r="T739" i="1"/>
  <c r="S739" i="1"/>
  <c r="R739" i="1"/>
  <c r="Q739" i="1"/>
  <c r="P739" i="1"/>
  <c r="T738" i="1"/>
  <c r="S738" i="1"/>
  <c r="R738" i="1"/>
  <c r="Q738" i="1"/>
  <c r="P738" i="1"/>
  <c r="T737" i="1"/>
  <c r="S737" i="1"/>
  <c r="R737" i="1"/>
  <c r="Q737" i="1"/>
  <c r="P737" i="1"/>
  <c r="T736" i="1"/>
  <c r="S736" i="1"/>
  <c r="R736" i="1"/>
  <c r="Q736" i="1"/>
  <c r="P736" i="1"/>
  <c r="T735" i="1"/>
  <c r="S735" i="1"/>
  <c r="R735" i="1"/>
  <c r="Q735" i="1"/>
  <c r="P735" i="1"/>
  <c r="T734" i="1"/>
  <c r="S734" i="1"/>
  <c r="R734" i="1"/>
  <c r="Q734" i="1"/>
  <c r="P734" i="1"/>
  <c r="T733" i="1"/>
  <c r="S733" i="1"/>
  <c r="R733" i="1"/>
  <c r="Q733" i="1"/>
  <c r="P733" i="1"/>
  <c r="T732" i="1"/>
  <c r="S732" i="1"/>
  <c r="R732" i="1"/>
  <c r="Q732" i="1"/>
  <c r="P732" i="1"/>
  <c r="T731" i="1"/>
  <c r="S731" i="1"/>
  <c r="R731" i="1"/>
  <c r="Q731" i="1"/>
  <c r="P731" i="1"/>
  <c r="T730" i="1"/>
  <c r="S730" i="1"/>
  <c r="R730" i="1"/>
  <c r="Q730" i="1"/>
  <c r="P730" i="1"/>
  <c r="T729" i="1"/>
  <c r="S729" i="1"/>
  <c r="R729" i="1"/>
  <c r="Q729" i="1"/>
  <c r="P729" i="1"/>
  <c r="T728" i="1"/>
  <c r="S728" i="1"/>
  <c r="R728" i="1"/>
  <c r="Q728" i="1"/>
  <c r="P728" i="1"/>
  <c r="T727" i="1"/>
  <c r="S727" i="1"/>
  <c r="R727" i="1"/>
  <c r="Q727" i="1"/>
  <c r="P727" i="1"/>
  <c r="T726" i="1"/>
  <c r="S726" i="1"/>
  <c r="R726" i="1"/>
  <c r="Q726" i="1"/>
  <c r="P726" i="1"/>
  <c r="T725" i="1"/>
  <c r="S725" i="1"/>
  <c r="R725" i="1"/>
  <c r="Q725" i="1"/>
  <c r="P725" i="1"/>
  <c r="T724" i="1"/>
  <c r="S724" i="1"/>
  <c r="R724" i="1"/>
  <c r="Q724" i="1"/>
  <c r="P724" i="1"/>
  <c r="T723" i="1"/>
  <c r="S723" i="1"/>
  <c r="R723" i="1"/>
  <c r="Q723" i="1"/>
  <c r="P723" i="1"/>
  <c r="T722" i="1"/>
  <c r="S722" i="1"/>
  <c r="R722" i="1"/>
  <c r="Q722" i="1"/>
  <c r="P722" i="1"/>
  <c r="T721" i="1"/>
  <c r="S721" i="1"/>
  <c r="R721" i="1"/>
  <c r="Q721" i="1"/>
  <c r="P721" i="1"/>
  <c r="T720" i="1"/>
  <c r="S720" i="1"/>
  <c r="R720" i="1"/>
  <c r="Q720" i="1"/>
  <c r="P720" i="1"/>
  <c r="T719" i="1"/>
  <c r="S719" i="1"/>
  <c r="R719" i="1"/>
  <c r="Q719" i="1"/>
  <c r="P719" i="1"/>
  <c r="T718" i="1"/>
  <c r="S718" i="1"/>
  <c r="R718" i="1"/>
  <c r="Q718" i="1"/>
  <c r="P718" i="1"/>
  <c r="T717" i="1"/>
  <c r="S717" i="1"/>
  <c r="R717" i="1"/>
  <c r="Q717" i="1"/>
  <c r="P717" i="1"/>
  <c r="T716" i="1"/>
  <c r="S716" i="1"/>
  <c r="R716" i="1"/>
  <c r="Q716" i="1"/>
  <c r="P716" i="1"/>
  <c r="T715" i="1"/>
  <c r="S715" i="1"/>
  <c r="R715" i="1"/>
  <c r="Q715" i="1"/>
  <c r="P715" i="1"/>
  <c r="T714" i="1"/>
  <c r="S714" i="1"/>
  <c r="R714" i="1"/>
  <c r="Q714" i="1"/>
  <c r="P714" i="1"/>
  <c r="T713" i="1"/>
  <c r="S713" i="1"/>
  <c r="R713" i="1"/>
  <c r="Q713" i="1"/>
  <c r="P713" i="1"/>
  <c r="T712" i="1"/>
  <c r="S712" i="1"/>
  <c r="R712" i="1"/>
  <c r="Q712" i="1"/>
  <c r="P712" i="1"/>
  <c r="T711" i="1"/>
  <c r="S711" i="1"/>
  <c r="R711" i="1"/>
  <c r="Q711" i="1"/>
  <c r="P711" i="1"/>
  <c r="T710" i="1"/>
  <c r="S710" i="1"/>
  <c r="R710" i="1"/>
  <c r="Q710" i="1"/>
  <c r="P710" i="1"/>
  <c r="T709" i="1"/>
  <c r="S709" i="1"/>
  <c r="R709" i="1"/>
  <c r="Q709" i="1"/>
  <c r="P709" i="1"/>
  <c r="T708" i="1"/>
  <c r="S708" i="1"/>
  <c r="R708" i="1"/>
  <c r="Q708" i="1"/>
  <c r="P708" i="1"/>
  <c r="T707" i="1"/>
  <c r="S707" i="1"/>
  <c r="R707" i="1"/>
  <c r="Q707" i="1"/>
  <c r="P707" i="1"/>
  <c r="T706" i="1"/>
  <c r="S706" i="1"/>
  <c r="R706" i="1"/>
  <c r="Q706" i="1"/>
  <c r="P706" i="1"/>
  <c r="T705" i="1"/>
  <c r="S705" i="1"/>
  <c r="R705" i="1"/>
  <c r="Q705" i="1"/>
  <c r="P705" i="1"/>
  <c r="T704" i="1"/>
  <c r="S704" i="1"/>
  <c r="R704" i="1"/>
  <c r="Q704" i="1"/>
  <c r="P704" i="1"/>
  <c r="T703" i="1"/>
  <c r="S703" i="1"/>
  <c r="R703" i="1"/>
  <c r="Q703" i="1"/>
  <c r="P703" i="1"/>
  <c r="T702" i="1"/>
  <c r="S702" i="1"/>
  <c r="R702" i="1"/>
  <c r="Q702" i="1"/>
  <c r="P702" i="1"/>
  <c r="T701" i="1"/>
  <c r="S701" i="1"/>
  <c r="R701" i="1"/>
  <c r="Q701" i="1"/>
  <c r="P701" i="1"/>
  <c r="T700" i="1"/>
  <c r="S700" i="1"/>
  <c r="R700" i="1"/>
  <c r="Q700" i="1"/>
  <c r="P700" i="1"/>
  <c r="T699" i="1"/>
  <c r="S699" i="1"/>
  <c r="R699" i="1"/>
  <c r="Q699" i="1"/>
  <c r="P699" i="1"/>
  <c r="T698" i="1"/>
  <c r="S698" i="1"/>
  <c r="R698" i="1"/>
  <c r="Q698" i="1"/>
  <c r="P698" i="1"/>
  <c r="T697" i="1"/>
  <c r="S697" i="1"/>
  <c r="R697" i="1"/>
  <c r="Q697" i="1"/>
  <c r="P697" i="1"/>
  <c r="T696" i="1"/>
  <c r="S696" i="1"/>
  <c r="R696" i="1"/>
  <c r="Q696" i="1"/>
  <c r="P696" i="1"/>
  <c r="T695" i="1"/>
  <c r="S695" i="1"/>
  <c r="R695" i="1"/>
  <c r="Q695" i="1"/>
  <c r="P695" i="1"/>
  <c r="T694" i="1"/>
  <c r="S694" i="1"/>
  <c r="R694" i="1"/>
  <c r="Q694" i="1"/>
  <c r="P694" i="1"/>
  <c r="T693" i="1"/>
  <c r="S693" i="1"/>
  <c r="R693" i="1"/>
  <c r="Q693" i="1"/>
  <c r="P693" i="1"/>
  <c r="T692" i="1"/>
  <c r="S692" i="1"/>
  <c r="R692" i="1"/>
  <c r="Q692" i="1"/>
  <c r="P692" i="1"/>
  <c r="T691" i="1"/>
  <c r="S691" i="1"/>
  <c r="R691" i="1"/>
  <c r="Q691" i="1"/>
  <c r="P691" i="1"/>
  <c r="T690" i="1"/>
  <c r="S690" i="1"/>
  <c r="R690" i="1"/>
  <c r="Q690" i="1"/>
  <c r="P690" i="1"/>
  <c r="T689" i="1"/>
  <c r="S689" i="1"/>
  <c r="R689" i="1"/>
  <c r="Q689" i="1"/>
  <c r="P689" i="1"/>
  <c r="T688" i="1"/>
  <c r="S688" i="1"/>
  <c r="R688" i="1"/>
  <c r="Q688" i="1"/>
  <c r="P688" i="1"/>
  <c r="T687" i="1"/>
  <c r="S687" i="1"/>
  <c r="R687" i="1"/>
  <c r="Q687" i="1"/>
  <c r="P687" i="1"/>
  <c r="T686" i="1"/>
  <c r="S686" i="1"/>
  <c r="R686" i="1"/>
  <c r="Q686" i="1"/>
  <c r="P686" i="1"/>
  <c r="T685" i="1"/>
  <c r="S685" i="1"/>
  <c r="R685" i="1"/>
  <c r="Q685" i="1"/>
  <c r="P685" i="1"/>
  <c r="T684" i="1"/>
  <c r="S684" i="1"/>
  <c r="R684" i="1"/>
  <c r="Q684" i="1"/>
  <c r="P684" i="1"/>
  <c r="T683" i="1"/>
  <c r="S683" i="1"/>
  <c r="R683" i="1"/>
  <c r="Q683" i="1"/>
  <c r="P683" i="1"/>
  <c r="T682" i="1"/>
  <c r="S682" i="1"/>
  <c r="R682" i="1"/>
  <c r="Q682" i="1"/>
  <c r="P682" i="1"/>
  <c r="T681" i="1"/>
  <c r="S681" i="1"/>
  <c r="R681" i="1"/>
  <c r="Q681" i="1"/>
  <c r="P681" i="1"/>
  <c r="T680" i="1"/>
  <c r="S680" i="1"/>
  <c r="R680" i="1"/>
  <c r="Q680" i="1"/>
  <c r="P680" i="1"/>
  <c r="T679" i="1"/>
  <c r="S679" i="1"/>
  <c r="R679" i="1"/>
  <c r="Q679" i="1"/>
  <c r="P679" i="1"/>
  <c r="T678" i="1"/>
  <c r="S678" i="1"/>
  <c r="R678" i="1"/>
  <c r="Q678" i="1"/>
  <c r="P678" i="1"/>
  <c r="T677" i="1"/>
  <c r="S677" i="1"/>
  <c r="R677" i="1"/>
  <c r="Q677" i="1"/>
  <c r="P677" i="1"/>
  <c r="T676" i="1"/>
  <c r="S676" i="1"/>
  <c r="R676" i="1"/>
  <c r="Q676" i="1"/>
  <c r="P676" i="1"/>
  <c r="T675" i="1"/>
  <c r="S675" i="1"/>
  <c r="R675" i="1"/>
  <c r="Q675" i="1"/>
  <c r="P675" i="1"/>
  <c r="T674" i="1"/>
  <c r="S674" i="1"/>
  <c r="R674" i="1"/>
  <c r="Q674" i="1"/>
  <c r="P674" i="1"/>
  <c r="T673" i="1"/>
  <c r="S673" i="1"/>
  <c r="R673" i="1"/>
  <c r="Q673" i="1"/>
  <c r="P673" i="1"/>
  <c r="T672" i="1"/>
  <c r="S672" i="1"/>
  <c r="R672" i="1"/>
  <c r="Q672" i="1"/>
  <c r="P672" i="1"/>
  <c r="T671" i="1"/>
  <c r="S671" i="1"/>
  <c r="R671" i="1"/>
  <c r="Q671" i="1"/>
  <c r="P671" i="1"/>
  <c r="T670" i="1"/>
  <c r="S670" i="1"/>
  <c r="R670" i="1"/>
  <c r="Q670" i="1"/>
  <c r="P670" i="1"/>
  <c r="T669" i="1"/>
  <c r="S669" i="1"/>
  <c r="R669" i="1"/>
  <c r="Q669" i="1"/>
  <c r="P669" i="1"/>
  <c r="T668" i="1"/>
  <c r="S668" i="1"/>
  <c r="R668" i="1"/>
  <c r="Q668" i="1"/>
  <c r="P668" i="1"/>
  <c r="T667" i="1"/>
  <c r="S667" i="1"/>
  <c r="R667" i="1"/>
  <c r="Q667" i="1"/>
  <c r="P667" i="1"/>
  <c r="T666" i="1"/>
  <c r="S666" i="1"/>
  <c r="R666" i="1"/>
  <c r="Q666" i="1"/>
  <c r="P666" i="1"/>
  <c r="T665" i="1"/>
  <c r="S665" i="1"/>
  <c r="R665" i="1"/>
  <c r="Q665" i="1"/>
  <c r="P665" i="1"/>
  <c r="T664" i="1"/>
  <c r="S664" i="1"/>
  <c r="R664" i="1"/>
  <c r="Q664" i="1"/>
  <c r="P664" i="1"/>
  <c r="T663" i="1"/>
  <c r="S663" i="1"/>
  <c r="R663" i="1"/>
  <c r="Q663" i="1"/>
  <c r="P663" i="1"/>
  <c r="T662" i="1"/>
  <c r="S662" i="1"/>
  <c r="R662" i="1"/>
  <c r="Q662" i="1"/>
  <c r="P662" i="1"/>
  <c r="T661" i="1"/>
  <c r="S661" i="1"/>
  <c r="R661" i="1"/>
  <c r="Q661" i="1"/>
  <c r="P661" i="1"/>
  <c r="T660" i="1"/>
  <c r="S660" i="1"/>
  <c r="R660" i="1"/>
  <c r="Q660" i="1"/>
  <c r="P660" i="1"/>
  <c r="T659" i="1"/>
  <c r="S659" i="1"/>
  <c r="R659" i="1"/>
  <c r="Q659" i="1"/>
  <c r="P659" i="1"/>
  <c r="T658" i="1"/>
  <c r="S658" i="1"/>
  <c r="R658" i="1"/>
  <c r="Q658" i="1"/>
  <c r="P658" i="1"/>
  <c r="T657" i="1"/>
  <c r="S657" i="1"/>
  <c r="R657" i="1"/>
  <c r="Q657" i="1"/>
  <c r="P657" i="1"/>
  <c r="T656" i="1"/>
  <c r="S656" i="1"/>
  <c r="R656" i="1"/>
  <c r="Q656" i="1"/>
  <c r="P656" i="1"/>
  <c r="T655" i="1"/>
  <c r="S655" i="1"/>
  <c r="R655" i="1"/>
  <c r="Q655" i="1"/>
  <c r="P655" i="1"/>
  <c r="T654" i="1"/>
  <c r="S654" i="1"/>
  <c r="R654" i="1"/>
  <c r="Q654" i="1"/>
  <c r="P654" i="1"/>
  <c r="T653" i="1"/>
  <c r="S653" i="1"/>
  <c r="R653" i="1"/>
  <c r="Q653" i="1"/>
  <c r="P653" i="1"/>
  <c r="T652" i="1"/>
  <c r="S652" i="1"/>
  <c r="R652" i="1"/>
  <c r="Q652" i="1"/>
  <c r="P652" i="1"/>
  <c r="T651" i="1"/>
  <c r="S651" i="1"/>
  <c r="R651" i="1"/>
  <c r="Q651" i="1"/>
  <c r="P651" i="1"/>
  <c r="T650" i="1"/>
  <c r="S650" i="1"/>
  <c r="R650" i="1"/>
  <c r="Q650" i="1"/>
  <c r="P650" i="1"/>
  <c r="T649" i="1"/>
  <c r="S649" i="1"/>
  <c r="R649" i="1"/>
  <c r="Q649" i="1"/>
  <c r="P649" i="1"/>
  <c r="T648" i="1"/>
  <c r="S648" i="1"/>
  <c r="R648" i="1"/>
  <c r="Q648" i="1"/>
  <c r="P648" i="1"/>
  <c r="T647" i="1"/>
  <c r="S647" i="1"/>
  <c r="R647" i="1"/>
  <c r="Q647" i="1"/>
  <c r="P647" i="1"/>
  <c r="T646" i="1"/>
  <c r="S646" i="1"/>
  <c r="R646" i="1"/>
  <c r="Q646" i="1"/>
  <c r="P646" i="1"/>
  <c r="T645" i="1"/>
  <c r="S645" i="1"/>
  <c r="R645" i="1"/>
  <c r="Q645" i="1"/>
  <c r="P645" i="1"/>
  <c r="T644" i="1"/>
  <c r="S644" i="1"/>
  <c r="R644" i="1"/>
  <c r="Q644" i="1"/>
  <c r="P644" i="1"/>
  <c r="T643" i="1"/>
  <c r="S643" i="1"/>
  <c r="R643" i="1"/>
  <c r="Q643" i="1"/>
  <c r="P643" i="1"/>
  <c r="T642" i="1"/>
  <c r="S642" i="1"/>
  <c r="R642" i="1"/>
  <c r="Q642" i="1"/>
  <c r="P642" i="1"/>
  <c r="T641" i="1"/>
  <c r="S641" i="1"/>
  <c r="R641" i="1"/>
  <c r="Q641" i="1"/>
  <c r="P641" i="1"/>
  <c r="T640" i="1"/>
  <c r="S640" i="1"/>
  <c r="R640" i="1"/>
  <c r="Q640" i="1"/>
  <c r="P640" i="1"/>
  <c r="T639" i="1"/>
  <c r="S639" i="1"/>
  <c r="R639" i="1"/>
  <c r="Q639" i="1"/>
  <c r="P639" i="1"/>
  <c r="T638" i="1"/>
  <c r="S638" i="1"/>
  <c r="R638" i="1"/>
  <c r="Q638" i="1"/>
  <c r="P638" i="1"/>
  <c r="T637" i="1"/>
  <c r="S637" i="1"/>
  <c r="R637" i="1"/>
  <c r="Q637" i="1"/>
  <c r="P637" i="1"/>
  <c r="T636" i="1"/>
  <c r="S636" i="1"/>
  <c r="R636" i="1"/>
  <c r="Q636" i="1"/>
  <c r="P636" i="1"/>
  <c r="T635" i="1"/>
  <c r="S635" i="1"/>
  <c r="R635" i="1"/>
  <c r="Q635" i="1"/>
  <c r="P635" i="1"/>
  <c r="T634" i="1"/>
  <c r="S634" i="1"/>
  <c r="R634" i="1"/>
  <c r="Q634" i="1"/>
  <c r="P634" i="1"/>
  <c r="T633" i="1"/>
  <c r="S633" i="1"/>
  <c r="R633" i="1"/>
  <c r="Q633" i="1"/>
  <c r="P633" i="1"/>
  <c r="T632" i="1"/>
  <c r="S632" i="1"/>
  <c r="R632" i="1"/>
  <c r="Q632" i="1"/>
  <c r="P632" i="1"/>
  <c r="T631" i="1"/>
  <c r="S631" i="1"/>
  <c r="R631" i="1"/>
  <c r="Q631" i="1"/>
  <c r="P631" i="1"/>
  <c r="T630" i="1"/>
  <c r="S630" i="1"/>
  <c r="R630" i="1"/>
  <c r="Q630" i="1"/>
  <c r="P630" i="1"/>
  <c r="T629" i="1"/>
  <c r="S629" i="1"/>
  <c r="R629" i="1"/>
  <c r="Q629" i="1"/>
  <c r="P629" i="1"/>
  <c r="T628" i="1"/>
  <c r="S628" i="1"/>
  <c r="R628" i="1"/>
  <c r="Q628" i="1"/>
  <c r="P628" i="1"/>
  <c r="T627" i="1"/>
  <c r="S627" i="1"/>
  <c r="R627" i="1"/>
  <c r="Q627" i="1"/>
  <c r="P627" i="1"/>
  <c r="T626" i="1"/>
  <c r="S626" i="1"/>
  <c r="R626" i="1"/>
  <c r="Q626" i="1"/>
  <c r="P626" i="1"/>
  <c r="T625" i="1"/>
  <c r="S625" i="1"/>
  <c r="R625" i="1"/>
  <c r="Q625" i="1"/>
  <c r="P625" i="1"/>
  <c r="T624" i="1"/>
  <c r="S624" i="1"/>
  <c r="R624" i="1"/>
  <c r="Q624" i="1"/>
  <c r="P624" i="1"/>
  <c r="T623" i="1"/>
  <c r="S623" i="1"/>
  <c r="R623" i="1"/>
  <c r="Q623" i="1"/>
  <c r="P623" i="1"/>
  <c r="T622" i="1"/>
  <c r="S622" i="1"/>
  <c r="R622" i="1"/>
  <c r="Q622" i="1"/>
  <c r="P622" i="1"/>
  <c r="T621" i="1"/>
  <c r="S621" i="1"/>
  <c r="R621" i="1"/>
  <c r="Q621" i="1"/>
  <c r="P621" i="1"/>
  <c r="T620" i="1"/>
  <c r="S620" i="1"/>
  <c r="R620" i="1"/>
  <c r="Q620" i="1"/>
  <c r="P620" i="1"/>
  <c r="T619" i="1"/>
  <c r="S619" i="1"/>
  <c r="R619" i="1"/>
  <c r="Q619" i="1"/>
  <c r="P619" i="1"/>
  <c r="T618" i="1"/>
  <c r="S618" i="1"/>
  <c r="R618" i="1"/>
  <c r="Q618" i="1"/>
  <c r="P618" i="1"/>
  <c r="T617" i="1"/>
  <c r="S617" i="1"/>
  <c r="R617" i="1"/>
  <c r="Q617" i="1"/>
  <c r="P617" i="1"/>
  <c r="T616" i="1"/>
  <c r="S616" i="1"/>
  <c r="R616" i="1"/>
  <c r="Q616" i="1"/>
  <c r="P616" i="1"/>
  <c r="T615" i="1"/>
  <c r="S615" i="1"/>
  <c r="R615" i="1"/>
  <c r="Q615" i="1"/>
  <c r="P615" i="1"/>
  <c r="T614" i="1"/>
  <c r="S614" i="1"/>
  <c r="R614" i="1"/>
  <c r="Q614" i="1"/>
  <c r="P614" i="1"/>
  <c r="T613" i="1"/>
  <c r="S613" i="1"/>
  <c r="R613" i="1"/>
  <c r="Q613" i="1"/>
  <c r="P613" i="1"/>
  <c r="T612" i="1"/>
  <c r="S612" i="1"/>
  <c r="R612" i="1"/>
  <c r="Q612" i="1"/>
  <c r="P612" i="1"/>
  <c r="T611" i="1"/>
  <c r="S611" i="1"/>
  <c r="R611" i="1"/>
  <c r="Q611" i="1"/>
  <c r="P611" i="1"/>
  <c r="T610" i="1"/>
  <c r="S610" i="1"/>
  <c r="R610" i="1"/>
  <c r="Q610" i="1"/>
  <c r="P610" i="1"/>
  <c r="T609" i="1"/>
  <c r="S609" i="1"/>
  <c r="R609" i="1"/>
  <c r="Q609" i="1"/>
  <c r="P609" i="1"/>
  <c r="T608" i="1"/>
  <c r="S608" i="1"/>
  <c r="R608" i="1"/>
  <c r="Q608" i="1"/>
  <c r="P608" i="1"/>
  <c r="T607" i="1"/>
  <c r="S607" i="1"/>
  <c r="R607" i="1"/>
  <c r="Q607" i="1"/>
  <c r="P607" i="1"/>
  <c r="T606" i="1"/>
  <c r="S606" i="1"/>
  <c r="R606" i="1"/>
  <c r="Q606" i="1"/>
  <c r="P606" i="1"/>
  <c r="T605" i="1"/>
  <c r="S605" i="1"/>
  <c r="R605" i="1"/>
  <c r="Q605" i="1"/>
  <c r="P605" i="1"/>
  <c r="T604" i="1"/>
  <c r="S604" i="1"/>
  <c r="R604" i="1"/>
  <c r="Q604" i="1"/>
  <c r="P604" i="1"/>
  <c r="T603" i="1"/>
  <c r="S603" i="1"/>
  <c r="R603" i="1"/>
  <c r="Q603" i="1"/>
  <c r="P603" i="1"/>
  <c r="T602" i="1"/>
  <c r="S602" i="1"/>
  <c r="R602" i="1"/>
  <c r="Q602" i="1"/>
  <c r="P602" i="1"/>
  <c r="T601" i="1"/>
  <c r="S601" i="1"/>
  <c r="R601" i="1"/>
  <c r="Q601" i="1"/>
  <c r="P601" i="1"/>
  <c r="T600" i="1"/>
  <c r="S600" i="1"/>
  <c r="R600" i="1"/>
  <c r="Q600" i="1"/>
  <c r="P600" i="1"/>
  <c r="T599" i="1"/>
  <c r="S599" i="1"/>
  <c r="R599" i="1"/>
  <c r="Q599" i="1"/>
  <c r="P599" i="1"/>
  <c r="T598" i="1"/>
  <c r="S598" i="1"/>
  <c r="R598" i="1"/>
  <c r="Q598" i="1"/>
  <c r="P598" i="1"/>
  <c r="T597" i="1"/>
  <c r="S597" i="1"/>
  <c r="R597" i="1"/>
  <c r="Q597" i="1"/>
  <c r="P597" i="1"/>
  <c r="T596" i="1"/>
  <c r="S596" i="1"/>
  <c r="R596" i="1"/>
  <c r="Q596" i="1"/>
  <c r="P596" i="1"/>
  <c r="T595" i="1"/>
  <c r="S595" i="1"/>
  <c r="R595" i="1"/>
  <c r="Q595" i="1"/>
  <c r="P595" i="1"/>
  <c r="T594" i="1"/>
  <c r="S594" i="1"/>
  <c r="R594" i="1"/>
  <c r="Q594" i="1"/>
  <c r="P594" i="1"/>
  <c r="T593" i="1"/>
  <c r="S593" i="1"/>
  <c r="R593" i="1"/>
  <c r="Q593" i="1"/>
  <c r="P593" i="1"/>
  <c r="T592" i="1"/>
  <c r="S592" i="1"/>
  <c r="R592" i="1"/>
  <c r="Q592" i="1"/>
  <c r="P592" i="1"/>
  <c r="T591" i="1"/>
  <c r="S591" i="1"/>
  <c r="R591" i="1"/>
  <c r="Q591" i="1"/>
  <c r="P591" i="1"/>
  <c r="T590" i="1"/>
  <c r="S590" i="1"/>
  <c r="R590" i="1"/>
  <c r="Q590" i="1"/>
  <c r="P590" i="1"/>
  <c r="T589" i="1"/>
  <c r="S589" i="1"/>
  <c r="R589" i="1"/>
  <c r="Q589" i="1"/>
  <c r="P589" i="1"/>
  <c r="T588" i="1"/>
  <c r="S588" i="1"/>
  <c r="R588" i="1"/>
  <c r="Q588" i="1"/>
  <c r="P588" i="1"/>
  <c r="T587" i="1"/>
  <c r="S587" i="1"/>
  <c r="R587" i="1"/>
  <c r="Q587" i="1"/>
  <c r="P587" i="1"/>
  <c r="T586" i="1"/>
  <c r="S586" i="1"/>
  <c r="R586" i="1"/>
  <c r="Q586" i="1"/>
  <c r="P586" i="1"/>
  <c r="T585" i="1"/>
  <c r="S585" i="1"/>
  <c r="R585" i="1"/>
  <c r="Q585" i="1"/>
  <c r="P585" i="1"/>
  <c r="T584" i="1"/>
  <c r="S584" i="1"/>
  <c r="R584" i="1"/>
  <c r="Q584" i="1"/>
  <c r="P584" i="1"/>
  <c r="T583" i="1"/>
  <c r="S583" i="1"/>
  <c r="R583" i="1"/>
  <c r="Q583" i="1"/>
  <c r="P583" i="1"/>
  <c r="T582" i="1"/>
  <c r="S582" i="1"/>
  <c r="R582" i="1"/>
  <c r="Q582" i="1"/>
  <c r="P582" i="1"/>
  <c r="T581" i="1"/>
  <c r="S581" i="1"/>
  <c r="R581" i="1"/>
  <c r="Q581" i="1"/>
  <c r="P581" i="1"/>
  <c r="T580" i="1"/>
  <c r="S580" i="1"/>
  <c r="R580" i="1"/>
  <c r="Q580" i="1"/>
  <c r="P580" i="1"/>
  <c r="T579" i="1"/>
  <c r="S579" i="1"/>
  <c r="R579" i="1"/>
  <c r="Q579" i="1"/>
  <c r="P579" i="1"/>
  <c r="T578" i="1"/>
  <c r="S578" i="1"/>
  <c r="R578" i="1"/>
  <c r="Q578" i="1"/>
  <c r="P578" i="1"/>
  <c r="T577" i="1"/>
  <c r="S577" i="1"/>
  <c r="R577" i="1"/>
  <c r="Q577" i="1"/>
  <c r="P577" i="1"/>
  <c r="T576" i="1"/>
  <c r="S576" i="1"/>
  <c r="R576" i="1"/>
  <c r="Q576" i="1"/>
  <c r="P576" i="1"/>
  <c r="T575" i="1"/>
  <c r="S575" i="1"/>
  <c r="R575" i="1"/>
  <c r="Q575" i="1"/>
  <c r="P575" i="1"/>
  <c r="T574" i="1"/>
  <c r="S574" i="1"/>
  <c r="R574" i="1"/>
  <c r="Q574" i="1"/>
  <c r="P574" i="1"/>
  <c r="T573" i="1"/>
  <c r="S573" i="1"/>
  <c r="R573" i="1"/>
  <c r="Q573" i="1"/>
  <c r="P573" i="1"/>
  <c r="T572" i="1"/>
  <c r="S572" i="1"/>
  <c r="R572" i="1"/>
  <c r="Q572" i="1"/>
  <c r="P572" i="1"/>
  <c r="T571" i="1"/>
  <c r="S571" i="1"/>
  <c r="R571" i="1"/>
  <c r="Q571" i="1"/>
  <c r="P571" i="1"/>
  <c r="T570" i="1"/>
  <c r="S570" i="1"/>
  <c r="R570" i="1"/>
  <c r="Q570" i="1"/>
  <c r="P570" i="1"/>
  <c r="T569" i="1"/>
  <c r="S569" i="1"/>
  <c r="R569" i="1"/>
  <c r="Q569" i="1"/>
  <c r="P569" i="1"/>
  <c r="T568" i="1"/>
  <c r="S568" i="1"/>
  <c r="R568" i="1"/>
  <c r="Q568" i="1"/>
  <c r="P568" i="1"/>
  <c r="T567" i="1"/>
  <c r="S567" i="1"/>
  <c r="R567" i="1"/>
  <c r="Q567" i="1"/>
  <c r="P567" i="1"/>
  <c r="T566" i="1"/>
  <c r="S566" i="1"/>
  <c r="R566" i="1"/>
  <c r="Q566" i="1"/>
  <c r="P566" i="1"/>
  <c r="T565" i="1"/>
  <c r="S565" i="1"/>
  <c r="R565" i="1"/>
  <c r="Q565" i="1"/>
  <c r="P565" i="1"/>
  <c r="T564" i="1"/>
  <c r="S564" i="1"/>
  <c r="R564" i="1"/>
  <c r="Q564" i="1"/>
  <c r="P564" i="1"/>
  <c r="T563" i="1"/>
  <c r="S563" i="1"/>
  <c r="R563" i="1"/>
  <c r="Q563" i="1"/>
  <c r="P563" i="1"/>
  <c r="T562" i="1"/>
  <c r="S562" i="1"/>
  <c r="R562" i="1"/>
  <c r="Q562" i="1"/>
  <c r="P562" i="1"/>
  <c r="T561" i="1"/>
  <c r="S561" i="1"/>
  <c r="R561" i="1"/>
  <c r="Q561" i="1"/>
  <c r="P561" i="1"/>
  <c r="T560" i="1"/>
  <c r="S560" i="1"/>
  <c r="R560" i="1"/>
  <c r="Q560" i="1"/>
  <c r="P560" i="1"/>
  <c r="T559" i="1"/>
  <c r="S559" i="1"/>
  <c r="R559" i="1"/>
  <c r="Q559" i="1"/>
  <c r="P559" i="1"/>
  <c r="T558" i="1"/>
  <c r="S558" i="1"/>
  <c r="R558" i="1"/>
  <c r="Q558" i="1"/>
  <c r="P558" i="1"/>
  <c r="T557" i="1"/>
  <c r="S557" i="1"/>
  <c r="R557" i="1"/>
  <c r="Q557" i="1"/>
  <c r="P557" i="1"/>
  <c r="T556" i="1"/>
  <c r="S556" i="1"/>
  <c r="R556" i="1"/>
  <c r="Q556" i="1"/>
  <c r="P556" i="1"/>
  <c r="T555" i="1"/>
  <c r="S555" i="1"/>
  <c r="R555" i="1"/>
  <c r="Q555" i="1"/>
  <c r="P555" i="1"/>
  <c r="T554" i="1"/>
  <c r="S554" i="1"/>
  <c r="R554" i="1"/>
  <c r="Q554" i="1"/>
  <c r="P554" i="1"/>
  <c r="T553" i="1"/>
  <c r="S553" i="1"/>
  <c r="R553" i="1"/>
  <c r="Q553" i="1"/>
  <c r="P553" i="1"/>
  <c r="T552" i="1"/>
  <c r="S552" i="1"/>
  <c r="R552" i="1"/>
  <c r="Q552" i="1"/>
  <c r="P552" i="1"/>
  <c r="T551" i="1"/>
  <c r="S551" i="1"/>
  <c r="R551" i="1"/>
  <c r="Q551" i="1"/>
  <c r="P551" i="1"/>
  <c r="T550" i="1"/>
  <c r="S550" i="1"/>
  <c r="R550" i="1"/>
  <c r="Q550" i="1"/>
  <c r="P550" i="1"/>
  <c r="T549" i="1"/>
  <c r="S549" i="1"/>
  <c r="R549" i="1"/>
  <c r="Q549" i="1"/>
  <c r="P549" i="1"/>
  <c r="T548" i="1"/>
  <c r="S548" i="1"/>
  <c r="R548" i="1"/>
  <c r="Q548" i="1"/>
  <c r="P548" i="1"/>
  <c r="T547" i="1"/>
  <c r="S547" i="1"/>
  <c r="R547" i="1"/>
  <c r="Q547" i="1"/>
  <c r="P547" i="1"/>
  <c r="T546" i="1"/>
  <c r="S546" i="1"/>
  <c r="R546" i="1"/>
  <c r="Q546" i="1"/>
  <c r="P546" i="1"/>
  <c r="T545" i="1"/>
  <c r="S545" i="1"/>
  <c r="R545" i="1"/>
  <c r="Q545" i="1"/>
  <c r="P545" i="1"/>
  <c r="T544" i="1"/>
  <c r="S544" i="1"/>
  <c r="R544" i="1"/>
  <c r="Q544" i="1"/>
  <c r="P544" i="1"/>
  <c r="T543" i="1"/>
  <c r="S543" i="1"/>
  <c r="R543" i="1"/>
  <c r="Q543" i="1"/>
  <c r="P543" i="1"/>
  <c r="T542" i="1"/>
  <c r="S542" i="1"/>
  <c r="R542" i="1"/>
  <c r="Q542" i="1"/>
  <c r="P542" i="1"/>
  <c r="T541" i="1"/>
  <c r="S541" i="1"/>
  <c r="R541" i="1"/>
  <c r="Q541" i="1"/>
  <c r="P541" i="1"/>
  <c r="T540" i="1"/>
  <c r="S540" i="1"/>
  <c r="R540" i="1"/>
  <c r="Q540" i="1"/>
  <c r="P540" i="1"/>
  <c r="T539" i="1"/>
  <c r="S539" i="1"/>
  <c r="R539" i="1"/>
  <c r="Q539" i="1"/>
  <c r="P539" i="1"/>
  <c r="T538" i="1"/>
  <c r="S538" i="1"/>
  <c r="R538" i="1"/>
  <c r="Q538" i="1"/>
  <c r="P538" i="1"/>
  <c r="T537" i="1"/>
  <c r="S537" i="1"/>
  <c r="R537" i="1"/>
  <c r="Q537" i="1"/>
  <c r="P537" i="1"/>
  <c r="T536" i="1"/>
  <c r="S536" i="1"/>
  <c r="R536" i="1"/>
  <c r="Q536" i="1"/>
  <c r="P536" i="1"/>
  <c r="T535" i="1"/>
  <c r="S535" i="1"/>
  <c r="R535" i="1"/>
  <c r="Q535" i="1"/>
  <c r="P535" i="1"/>
  <c r="T534" i="1"/>
  <c r="S534" i="1"/>
  <c r="R534" i="1"/>
  <c r="Q534" i="1"/>
  <c r="P534" i="1"/>
  <c r="T533" i="1"/>
  <c r="S533" i="1"/>
  <c r="R533" i="1"/>
  <c r="Q533" i="1"/>
  <c r="P533" i="1"/>
  <c r="T532" i="1"/>
  <c r="S532" i="1"/>
  <c r="R532" i="1"/>
  <c r="Q532" i="1"/>
  <c r="P532" i="1"/>
  <c r="T531" i="1"/>
  <c r="S531" i="1"/>
  <c r="R531" i="1"/>
  <c r="Q531" i="1"/>
  <c r="P531" i="1"/>
  <c r="T530" i="1"/>
  <c r="S530" i="1"/>
  <c r="R530" i="1"/>
  <c r="Q530" i="1"/>
  <c r="P530" i="1"/>
  <c r="T529" i="1"/>
  <c r="S529" i="1"/>
  <c r="R529" i="1"/>
  <c r="Q529" i="1"/>
  <c r="P529" i="1"/>
  <c r="T528" i="1"/>
  <c r="S528" i="1"/>
  <c r="R528" i="1"/>
  <c r="Q528" i="1"/>
  <c r="P528" i="1"/>
  <c r="T527" i="1"/>
  <c r="S527" i="1"/>
  <c r="R527" i="1"/>
  <c r="Q527" i="1"/>
  <c r="P527" i="1"/>
  <c r="T526" i="1"/>
  <c r="S526" i="1"/>
  <c r="R526" i="1"/>
  <c r="Q526" i="1"/>
  <c r="P526" i="1"/>
  <c r="T525" i="1"/>
  <c r="S525" i="1"/>
  <c r="R525" i="1"/>
  <c r="Q525" i="1"/>
  <c r="P525" i="1"/>
  <c r="T524" i="1"/>
  <c r="S524" i="1"/>
  <c r="R524" i="1"/>
  <c r="Q524" i="1"/>
  <c r="P524" i="1"/>
  <c r="T523" i="1"/>
  <c r="S523" i="1"/>
  <c r="R523" i="1"/>
  <c r="Q523" i="1"/>
  <c r="P523" i="1"/>
  <c r="T522" i="1"/>
  <c r="S522" i="1"/>
  <c r="R522" i="1"/>
  <c r="Q522" i="1"/>
  <c r="P522" i="1"/>
  <c r="T521" i="1"/>
  <c r="S521" i="1"/>
  <c r="R521" i="1"/>
  <c r="Q521" i="1"/>
  <c r="P521" i="1"/>
  <c r="T520" i="1"/>
  <c r="S520" i="1"/>
  <c r="R520" i="1"/>
  <c r="Q520" i="1"/>
  <c r="P520" i="1"/>
  <c r="T519" i="1"/>
  <c r="S519" i="1"/>
  <c r="R519" i="1"/>
  <c r="Q519" i="1"/>
  <c r="P519" i="1"/>
  <c r="T518" i="1"/>
  <c r="S518" i="1"/>
  <c r="R518" i="1"/>
  <c r="Q518" i="1"/>
  <c r="P518" i="1"/>
  <c r="T517" i="1"/>
  <c r="S517" i="1"/>
  <c r="R517" i="1"/>
  <c r="Q517" i="1"/>
  <c r="P517" i="1"/>
  <c r="T516" i="1"/>
  <c r="S516" i="1"/>
  <c r="R516" i="1"/>
  <c r="Q516" i="1"/>
  <c r="P516" i="1"/>
  <c r="T515" i="1"/>
  <c r="S515" i="1"/>
  <c r="R515" i="1"/>
  <c r="Q515" i="1"/>
  <c r="P515" i="1"/>
  <c r="T514" i="1"/>
  <c r="S514" i="1"/>
  <c r="R514" i="1"/>
  <c r="Q514" i="1"/>
  <c r="P514" i="1"/>
  <c r="T513" i="1"/>
  <c r="S513" i="1"/>
  <c r="R513" i="1"/>
  <c r="Q513" i="1"/>
  <c r="P513" i="1"/>
  <c r="T512" i="1"/>
  <c r="S512" i="1"/>
  <c r="R512" i="1"/>
  <c r="Q512" i="1"/>
  <c r="P512" i="1"/>
  <c r="T511" i="1"/>
  <c r="S511" i="1"/>
  <c r="R511" i="1"/>
  <c r="Q511" i="1"/>
  <c r="P511" i="1"/>
  <c r="T510" i="1"/>
  <c r="S510" i="1"/>
  <c r="R510" i="1"/>
  <c r="Q510" i="1"/>
  <c r="P510" i="1"/>
  <c r="T509" i="1"/>
  <c r="S509" i="1"/>
  <c r="R509" i="1"/>
  <c r="Q509" i="1"/>
  <c r="P509" i="1"/>
  <c r="T508" i="1"/>
  <c r="S508" i="1"/>
  <c r="R508" i="1"/>
  <c r="Q508" i="1"/>
  <c r="P508" i="1"/>
  <c r="T507" i="1"/>
  <c r="S507" i="1"/>
  <c r="R507" i="1"/>
  <c r="Q507" i="1"/>
  <c r="P507" i="1"/>
  <c r="T506" i="1"/>
  <c r="S506" i="1"/>
  <c r="R506" i="1"/>
  <c r="Q506" i="1"/>
  <c r="P506" i="1"/>
  <c r="T505" i="1"/>
  <c r="S505" i="1"/>
  <c r="R505" i="1"/>
  <c r="Q505" i="1"/>
  <c r="P505" i="1"/>
  <c r="T504" i="1"/>
  <c r="S504" i="1"/>
  <c r="R504" i="1"/>
  <c r="Q504" i="1"/>
  <c r="P504" i="1"/>
  <c r="T503" i="1"/>
  <c r="S503" i="1"/>
  <c r="R503" i="1"/>
  <c r="Q503" i="1"/>
  <c r="P503" i="1"/>
  <c r="T502" i="1"/>
  <c r="S502" i="1"/>
  <c r="R502" i="1"/>
  <c r="Q502" i="1"/>
  <c r="P502" i="1"/>
  <c r="T501" i="1"/>
  <c r="S501" i="1"/>
  <c r="R501" i="1"/>
  <c r="Q501" i="1"/>
  <c r="P501" i="1"/>
  <c r="T500" i="1"/>
  <c r="S500" i="1"/>
  <c r="R500" i="1"/>
  <c r="Q500" i="1"/>
  <c r="P500" i="1"/>
  <c r="T499" i="1"/>
  <c r="S499" i="1"/>
  <c r="R499" i="1"/>
  <c r="Q499" i="1"/>
  <c r="P499" i="1"/>
  <c r="T498" i="1"/>
  <c r="S498" i="1"/>
  <c r="R498" i="1"/>
  <c r="Q498" i="1"/>
  <c r="P498" i="1"/>
  <c r="T497" i="1"/>
  <c r="S497" i="1"/>
  <c r="R497" i="1"/>
  <c r="Q497" i="1"/>
  <c r="P497" i="1"/>
  <c r="T496" i="1"/>
  <c r="S496" i="1"/>
  <c r="R496" i="1"/>
  <c r="Q496" i="1"/>
  <c r="P496" i="1"/>
  <c r="T495" i="1"/>
  <c r="S495" i="1"/>
  <c r="R495" i="1"/>
  <c r="Q495" i="1"/>
  <c r="P495" i="1"/>
  <c r="T494" i="1"/>
  <c r="S494" i="1"/>
  <c r="R494" i="1"/>
  <c r="Q494" i="1"/>
  <c r="P494" i="1"/>
  <c r="T493" i="1"/>
  <c r="S493" i="1"/>
  <c r="R493" i="1"/>
  <c r="Q493" i="1"/>
  <c r="P493" i="1"/>
  <c r="T492" i="1"/>
  <c r="S492" i="1"/>
  <c r="R492" i="1"/>
  <c r="Q492" i="1"/>
  <c r="P492" i="1"/>
  <c r="T491" i="1"/>
  <c r="S491" i="1"/>
  <c r="R491" i="1"/>
  <c r="Q491" i="1"/>
  <c r="P491" i="1"/>
  <c r="T490" i="1"/>
  <c r="S490" i="1"/>
  <c r="R490" i="1"/>
  <c r="Q490" i="1"/>
  <c r="P490" i="1"/>
  <c r="T489" i="1"/>
  <c r="S489" i="1"/>
  <c r="R489" i="1"/>
  <c r="Q489" i="1"/>
  <c r="P489" i="1"/>
  <c r="T488" i="1"/>
  <c r="S488" i="1"/>
  <c r="R488" i="1"/>
  <c r="Q488" i="1"/>
  <c r="P488" i="1"/>
  <c r="T487" i="1"/>
  <c r="S487" i="1"/>
  <c r="R487" i="1"/>
  <c r="Q487" i="1"/>
  <c r="P487" i="1"/>
  <c r="T486" i="1"/>
  <c r="S486" i="1"/>
  <c r="R486" i="1"/>
  <c r="Q486" i="1"/>
  <c r="P486" i="1"/>
  <c r="T485" i="1"/>
  <c r="S485" i="1"/>
  <c r="R485" i="1"/>
  <c r="Q485" i="1"/>
  <c r="P485" i="1"/>
  <c r="T484" i="1"/>
  <c r="S484" i="1"/>
  <c r="R484" i="1"/>
  <c r="Q484" i="1"/>
  <c r="P484" i="1"/>
  <c r="T483" i="1"/>
  <c r="S483" i="1"/>
  <c r="R483" i="1"/>
  <c r="Q483" i="1"/>
  <c r="P483" i="1"/>
  <c r="T482" i="1"/>
  <c r="S482" i="1"/>
  <c r="R482" i="1"/>
  <c r="Q482" i="1"/>
  <c r="P482" i="1"/>
  <c r="T481" i="1"/>
  <c r="S481" i="1"/>
  <c r="R481" i="1"/>
  <c r="Q481" i="1"/>
  <c r="P481" i="1"/>
  <c r="T480" i="1"/>
  <c r="S480" i="1"/>
  <c r="R480" i="1"/>
  <c r="Q480" i="1"/>
  <c r="P480" i="1"/>
  <c r="T479" i="1"/>
  <c r="S479" i="1"/>
  <c r="R479" i="1"/>
  <c r="Q479" i="1"/>
  <c r="P479" i="1"/>
  <c r="T478" i="1"/>
  <c r="S478" i="1"/>
  <c r="R478" i="1"/>
  <c r="Q478" i="1"/>
  <c r="P478" i="1"/>
  <c r="T477" i="1"/>
  <c r="S477" i="1"/>
  <c r="R477" i="1"/>
  <c r="Q477" i="1"/>
  <c r="P477" i="1"/>
  <c r="T476" i="1"/>
  <c r="S476" i="1"/>
  <c r="R476" i="1"/>
  <c r="Q476" i="1"/>
  <c r="P476" i="1"/>
  <c r="T475" i="1"/>
  <c r="S475" i="1"/>
  <c r="R475" i="1"/>
  <c r="Q475" i="1"/>
  <c r="P475" i="1"/>
  <c r="T474" i="1"/>
  <c r="S474" i="1"/>
  <c r="R474" i="1"/>
  <c r="Q474" i="1"/>
  <c r="P474" i="1"/>
  <c r="T473" i="1"/>
  <c r="S473" i="1"/>
  <c r="R473" i="1"/>
  <c r="Q473" i="1"/>
  <c r="P473" i="1"/>
  <c r="T472" i="1"/>
  <c r="S472" i="1"/>
  <c r="R472" i="1"/>
  <c r="Q472" i="1"/>
  <c r="P472" i="1"/>
  <c r="T471" i="1"/>
  <c r="S471" i="1"/>
  <c r="R471" i="1"/>
  <c r="Q471" i="1"/>
  <c r="P471" i="1"/>
  <c r="T470" i="1"/>
  <c r="S470" i="1"/>
  <c r="R470" i="1"/>
  <c r="Q470" i="1"/>
  <c r="P470" i="1"/>
  <c r="T469" i="1"/>
  <c r="S469" i="1"/>
  <c r="R469" i="1"/>
  <c r="Q469" i="1"/>
  <c r="P469" i="1"/>
  <c r="T468" i="1"/>
  <c r="S468" i="1"/>
  <c r="R468" i="1"/>
  <c r="Q468" i="1"/>
  <c r="P468" i="1"/>
  <c r="T467" i="1"/>
  <c r="S467" i="1"/>
  <c r="R467" i="1"/>
  <c r="Q467" i="1"/>
  <c r="P467" i="1"/>
  <c r="T466" i="1"/>
  <c r="S466" i="1"/>
  <c r="R466" i="1"/>
  <c r="Q466" i="1"/>
  <c r="P466" i="1"/>
  <c r="T465" i="1"/>
  <c r="S465" i="1"/>
  <c r="R465" i="1"/>
  <c r="Q465" i="1"/>
  <c r="P465" i="1"/>
  <c r="T464" i="1"/>
  <c r="S464" i="1"/>
  <c r="R464" i="1"/>
  <c r="Q464" i="1"/>
  <c r="P464" i="1"/>
  <c r="T463" i="1"/>
  <c r="S463" i="1"/>
  <c r="R463" i="1"/>
  <c r="Q463" i="1"/>
  <c r="P463" i="1"/>
  <c r="T462" i="1"/>
  <c r="S462" i="1"/>
  <c r="R462" i="1"/>
  <c r="Q462" i="1"/>
  <c r="P462" i="1"/>
  <c r="T461" i="1"/>
  <c r="S461" i="1"/>
  <c r="R461" i="1"/>
  <c r="Q461" i="1"/>
  <c r="P461" i="1"/>
  <c r="T460" i="1"/>
  <c r="S460" i="1"/>
  <c r="R460" i="1"/>
  <c r="Q460" i="1"/>
  <c r="P460" i="1"/>
  <c r="T459" i="1"/>
  <c r="S459" i="1"/>
  <c r="R459" i="1"/>
  <c r="Q459" i="1"/>
  <c r="P459" i="1"/>
  <c r="T458" i="1"/>
  <c r="S458" i="1"/>
  <c r="R458" i="1"/>
  <c r="Q458" i="1"/>
  <c r="P458" i="1"/>
  <c r="T457" i="1"/>
  <c r="S457" i="1"/>
  <c r="R457" i="1"/>
  <c r="Q457" i="1"/>
  <c r="P457" i="1"/>
  <c r="T456" i="1"/>
  <c r="S456" i="1"/>
  <c r="R456" i="1"/>
  <c r="Q456" i="1"/>
  <c r="P456" i="1"/>
  <c r="T455" i="1"/>
  <c r="S455" i="1"/>
  <c r="R455" i="1"/>
  <c r="Q455" i="1"/>
  <c r="P455" i="1"/>
  <c r="T454" i="1"/>
  <c r="S454" i="1"/>
  <c r="R454" i="1"/>
  <c r="Q454" i="1"/>
  <c r="P454" i="1"/>
  <c r="T453" i="1"/>
  <c r="S453" i="1"/>
  <c r="R453" i="1"/>
  <c r="Q453" i="1"/>
  <c r="P453" i="1"/>
  <c r="T452" i="1"/>
  <c r="S452" i="1"/>
  <c r="R452" i="1"/>
  <c r="Q452" i="1"/>
  <c r="P452" i="1"/>
  <c r="T451" i="1"/>
  <c r="S451" i="1"/>
  <c r="R451" i="1"/>
  <c r="Q451" i="1"/>
  <c r="P451" i="1"/>
  <c r="T450" i="1"/>
  <c r="S450" i="1"/>
  <c r="R450" i="1"/>
  <c r="Q450" i="1"/>
  <c r="P450" i="1"/>
  <c r="T449" i="1"/>
  <c r="S449" i="1"/>
  <c r="R449" i="1"/>
  <c r="Q449" i="1"/>
  <c r="P449" i="1"/>
  <c r="T448" i="1"/>
  <c r="S448" i="1"/>
  <c r="R448" i="1"/>
  <c r="Q448" i="1"/>
  <c r="P448" i="1"/>
  <c r="T447" i="1"/>
  <c r="S447" i="1"/>
  <c r="R447" i="1"/>
  <c r="Q447" i="1"/>
  <c r="P447" i="1"/>
  <c r="T446" i="1"/>
  <c r="S446" i="1"/>
  <c r="R446" i="1"/>
  <c r="Q446" i="1"/>
  <c r="P446" i="1"/>
  <c r="T445" i="1"/>
  <c r="S445" i="1"/>
  <c r="R445" i="1"/>
  <c r="Q445" i="1"/>
  <c r="P445" i="1"/>
  <c r="T444" i="1"/>
  <c r="S444" i="1"/>
  <c r="R444" i="1"/>
  <c r="Q444" i="1"/>
  <c r="P444" i="1"/>
  <c r="T443" i="1"/>
  <c r="S443" i="1"/>
  <c r="R443" i="1"/>
  <c r="Q443" i="1"/>
  <c r="P443" i="1"/>
  <c r="T442" i="1"/>
  <c r="S442" i="1"/>
  <c r="R442" i="1"/>
  <c r="Q442" i="1"/>
  <c r="P442" i="1"/>
  <c r="T441" i="1"/>
  <c r="S441" i="1"/>
  <c r="R441" i="1"/>
  <c r="Q441" i="1"/>
  <c r="P441" i="1"/>
  <c r="T440" i="1"/>
  <c r="S440" i="1"/>
  <c r="R440" i="1"/>
  <c r="Q440" i="1"/>
  <c r="P440" i="1"/>
  <c r="T439" i="1"/>
  <c r="S439" i="1"/>
  <c r="R439" i="1"/>
  <c r="Q439" i="1"/>
  <c r="P439" i="1"/>
  <c r="T438" i="1"/>
  <c r="S438" i="1"/>
  <c r="R438" i="1"/>
  <c r="Q438" i="1"/>
  <c r="P438" i="1"/>
  <c r="T437" i="1"/>
  <c r="S437" i="1"/>
  <c r="R437" i="1"/>
  <c r="Q437" i="1"/>
  <c r="P437" i="1"/>
  <c r="T436" i="1"/>
  <c r="S436" i="1"/>
  <c r="R436" i="1"/>
  <c r="Q436" i="1"/>
  <c r="P436" i="1"/>
  <c r="T435" i="1"/>
  <c r="S435" i="1"/>
  <c r="R435" i="1"/>
  <c r="Q435" i="1"/>
  <c r="P435" i="1"/>
  <c r="T434" i="1"/>
  <c r="S434" i="1"/>
  <c r="R434" i="1"/>
  <c r="Q434" i="1"/>
  <c r="P434" i="1"/>
  <c r="T433" i="1"/>
  <c r="S433" i="1"/>
  <c r="R433" i="1"/>
  <c r="Q433" i="1"/>
  <c r="P433" i="1"/>
  <c r="T432" i="1"/>
  <c r="S432" i="1"/>
  <c r="R432" i="1"/>
  <c r="Q432" i="1"/>
  <c r="P432" i="1"/>
  <c r="T431" i="1"/>
  <c r="S431" i="1"/>
  <c r="R431" i="1"/>
  <c r="Q431" i="1"/>
  <c r="P431" i="1"/>
  <c r="T430" i="1"/>
  <c r="S430" i="1"/>
  <c r="R430" i="1"/>
  <c r="Q430" i="1"/>
  <c r="P430" i="1"/>
  <c r="T429" i="1"/>
  <c r="S429" i="1"/>
  <c r="R429" i="1"/>
  <c r="Q429" i="1"/>
  <c r="P429" i="1"/>
  <c r="T428" i="1"/>
  <c r="S428" i="1"/>
  <c r="R428" i="1"/>
  <c r="Q428" i="1"/>
  <c r="P428" i="1"/>
  <c r="T427" i="1"/>
  <c r="S427" i="1"/>
  <c r="R427" i="1"/>
  <c r="Q427" i="1"/>
  <c r="P427" i="1"/>
  <c r="T426" i="1"/>
  <c r="S426" i="1"/>
  <c r="R426" i="1"/>
  <c r="Q426" i="1"/>
  <c r="P426" i="1"/>
  <c r="T425" i="1"/>
  <c r="S425" i="1"/>
  <c r="R425" i="1"/>
  <c r="Q425" i="1"/>
  <c r="P425" i="1"/>
  <c r="T424" i="1"/>
  <c r="S424" i="1"/>
  <c r="R424" i="1"/>
  <c r="Q424" i="1"/>
  <c r="P424" i="1"/>
  <c r="T423" i="1"/>
  <c r="S423" i="1"/>
  <c r="R423" i="1"/>
  <c r="Q423" i="1"/>
  <c r="P423" i="1"/>
  <c r="T422" i="1"/>
  <c r="S422" i="1"/>
  <c r="R422" i="1"/>
  <c r="Q422" i="1"/>
  <c r="P422" i="1"/>
  <c r="T421" i="1"/>
  <c r="S421" i="1"/>
  <c r="R421" i="1"/>
  <c r="Q421" i="1"/>
  <c r="P421" i="1"/>
  <c r="T420" i="1"/>
  <c r="S420" i="1"/>
  <c r="R420" i="1"/>
  <c r="Q420" i="1"/>
  <c r="P420" i="1"/>
  <c r="T419" i="1"/>
  <c r="S419" i="1"/>
  <c r="R419" i="1"/>
  <c r="Q419" i="1"/>
  <c r="P419" i="1"/>
  <c r="T418" i="1"/>
  <c r="S418" i="1"/>
  <c r="R418" i="1"/>
  <c r="Q418" i="1"/>
  <c r="P418" i="1"/>
  <c r="T417" i="1"/>
  <c r="S417" i="1"/>
  <c r="R417" i="1"/>
  <c r="Q417" i="1"/>
  <c r="P417" i="1"/>
  <c r="T416" i="1"/>
  <c r="S416" i="1"/>
  <c r="R416" i="1"/>
  <c r="Q416" i="1"/>
  <c r="P416" i="1"/>
  <c r="T415" i="1"/>
  <c r="S415" i="1"/>
  <c r="R415" i="1"/>
  <c r="Q415" i="1"/>
  <c r="P415" i="1"/>
  <c r="T414" i="1"/>
  <c r="S414" i="1"/>
  <c r="R414" i="1"/>
  <c r="Q414" i="1"/>
  <c r="P414" i="1"/>
  <c r="T413" i="1"/>
  <c r="S413" i="1"/>
  <c r="R413" i="1"/>
  <c r="Q413" i="1"/>
  <c r="P413" i="1"/>
  <c r="T412" i="1"/>
  <c r="S412" i="1"/>
  <c r="R412" i="1"/>
  <c r="Q412" i="1"/>
  <c r="P412" i="1"/>
  <c r="T411" i="1"/>
  <c r="S411" i="1"/>
  <c r="R411" i="1"/>
  <c r="Q411" i="1"/>
  <c r="P411" i="1"/>
  <c r="T410" i="1"/>
  <c r="S410" i="1"/>
  <c r="R410" i="1"/>
  <c r="Q410" i="1"/>
  <c r="P410" i="1"/>
  <c r="T409" i="1"/>
  <c r="S409" i="1"/>
  <c r="R409" i="1"/>
  <c r="Q409" i="1"/>
  <c r="P409" i="1"/>
  <c r="T408" i="1"/>
  <c r="S408" i="1"/>
  <c r="R408" i="1"/>
  <c r="Q408" i="1"/>
  <c r="P408" i="1"/>
  <c r="T407" i="1"/>
  <c r="S407" i="1"/>
  <c r="R407" i="1"/>
  <c r="Q407" i="1"/>
  <c r="P407" i="1"/>
  <c r="T406" i="1"/>
  <c r="S406" i="1"/>
  <c r="R406" i="1"/>
  <c r="Q406" i="1"/>
  <c r="P406" i="1"/>
  <c r="T405" i="1"/>
  <c r="S405" i="1"/>
  <c r="R405" i="1"/>
  <c r="Q405" i="1"/>
  <c r="P405" i="1"/>
  <c r="T404" i="1"/>
  <c r="S404" i="1"/>
  <c r="R404" i="1"/>
  <c r="Q404" i="1"/>
  <c r="P404" i="1"/>
  <c r="T403" i="1"/>
  <c r="S403" i="1"/>
  <c r="R403" i="1"/>
  <c r="Q403" i="1"/>
  <c r="P403" i="1"/>
  <c r="T402" i="1"/>
  <c r="S402" i="1"/>
  <c r="R402" i="1"/>
  <c r="Q402" i="1"/>
  <c r="P402" i="1"/>
  <c r="T401" i="1"/>
  <c r="S401" i="1"/>
  <c r="R401" i="1"/>
  <c r="Q401" i="1"/>
  <c r="P401" i="1"/>
  <c r="T400" i="1"/>
  <c r="S400" i="1"/>
  <c r="R400" i="1"/>
  <c r="Q400" i="1"/>
  <c r="P400" i="1"/>
  <c r="T399" i="1"/>
  <c r="S399" i="1"/>
  <c r="R399" i="1"/>
  <c r="Q399" i="1"/>
  <c r="P399" i="1"/>
  <c r="T398" i="1"/>
  <c r="S398" i="1"/>
  <c r="R398" i="1"/>
  <c r="Q398" i="1"/>
  <c r="P398" i="1"/>
  <c r="T397" i="1"/>
  <c r="S397" i="1"/>
  <c r="R397" i="1"/>
  <c r="Q397" i="1"/>
  <c r="P397" i="1"/>
  <c r="T396" i="1"/>
  <c r="S396" i="1"/>
  <c r="R396" i="1"/>
  <c r="Q396" i="1"/>
  <c r="P396" i="1"/>
  <c r="T395" i="1"/>
  <c r="S395" i="1"/>
  <c r="R395" i="1"/>
  <c r="Q395" i="1"/>
  <c r="P395" i="1"/>
  <c r="T394" i="1"/>
  <c r="S394" i="1"/>
  <c r="R394" i="1"/>
  <c r="Q394" i="1"/>
  <c r="P394" i="1"/>
  <c r="T393" i="1"/>
  <c r="S393" i="1"/>
  <c r="R393" i="1"/>
  <c r="Q393" i="1"/>
  <c r="P393" i="1"/>
  <c r="T392" i="1"/>
  <c r="S392" i="1"/>
  <c r="R392" i="1"/>
  <c r="Q392" i="1"/>
  <c r="P392" i="1"/>
  <c r="T391" i="1"/>
  <c r="S391" i="1"/>
  <c r="R391" i="1"/>
  <c r="Q391" i="1"/>
  <c r="P391" i="1"/>
  <c r="T390" i="1"/>
  <c r="S390" i="1"/>
  <c r="R390" i="1"/>
  <c r="Q390" i="1"/>
  <c r="P390" i="1"/>
  <c r="T389" i="1"/>
  <c r="S389" i="1"/>
  <c r="R389" i="1"/>
  <c r="Q389" i="1"/>
  <c r="P389" i="1"/>
  <c r="T388" i="1"/>
  <c r="S388" i="1"/>
  <c r="R388" i="1"/>
  <c r="Q388" i="1"/>
  <c r="P388" i="1"/>
  <c r="T387" i="1"/>
  <c r="S387" i="1"/>
  <c r="R387" i="1"/>
  <c r="Q387" i="1"/>
  <c r="P387" i="1"/>
  <c r="T386" i="1"/>
  <c r="S386" i="1"/>
  <c r="R386" i="1"/>
  <c r="Q386" i="1"/>
  <c r="P386" i="1"/>
  <c r="T385" i="1"/>
  <c r="S385" i="1"/>
  <c r="R385" i="1"/>
  <c r="Q385" i="1"/>
  <c r="P385" i="1"/>
  <c r="T384" i="1"/>
  <c r="S384" i="1"/>
  <c r="R384" i="1"/>
  <c r="Q384" i="1"/>
  <c r="P384" i="1"/>
  <c r="T383" i="1"/>
  <c r="S383" i="1"/>
  <c r="R383" i="1"/>
  <c r="Q383" i="1"/>
  <c r="P383" i="1"/>
  <c r="T382" i="1"/>
  <c r="S382" i="1"/>
  <c r="R382" i="1"/>
  <c r="Q382" i="1"/>
  <c r="P382" i="1"/>
  <c r="T381" i="1"/>
  <c r="S381" i="1"/>
  <c r="R381" i="1"/>
  <c r="Q381" i="1"/>
  <c r="P381" i="1"/>
  <c r="T380" i="1"/>
  <c r="S380" i="1"/>
  <c r="R380" i="1"/>
  <c r="Q380" i="1"/>
  <c r="P380" i="1"/>
  <c r="T379" i="1"/>
  <c r="S379" i="1"/>
  <c r="R379" i="1"/>
  <c r="Q379" i="1"/>
  <c r="P379" i="1"/>
  <c r="T378" i="1"/>
  <c r="S378" i="1"/>
  <c r="R378" i="1"/>
  <c r="Q378" i="1"/>
  <c r="P378" i="1"/>
  <c r="T377" i="1"/>
  <c r="S377" i="1"/>
  <c r="R377" i="1"/>
  <c r="Q377" i="1"/>
  <c r="P377" i="1"/>
  <c r="T376" i="1"/>
  <c r="S376" i="1"/>
  <c r="R376" i="1"/>
  <c r="Q376" i="1"/>
  <c r="P376" i="1"/>
  <c r="T375" i="1"/>
  <c r="S375" i="1"/>
  <c r="R375" i="1"/>
  <c r="Q375" i="1"/>
  <c r="P375" i="1"/>
  <c r="T374" i="1"/>
  <c r="S374" i="1"/>
  <c r="R374" i="1"/>
  <c r="Q374" i="1"/>
  <c r="P374" i="1"/>
  <c r="T373" i="1"/>
  <c r="S373" i="1"/>
  <c r="R373" i="1"/>
  <c r="Q373" i="1"/>
  <c r="P373" i="1"/>
  <c r="T372" i="1"/>
  <c r="S372" i="1"/>
  <c r="R372" i="1"/>
  <c r="Q372" i="1"/>
  <c r="P372" i="1"/>
  <c r="T371" i="1"/>
  <c r="S371" i="1"/>
  <c r="R371" i="1"/>
  <c r="Q371" i="1"/>
  <c r="P371" i="1"/>
  <c r="T370" i="1"/>
  <c r="S370" i="1"/>
  <c r="R370" i="1"/>
  <c r="Q370" i="1"/>
  <c r="P370" i="1"/>
  <c r="T369" i="1"/>
  <c r="S369" i="1"/>
  <c r="R369" i="1"/>
  <c r="Q369" i="1"/>
  <c r="P369" i="1"/>
  <c r="T368" i="1"/>
  <c r="S368" i="1"/>
  <c r="R368" i="1"/>
  <c r="Q368" i="1"/>
  <c r="P368" i="1"/>
  <c r="T367" i="1"/>
  <c r="S367" i="1"/>
  <c r="R367" i="1"/>
  <c r="Q367" i="1"/>
  <c r="P367" i="1"/>
  <c r="T366" i="1"/>
  <c r="S366" i="1"/>
  <c r="R366" i="1"/>
  <c r="Q366" i="1"/>
  <c r="P366" i="1"/>
  <c r="T365" i="1"/>
  <c r="S365" i="1"/>
  <c r="R365" i="1"/>
  <c r="Q365" i="1"/>
  <c r="P365" i="1"/>
  <c r="T364" i="1"/>
  <c r="S364" i="1"/>
  <c r="R364" i="1"/>
  <c r="Q364" i="1"/>
  <c r="P364" i="1"/>
  <c r="T363" i="1"/>
  <c r="S363" i="1"/>
  <c r="R363" i="1"/>
  <c r="Q363" i="1"/>
  <c r="P363" i="1"/>
  <c r="T362" i="1"/>
  <c r="S362" i="1"/>
  <c r="R362" i="1"/>
  <c r="Q362" i="1"/>
  <c r="P362" i="1"/>
  <c r="T361" i="1"/>
  <c r="S361" i="1"/>
  <c r="R361" i="1"/>
  <c r="Q361" i="1"/>
  <c r="P361" i="1"/>
  <c r="T360" i="1"/>
  <c r="S360" i="1"/>
  <c r="R360" i="1"/>
  <c r="Q360" i="1"/>
  <c r="P360" i="1"/>
  <c r="T359" i="1"/>
  <c r="S359" i="1"/>
  <c r="R359" i="1"/>
  <c r="Q359" i="1"/>
  <c r="P359" i="1"/>
  <c r="T358" i="1"/>
  <c r="S358" i="1"/>
  <c r="R358" i="1"/>
  <c r="Q358" i="1"/>
  <c r="P358" i="1"/>
  <c r="T357" i="1"/>
  <c r="S357" i="1"/>
  <c r="R357" i="1"/>
  <c r="Q357" i="1"/>
  <c r="P357" i="1"/>
  <c r="T356" i="1"/>
  <c r="S356" i="1"/>
  <c r="R356" i="1"/>
  <c r="Q356" i="1"/>
  <c r="P356" i="1"/>
  <c r="T355" i="1"/>
  <c r="S355" i="1"/>
  <c r="R355" i="1"/>
  <c r="Q355" i="1"/>
  <c r="P355" i="1"/>
  <c r="T354" i="1"/>
  <c r="S354" i="1"/>
  <c r="R354" i="1"/>
  <c r="Q354" i="1"/>
  <c r="P354" i="1"/>
  <c r="T353" i="1"/>
  <c r="S353" i="1"/>
  <c r="R353" i="1"/>
  <c r="Q353" i="1"/>
  <c r="P353" i="1"/>
  <c r="T352" i="1"/>
  <c r="S352" i="1"/>
  <c r="R352" i="1"/>
  <c r="Q352" i="1"/>
  <c r="P352" i="1"/>
  <c r="T351" i="1"/>
  <c r="S351" i="1"/>
  <c r="R351" i="1"/>
  <c r="Q351" i="1"/>
  <c r="P351" i="1"/>
  <c r="T350" i="1"/>
  <c r="S350" i="1"/>
  <c r="R350" i="1"/>
  <c r="Q350" i="1"/>
  <c r="P350" i="1"/>
  <c r="T349" i="1"/>
  <c r="S349" i="1"/>
  <c r="R349" i="1"/>
  <c r="Q349" i="1"/>
  <c r="P349" i="1"/>
  <c r="T348" i="1"/>
  <c r="S348" i="1"/>
  <c r="R348" i="1"/>
  <c r="Q348" i="1"/>
  <c r="P348" i="1"/>
  <c r="T347" i="1"/>
  <c r="S347" i="1"/>
  <c r="R347" i="1"/>
  <c r="Q347" i="1"/>
  <c r="P347" i="1"/>
  <c r="T346" i="1"/>
  <c r="S346" i="1"/>
  <c r="R346" i="1"/>
  <c r="Q346" i="1"/>
  <c r="P346" i="1"/>
  <c r="T345" i="1"/>
  <c r="S345" i="1"/>
  <c r="R345" i="1"/>
  <c r="Q345" i="1"/>
  <c r="P345" i="1"/>
  <c r="T344" i="1"/>
  <c r="S344" i="1"/>
  <c r="R344" i="1"/>
  <c r="Q344" i="1"/>
  <c r="P344" i="1"/>
  <c r="T343" i="1"/>
  <c r="S343" i="1"/>
  <c r="R343" i="1"/>
  <c r="Q343" i="1"/>
  <c r="P343" i="1"/>
  <c r="T342" i="1"/>
  <c r="S342" i="1"/>
  <c r="R342" i="1"/>
  <c r="Q342" i="1"/>
  <c r="P342" i="1"/>
  <c r="T341" i="1"/>
  <c r="S341" i="1"/>
  <c r="R341" i="1"/>
  <c r="Q341" i="1"/>
  <c r="P341" i="1"/>
  <c r="T340" i="1"/>
  <c r="S340" i="1"/>
  <c r="R340" i="1"/>
  <c r="Q340" i="1"/>
  <c r="P340" i="1"/>
  <c r="T339" i="1"/>
  <c r="S339" i="1"/>
  <c r="R339" i="1"/>
  <c r="Q339" i="1"/>
  <c r="P339" i="1"/>
  <c r="T338" i="1"/>
  <c r="S338" i="1"/>
  <c r="R338" i="1"/>
  <c r="Q338" i="1"/>
  <c r="P338" i="1"/>
  <c r="T337" i="1"/>
  <c r="S337" i="1"/>
  <c r="R337" i="1"/>
  <c r="Q337" i="1"/>
  <c r="P337" i="1"/>
  <c r="T336" i="1"/>
  <c r="S336" i="1"/>
  <c r="R336" i="1"/>
  <c r="Q336" i="1"/>
  <c r="P336" i="1"/>
  <c r="T335" i="1"/>
  <c r="S335" i="1"/>
  <c r="R335" i="1"/>
  <c r="Q335" i="1"/>
  <c r="P335" i="1"/>
  <c r="T334" i="1"/>
  <c r="S334" i="1"/>
  <c r="R334" i="1"/>
  <c r="Q334" i="1"/>
  <c r="P334" i="1"/>
  <c r="T333" i="1"/>
  <c r="S333" i="1"/>
  <c r="R333" i="1"/>
  <c r="Q333" i="1"/>
  <c r="P333" i="1"/>
  <c r="T332" i="1"/>
  <c r="S332" i="1"/>
  <c r="R332" i="1"/>
  <c r="Q332" i="1"/>
  <c r="P332" i="1"/>
  <c r="T331" i="1"/>
  <c r="S331" i="1"/>
  <c r="R331" i="1"/>
  <c r="Q331" i="1"/>
  <c r="P331" i="1"/>
  <c r="T330" i="1"/>
  <c r="S330" i="1"/>
  <c r="R330" i="1"/>
  <c r="Q330" i="1"/>
  <c r="P330" i="1"/>
  <c r="T329" i="1"/>
  <c r="S329" i="1"/>
  <c r="R329" i="1"/>
  <c r="Q329" i="1"/>
  <c r="P329" i="1"/>
  <c r="T328" i="1"/>
  <c r="S328" i="1"/>
  <c r="R328" i="1"/>
  <c r="Q328" i="1"/>
  <c r="P328" i="1"/>
  <c r="T327" i="1"/>
  <c r="S327" i="1"/>
  <c r="R327" i="1"/>
  <c r="Q327" i="1"/>
  <c r="P327" i="1"/>
  <c r="T326" i="1"/>
  <c r="S326" i="1"/>
  <c r="R326" i="1"/>
  <c r="Q326" i="1"/>
  <c r="P326" i="1"/>
  <c r="T325" i="1"/>
  <c r="S325" i="1"/>
  <c r="R325" i="1"/>
  <c r="Q325" i="1"/>
  <c r="P325" i="1"/>
  <c r="T324" i="1"/>
  <c r="S324" i="1"/>
  <c r="R324" i="1"/>
  <c r="Q324" i="1"/>
  <c r="P324" i="1"/>
  <c r="T323" i="1"/>
  <c r="S323" i="1"/>
  <c r="R323" i="1"/>
  <c r="Q323" i="1"/>
  <c r="P323" i="1"/>
  <c r="T322" i="1"/>
  <c r="S322" i="1"/>
  <c r="R322" i="1"/>
  <c r="Q322" i="1"/>
  <c r="P322" i="1"/>
  <c r="T321" i="1"/>
  <c r="S321" i="1"/>
  <c r="R321" i="1"/>
  <c r="Q321" i="1"/>
  <c r="P321" i="1"/>
  <c r="T320" i="1"/>
  <c r="S320" i="1"/>
  <c r="R320" i="1"/>
  <c r="Q320" i="1"/>
  <c r="P320" i="1"/>
  <c r="T319" i="1"/>
  <c r="S319" i="1"/>
  <c r="R319" i="1"/>
  <c r="Q319" i="1"/>
  <c r="P319" i="1"/>
  <c r="T318" i="1"/>
  <c r="S318" i="1"/>
  <c r="R318" i="1"/>
  <c r="Q318" i="1"/>
  <c r="P318" i="1"/>
  <c r="T317" i="1"/>
  <c r="S317" i="1"/>
  <c r="R317" i="1"/>
  <c r="Q317" i="1"/>
  <c r="P317" i="1"/>
  <c r="T316" i="1"/>
  <c r="S316" i="1"/>
  <c r="R316" i="1"/>
  <c r="Q316" i="1"/>
  <c r="P316" i="1"/>
  <c r="T315" i="1"/>
  <c r="S315" i="1"/>
  <c r="R315" i="1"/>
  <c r="Q315" i="1"/>
  <c r="P315" i="1"/>
  <c r="T314" i="1"/>
  <c r="S314" i="1"/>
  <c r="R314" i="1"/>
  <c r="Q314" i="1"/>
  <c r="P314" i="1"/>
  <c r="T313" i="1"/>
  <c r="S313" i="1"/>
  <c r="R313" i="1"/>
  <c r="Q313" i="1"/>
  <c r="P313" i="1"/>
  <c r="T312" i="1"/>
  <c r="S312" i="1"/>
  <c r="R312" i="1"/>
  <c r="Q312" i="1"/>
  <c r="P312" i="1"/>
  <c r="T311" i="1"/>
  <c r="S311" i="1"/>
  <c r="R311" i="1"/>
  <c r="Q311" i="1"/>
  <c r="P311" i="1"/>
  <c r="T310" i="1"/>
  <c r="S310" i="1"/>
  <c r="R310" i="1"/>
  <c r="Q310" i="1"/>
  <c r="P310" i="1"/>
  <c r="T309" i="1"/>
  <c r="S309" i="1"/>
  <c r="R309" i="1"/>
  <c r="Q309" i="1"/>
  <c r="P309" i="1"/>
  <c r="T308" i="1"/>
  <c r="S308" i="1"/>
  <c r="R308" i="1"/>
  <c r="Q308" i="1"/>
  <c r="P308" i="1"/>
  <c r="T307" i="1"/>
  <c r="S307" i="1"/>
  <c r="R307" i="1"/>
  <c r="Q307" i="1"/>
  <c r="P307" i="1"/>
  <c r="T306" i="1"/>
  <c r="S306" i="1"/>
  <c r="R306" i="1"/>
  <c r="Q306" i="1"/>
  <c r="P306" i="1"/>
  <c r="T305" i="1"/>
  <c r="S305" i="1"/>
  <c r="R305" i="1"/>
  <c r="Q305" i="1"/>
  <c r="P305" i="1"/>
  <c r="T304" i="1"/>
  <c r="S304" i="1"/>
  <c r="R304" i="1"/>
  <c r="Q304" i="1"/>
  <c r="P304" i="1"/>
  <c r="T303" i="1"/>
  <c r="S303" i="1"/>
  <c r="R303" i="1"/>
  <c r="Q303" i="1"/>
  <c r="P303" i="1"/>
  <c r="T302" i="1"/>
  <c r="S302" i="1"/>
  <c r="R302" i="1"/>
  <c r="Q302" i="1"/>
  <c r="P302" i="1"/>
  <c r="T301" i="1"/>
  <c r="S301" i="1"/>
  <c r="R301" i="1"/>
  <c r="Q301" i="1"/>
  <c r="P301" i="1"/>
  <c r="T300" i="1"/>
  <c r="S300" i="1"/>
  <c r="R300" i="1"/>
  <c r="Q300" i="1"/>
  <c r="P300" i="1"/>
  <c r="T299" i="1"/>
  <c r="S299" i="1"/>
  <c r="R299" i="1"/>
  <c r="Q299" i="1"/>
  <c r="P299" i="1"/>
  <c r="T298" i="1"/>
  <c r="S298" i="1"/>
  <c r="R298" i="1"/>
  <c r="Q298" i="1"/>
  <c r="P298" i="1"/>
  <c r="T297" i="1"/>
  <c r="S297" i="1"/>
  <c r="R297" i="1"/>
  <c r="Q297" i="1"/>
  <c r="P297" i="1"/>
  <c r="T296" i="1"/>
  <c r="S296" i="1"/>
  <c r="R296" i="1"/>
  <c r="Q296" i="1"/>
  <c r="P296" i="1"/>
  <c r="T295" i="1"/>
  <c r="S295" i="1"/>
  <c r="R295" i="1"/>
  <c r="Q295" i="1"/>
  <c r="P295" i="1"/>
  <c r="T294" i="1"/>
  <c r="S294" i="1"/>
  <c r="R294" i="1"/>
  <c r="Q294" i="1"/>
  <c r="P294" i="1"/>
  <c r="T293" i="1"/>
  <c r="S293" i="1"/>
  <c r="R293" i="1"/>
  <c r="Q293" i="1"/>
  <c r="P293" i="1"/>
  <c r="T292" i="1"/>
  <c r="S292" i="1"/>
  <c r="R292" i="1"/>
  <c r="Q292" i="1"/>
  <c r="P292" i="1"/>
  <c r="T291" i="1"/>
  <c r="S291" i="1"/>
  <c r="R291" i="1"/>
  <c r="Q291" i="1"/>
  <c r="P291" i="1"/>
  <c r="T290" i="1"/>
  <c r="S290" i="1"/>
  <c r="R290" i="1"/>
  <c r="Q290" i="1"/>
  <c r="P290" i="1"/>
  <c r="T289" i="1"/>
  <c r="S289" i="1"/>
  <c r="R289" i="1"/>
  <c r="Q289" i="1"/>
  <c r="P289" i="1"/>
  <c r="T288" i="1"/>
  <c r="S288" i="1"/>
  <c r="R288" i="1"/>
  <c r="Q288" i="1"/>
  <c r="P288" i="1"/>
  <c r="T287" i="1"/>
  <c r="S287" i="1"/>
  <c r="R287" i="1"/>
  <c r="Q287" i="1"/>
  <c r="P287" i="1"/>
  <c r="T286" i="1"/>
  <c r="S286" i="1"/>
  <c r="R286" i="1"/>
  <c r="Q286" i="1"/>
  <c r="P286" i="1"/>
  <c r="T285" i="1"/>
  <c r="S285" i="1"/>
  <c r="R285" i="1"/>
  <c r="Q285" i="1"/>
  <c r="P285" i="1"/>
  <c r="T284" i="1"/>
  <c r="S284" i="1"/>
  <c r="R284" i="1"/>
  <c r="Q284" i="1"/>
  <c r="P284" i="1"/>
  <c r="T283" i="1"/>
  <c r="S283" i="1"/>
  <c r="R283" i="1"/>
  <c r="Q283" i="1"/>
  <c r="P283" i="1"/>
  <c r="T282" i="1"/>
  <c r="S282" i="1"/>
  <c r="R282" i="1"/>
  <c r="Q282" i="1"/>
  <c r="P282" i="1"/>
  <c r="T281" i="1"/>
  <c r="S281" i="1"/>
  <c r="R281" i="1"/>
  <c r="Q281" i="1"/>
  <c r="P281" i="1"/>
  <c r="T280" i="1"/>
  <c r="S280" i="1"/>
  <c r="R280" i="1"/>
  <c r="Q280" i="1"/>
  <c r="P280" i="1"/>
  <c r="T279" i="1"/>
  <c r="S279" i="1"/>
  <c r="R279" i="1"/>
  <c r="Q279" i="1"/>
  <c r="P279" i="1"/>
  <c r="T278" i="1"/>
  <c r="S278" i="1"/>
  <c r="R278" i="1"/>
  <c r="Q278" i="1"/>
  <c r="P278" i="1"/>
  <c r="T277" i="1"/>
  <c r="S277" i="1"/>
  <c r="R277" i="1"/>
  <c r="Q277" i="1"/>
  <c r="P277" i="1"/>
  <c r="T276" i="1"/>
  <c r="S276" i="1"/>
  <c r="R276" i="1"/>
  <c r="Q276" i="1"/>
  <c r="P276" i="1"/>
  <c r="T275" i="1"/>
  <c r="S275" i="1"/>
  <c r="R275" i="1"/>
  <c r="Q275" i="1"/>
  <c r="P275" i="1"/>
  <c r="T274" i="1"/>
  <c r="S274" i="1"/>
  <c r="R274" i="1"/>
  <c r="Q274" i="1"/>
  <c r="P274" i="1"/>
  <c r="T273" i="1"/>
  <c r="S273" i="1"/>
  <c r="R273" i="1"/>
  <c r="Q273" i="1"/>
  <c r="P273" i="1"/>
  <c r="T272" i="1"/>
  <c r="S272" i="1"/>
  <c r="R272" i="1"/>
  <c r="Q272" i="1"/>
  <c r="P272" i="1"/>
  <c r="T271" i="1"/>
  <c r="S271" i="1"/>
  <c r="R271" i="1"/>
  <c r="Q271" i="1"/>
  <c r="P271" i="1"/>
  <c r="T270" i="1"/>
  <c r="S270" i="1"/>
  <c r="R270" i="1"/>
  <c r="Q270" i="1"/>
  <c r="P270" i="1"/>
  <c r="T269" i="1"/>
  <c r="S269" i="1"/>
  <c r="R269" i="1"/>
  <c r="Q269" i="1"/>
  <c r="P269" i="1"/>
  <c r="T268" i="1"/>
  <c r="S268" i="1"/>
  <c r="R268" i="1"/>
  <c r="Q268" i="1"/>
  <c r="P268" i="1"/>
  <c r="T267" i="1"/>
  <c r="S267" i="1"/>
  <c r="R267" i="1"/>
  <c r="Q267" i="1"/>
  <c r="P267" i="1"/>
  <c r="T266" i="1"/>
  <c r="S266" i="1"/>
  <c r="R266" i="1"/>
  <c r="Q266" i="1"/>
  <c r="P266" i="1"/>
  <c r="T265" i="1"/>
  <c r="S265" i="1"/>
  <c r="R265" i="1"/>
  <c r="Q265" i="1"/>
  <c r="P265" i="1"/>
  <c r="T264" i="1"/>
  <c r="S264" i="1"/>
  <c r="R264" i="1"/>
  <c r="Q264" i="1"/>
  <c r="P264" i="1"/>
  <c r="T263" i="1"/>
  <c r="S263" i="1"/>
  <c r="R263" i="1"/>
  <c r="Q263" i="1"/>
  <c r="P263" i="1"/>
  <c r="T262" i="1"/>
  <c r="S262" i="1"/>
  <c r="R262" i="1"/>
  <c r="Q262" i="1"/>
  <c r="P262" i="1"/>
  <c r="T261" i="1"/>
  <c r="S261" i="1"/>
  <c r="R261" i="1"/>
  <c r="Q261" i="1"/>
  <c r="P261" i="1"/>
  <c r="T260" i="1"/>
  <c r="S260" i="1"/>
  <c r="R260" i="1"/>
  <c r="Q260" i="1"/>
  <c r="P260" i="1"/>
  <c r="T259" i="1"/>
  <c r="S259" i="1"/>
  <c r="R259" i="1"/>
  <c r="Q259" i="1"/>
  <c r="P259" i="1"/>
  <c r="T258" i="1"/>
  <c r="S258" i="1"/>
  <c r="R258" i="1"/>
  <c r="Q258" i="1"/>
  <c r="P258" i="1"/>
  <c r="T257" i="1"/>
  <c r="S257" i="1"/>
  <c r="R257" i="1"/>
  <c r="Q257" i="1"/>
  <c r="P257" i="1"/>
  <c r="T256" i="1"/>
  <c r="S256" i="1"/>
  <c r="R256" i="1"/>
  <c r="Q256" i="1"/>
  <c r="P256" i="1"/>
  <c r="T255" i="1"/>
  <c r="S255" i="1"/>
  <c r="R255" i="1"/>
  <c r="Q255" i="1"/>
  <c r="P255" i="1"/>
  <c r="T254" i="1"/>
  <c r="S254" i="1"/>
  <c r="R254" i="1"/>
  <c r="Q254" i="1"/>
  <c r="P254" i="1"/>
  <c r="T253" i="1"/>
  <c r="S253" i="1"/>
  <c r="R253" i="1"/>
  <c r="Q253" i="1"/>
  <c r="P253" i="1"/>
  <c r="T252" i="1"/>
  <c r="S252" i="1"/>
  <c r="R252" i="1"/>
  <c r="Q252" i="1"/>
  <c r="P252" i="1"/>
  <c r="T251" i="1"/>
  <c r="S251" i="1"/>
  <c r="R251" i="1"/>
  <c r="Q251" i="1"/>
  <c r="P251" i="1"/>
  <c r="T250" i="1"/>
  <c r="S250" i="1"/>
  <c r="R250" i="1"/>
  <c r="Q250" i="1"/>
  <c r="P250" i="1"/>
  <c r="T249" i="1"/>
  <c r="S249" i="1"/>
  <c r="R249" i="1"/>
  <c r="Q249" i="1"/>
  <c r="P249" i="1"/>
  <c r="T248" i="1"/>
  <c r="S248" i="1"/>
  <c r="R248" i="1"/>
  <c r="Q248" i="1"/>
  <c r="P248" i="1"/>
  <c r="T247" i="1"/>
  <c r="S247" i="1"/>
  <c r="R247" i="1"/>
  <c r="Q247" i="1"/>
  <c r="P247" i="1"/>
  <c r="T246" i="1"/>
  <c r="S246" i="1"/>
  <c r="R246" i="1"/>
  <c r="Q246" i="1"/>
  <c r="P246" i="1"/>
  <c r="T245" i="1"/>
  <c r="S245" i="1"/>
  <c r="R245" i="1"/>
  <c r="Q245" i="1"/>
  <c r="P245" i="1"/>
  <c r="T244" i="1"/>
  <c r="S244" i="1"/>
  <c r="R244" i="1"/>
  <c r="Q244" i="1"/>
  <c r="P244" i="1"/>
  <c r="T243" i="1"/>
  <c r="S243" i="1"/>
  <c r="R243" i="1"/>
  <c r="Q243" i="1"/>
  <c r="P243" i="1"/>
  <c r="T242" i="1"/>
  <c r="S242" i="1"/>
  <c r="R242" i="1"/>
  <c r="Q242" i="1"/>
  <c r="P242" i="1"/>
  <c r="T241" i="1"/>
  <c r="S241" i="1"/>
  <c r="R241" i="1"/>
  <c r="Q241" i="1"/>
  <c r="P241" i="1"/>
  <c r="T240" i="1"/>
  <c r="S240" i="1"/>
  <c r="R240" i="1"/>
  <c r="Q240" i="1"/>
  <c r="P240" i="1"/>
  <c r="T239" i="1"/>
  <c r="S239" i="1"/>
  <c r="R239" i="1"/>
  <c r="Q239" i="1"/>
  <c r="P239" i="1"/>
  <c r="T238" i="1"/>
  <c r="S238" i="1"/>
  <c r="R238" i="1"/>
  <c r="Q238" i="1"/>
  <c r="P238" i="1"/>
  <c r="T237" i="1"/>
  <c r="S237" i="1"/>
  <c r="R237" i="1"/>
  <c r="Q237" i="1"/>
  <c r="P237" i="1"/>
  <c r="T236" i="1"/>
  <c r="S236" i="1"/>
  <c r="R236" i="1"/>
  <c r="Q236" i="1"/>
  <c r="P236" i="1"/>
  <c r="T235" i="1"/>
  <c r="S235" i="1"/>
  <c r="R235" i="1"/>
  <c r="Q235" i="1"/>
  <c r="P235" i="1"/>
  <c r="T234" i="1"/>
  <c r="S234" i="1"/>
  <c r="R234" i="1"/>
  <c r="Q234" i="1"/>
  <c r="P234" i="1"/>
  <c r="T233" i="1"/>
  <c r="S233" i="1"/>
  <c r="R233" i="1"/>
  <c r="Q233" i="1"/>
  <c r="P233" i="1"/>
  <c r="T232" i="1"/>
  <c r="S232" i="1"/>
  <c r="R232" i="1"/>
  <c r="Q232" i="1"/>
  <c r="P232" i="1"/>
  <c r="T231" i="1"/>
  <c r="S231" i="1"/>
  <c r="R231" i="1"/>
  <c r="Q231" i="1"/>
  <c r="P231" i="1"/>
  <c r="T230" i="1"/>
  <c r="S230" i="1"/>
  <c r="R230" i="1"/>
  <c r="Q230" i="1"/>
  <c r="P230" i="1"/>
  <c r="T229" i="1"/>
  <c r="S229" i="1"/>
  <c r="R229" i="1"/>
  <c r="Q229" i="1"/>
  <c r="P229" i="1"/>
  <c r="T228" i="1"/>
  <c r="S228" i="1"/>
  <c r="R228" i="1"/>
  <c r="Q228" i="1"/>
  <c r="P228" i="1"/>
  <c r="T227" i="1"/>
  <c r="S227" i="1"/>
  <c r="R227" i="1"/>
  <c r="Q227" i="1"/>
  <c r="P227" i="1"/>
  <c r="T226" i="1"/>
  <c r="S226" i="1"/>
  <c r="R226" i="1"/>
  <c r="Q226" i="1"/>
  <c r="P226" i="1"/>
  <c r="T225" i="1"/>
  <c r="S225" i="1"/>
  <c r="R225" i="1"/>
  <c r="Q225" i="1"/>
  <c r="P225" i="1"/>
  <c r="T224" i="1"/>
  <c r="S224" i="1"/>
  <c r="R224" i="1"/>
  <c r="Q224" i="1"/>
  <c r="P224" i="1"/>
  <c r="T223" i="1"/>
  <c r="S223" i="1"/>
  <c r="R223" i="1"/>
  <c r="Q223" i="1"/>
  <c r="P223" i="1"/>
  <c r="T222" i="1"/>
  <c r="S222" i="1"/>
  <c r="R222" i="1"/>
  <c r="Q222" i="1"/>
  <c r="P222" i="1"/>
  <c r="T221" i="1"/>
  <c r="S221" i="1"/>
  <c r="R221" i="1"/>
  <c r="Q221" i="1"/>
  <c r="P221" i="1"/>
  <c r="T220" i="1"/>
  <c r="S220" i="1"/>
  <c r="R220" i="1"/>
  <c r="Q220" i="1"/>
  <c r="P220" i="1"/>
  <c r="T219" i="1"/>
  <c r="S219" i="1"/>
  <c r="R219" i="1"/>
  <c r="Q219" i="1"/>
  <c r="P219" i="1"/>
  <c r="T218" i="1"/>
  <c r="S218" i="1"/>
  <c r="R218" i="1"/>
  <c r="Q218" i="1"/>
  <c r="P218" i="1"/>
  <c r="T217" i="1"/>
  <c r="S217" i="1"/>
  <c r="R217" i="1"/>
  <c r="Q217" i="1"/>
  <c r="P217" i="1"/>
  <c r="T216" i="1"/>
  <c r="S216" i="1"/>
  <c r="R216" i="1"/>
  <c r="Q216" i="1"/>
  <c r="P216" i="1"/>
  <c r="T215" i="1"/>
  <c r="S215" i="1"/>
  <c r="R215" i="1"/>
  <c r="Q215" i="1"/>
  <c r="P215" i="1"/>
  <c r="T214" i="1"/>
  <c r="S214" i="1"/>
  <c r="R214" i="1"/>
  <c r="Q214" i="1"/>
  <c r="P214" i="1"/>
  <c r="T213" i="1"/>
  <c r="S213" i="1"/>
  <c r="R213" i="1"/>
  <c r="Q213" i="1"/>
  <c r="P213" i="1"/>
  <c r="T212" i="1"/>
  <c r="S212" i="1"/>
  <c r="R212" i="1"/>
  <c r="Q212" i="1"/>
  <c r="P212" i="1"/>
  <c r="T211" i="1"/>
  <c r="S211" i="1"/>
  <c r="R211" i="1"/>
  <c r="Q211" i="1"/>
  <c r="P211" i="1"/>
  <c r="T210" i="1"/>
  <c r="S210" i="1"/>
  <c r="R210" i="1"/>
  <c r="Q210" i="1"/>
  <c r="P210" i="1"/>
  <c r="T209" i="1"/>
  <c r="S209" i="1"/>
  <c r="R209" i="1"/>
  <c r="Q209" i="1"/>
  <c r="P209" i="1"/>
  <c r="T208" i="1"/>
  <c r="S208" i="1"/>
  <c r="R208" i="1"/>
  <c r="Q208" i="1"/>
  <c r="P208" i="1"/>
  <c r="T207" i="1"/>
  <c r="S207" i="1"/>
  <c r="R207" i="1"/>
  <c r="Q207" i="1"/>
  <c r="P207" i="1"/>
  <c r="T206" i="1"/>
  <c r="S206" i="1"/>
  <c r="R206" i="1"/>
  <c r="Q206" i="1"/>
  <c r="P206" i="1"/>
  <c r="T205" i="1"/>
  <c r="S205" i="1"/>
  <c r="R205" i="1"/>
  <c r="Q205" i="1"/>
  <c r="P205" i="1"/>
  <c r="T204" i="1"/>
  <c r="S204" i="1"/>
  <c r="R204" i="1"/>
  <c r="Q204" i="1"/>
  <c r="P204" i="1"/>
  <c r="T203" i="1"/>
  <c r="S203" i="1"/>
  <c r="R203" i="1"/>
  <c r="Q203" i="1"/>
  <c r="P203" i="1"/>
  <c r="T202" i="1"/>
  <c r="S202" i="1"/>
  <c r="R202" i="1"/>
  <c r="Q202" i="1"/>
  <c r="P202" i="1"/>
  <c r="T201" i="1"/>
  <c r="S201" i="1"/>
  <c r="R201" i="1"/>
  <c r="Q201" i="1"/>
  <c r="P201" i="1"/>
  <c r="T200" i="1"/>
  <c r="S200" i="1"/>
  <c r="R200" i="1"/>
  <c r="Q200" i="1"/>
  <c r="P200" i="1"/>
  <c r="T199" i="1"/>
  <c r="S199" i="1"/>
  <c r="R199" i="1"/>
  <c r="Q199" i="1"/>
  <c r="P199" i="1"/>
  <c r="T198" i="1"/>
  <c r="S198" i="1"/>
  <c r="R198" i="1"/>
  <c r="Q198" i="1"/>
  <c r="P198" i="1"/>
  <c r="T197" i="1"/>
  <c r="S197" i="1"/>
  <c r="R197" i="1"/>
  <c r="Q197" i="1"/>
  <c r="P197" i="1"/>
  <c r="T196" i="1"/>
  <c r="S196" i="1"/>
  <c r="R196" i="1"/>
  <c r="Q196" i="1"/>
  <c r="P196" i="1"/>
  <c r="T195" i="1"/>
  <c r="S195" i="1"/>
  <c r="R195" i="1"/>
  <c r="Q195" i="1"/>
  <c r="P195" i="1"/>
  <c r="T194" i="1"/>
  <c r="S194" i="1"/>
  <c r="R194" i="1"/>
  <c r="Q194" i="1"/>
  <c r="P194" i="1"/>
  <c r="T193" i="1"/>
  <c r="S193" i="1"/>
  <c r="R193" i="1"/>
  <c r="Q193" i="1"/>
  <c r="P193" i="1"/>
  <c r="T192" i="1"/>
  <c r="S192" i="1"/>
  <c r="R192" i="1"/>
  <c r="Q192" i="1"/>
  <c r="P192" i="1"/>
  <c r="T191" i="1"/>
  <c r="S191" i="1"/>
  <c r="R191" i="1"/>
  <c r="Q191" i="1"/>
  <c r="P191" i="1"/>
  <c r="T190" i="1"/>
  <c r="S190" i="1"/>
  <c r="R190" i="1"/>
  <c r="Q190" i="1"/>
  <c r="P190" i="1"/>
  <c r="T189" i="1"/>
  <c r="S189" i="1"/>
  <c r="R189" i="1"/>
  <c r="Q189" i="1"/>
  <c r="P189" i="1"/>
  <c r="T188" i="1"/>
  <c r="S188" i="1"/>
  <c r="R188" i="1"/>
  <c r="Q188" i="1"/>
  <c r="P188" i="1"/>
  <c r="T187" i="1"/>
  <c r="S187" i="1"/>
  <c r="R187" i="1"/>
  <c r="Q187" i="1"/>
  <c r="P187" i="1"/>
  <c r="T186" i="1"/>
  <c r="S186" i="1"/>
  <c r="R186" i="1"/>
  <c r="Q186" i="1"/>
  <c r="P186" i="1"/>
  <c r="T185" i="1"/>
  <c r="S185" i="1"/>
  <c r="R185" i="1"/>
  <c r="Q185" i="1"/>
  <c r="P185" i="1"/>
  <c r="T184" i="1"/>
  <c r="S184" i="1"/>
  <c r="R184" i="1"/>
  <c r="Q184" i="1"/>
  <c r="P184" i="1"/>
  <c r="T183" i="1"/>
  <c r="S183" i="1"/>
  <c r="R183" i="1"/>
  <c r="Q183" i="1"/>
  <c r="P183" i="1"/>
  <c r="T182" i="1"/>
  <c r="S182" i="1"/>
  <c r="R182" i="1"/>
  <c r="Q182" i="1"/>
  <c r="P182" i="1"/>
  <c r="T181" i="1"/>
  <c r="S181" i="1"/>
  <c r="R181" i="1"/>
  <c r="Q181" i="1"/>
  <c r="P181" i="1"/>
  <c r="T180" i="1"/>
  <c r="S180" i="1"/>
  <c r="R180" i="1"/>
  <c r="Q180" i="1"/>
  <c r="P180" i="1"/>
  <c r="T179" i="1"/>
  <c r="S179" i="1"/>
  <c r="R179" i="1"/>
  <c r="Q179" i="1"/>
  <c r="P179" i="1"/>
  <c r="T178" i="1"/>
  <c r="S178" i="1"/>
  <c r="R178" i="1"/>
  <c r="Q178" i="1"/>
  <c r="P178" i="1"/>
  <c r="T177" i="1"/>
  <c r="S177" i="1"/>
  <c r="R177" i="1"/>
  <c r="Q177" i="1"/>
  <c r="P177" i="1"/>
  <c r="T176" i="1"/>
  <c r="S176" i="1"/>
  <c r="R176" i="1"/>
  <c r="Q176" i="1"/>
  <c r="P176" i="1"/>
  <c r="T175" i="1"/>
  <c r="S175" i="1"/>
  <c r="R175" i="1"/>
  <c r="Q175" i="1"/>
  <c r="P175" i="1"/>
  <c r="T174" i="1"/>
  <c r="S174" i="1"/>
  <c r="R174" i="1"/>
  <c r="Q174" i="1"/>
  <c r="P174" i="1"/>
  <c r="T173" i="1"/>
  <c r="S173" i="1"/>
  <c r="R173" i="1"/>
  <c r="Q173" i="1"/>
  <c r="P173" i="1"/>
  <c r="T172" i="1"/>
  <c r="S172" i="1"/>
  <c r="R172" i="1"/>
  <c r="Q172" i="1"/>
  <c r="P172" i="1"/>
  <c r="T171" i="1"/>
  <c r="S171" i="1"/>
  <c r="R171" i="1"/>
  <c r="Q171" i="1"/>
  <c r="P171" i="1"/>
  <c r="T170" i="1"/>
  <c r="S170" i="1"/>
  <c r="R170" i="1"/>
  <c r="Q170" i="1"/>
  <c r="P170" i="1"/>
  <c r="T169" i="1"/>
  <c r="S169" i="1"/>
  <c r="R169" i="1"/>
  <c r="Q169" i="1"/>
  <c r="P169" i="1"/>
  <c r="T168" i="1"/>
  <c r="S168" i="1"/>
  <c r="R168" i="1"/>
  <c r="Q168" i="1"/>
  <c r="P168" i="1"/>
  <c r="T167" i="1"/>
  <c r="S167" i="1"/>
  <c r="R167" i="1"/>
  <c r="Q167" i="1"/>
  <c r="P167" i="1"/>
  <c r="T166" i="1"/>
  <c r="S166" i="1"/>
  <c r="R166" i="1"/>
  <c r="Q166" i="1"/>
  <c r="P166" i="1"/>
  <c r="T165" i="1"/>
  <c r="S165" i="1"/>
  <c r="R165" i="1"/>
  <c r="Q165" i="1"/>
  <c r="P165" i="1"/>
  <c r="T164" i="1"/>
  <c r="S164" i="1"/>
  <c r="R164" i="1"/>
  <c r="Q164" i="1"/>
  <c r="P164" i="1"/>
  <c r="T163" i="1"/>
  <c r="S163" i="1"/>
  <c r="R163" i="1"/>
  <c r="Q163" i="1"/>
  <c r="P163" i="1"/>
  <c r="T162" i="1"/>
  <c r="S162" i="1"/>
  <c r="R162" i="1"/>
  <c r="Q162" i="1"/>
  <c r="P162" i="1"/>
  <c r="T161" i="1"/>
  <c r="S161" i="1"/>
  <c r="R161" i="1"/>
  <c r="Q161" i="1"/>
  <c r="P161" i="1"/>
  <c r="T160" i="1"/>
  <c r="S160" i="1"/>
  <c r="R160" i="1"/>
  <c r="Q160" i="1"/>
  <c r="P160" i="1"/>
  <c r="T159" i="1"/>
  <c r="S159" i="1"/>
  <c r="R159" i="1"/>
  <c r="Q159" i="1"/>
  <c r="P159" i="1"/>
  <c r="T158" i="1"/>
  <c r="S158" i="1"/>
  <c r="R158" i="1"/>
  <c r="Q158" i="1"/>
  <c r="P158" i="1"/>
  <c r="T157" i="1"/>
  <c r="S157" i="1"/>
  <c r="R157" i="1"/>
  <c r="Q157" i="1"/>
  <c r="P157" i="1"/>
  <c r="T156" i="1"/>
  <c r="S156" i="1"/>
  <c r="R156" i="1"/>
  <c r="Q156" i="1"/>
  <c r="P156" i="1"/>
  <c r="T155" i="1"/>
  <c r="S155" i="1"/>
  <c r="R155" i="1"/>
  <c r="Q155" i="1"/>
  <c r="P155" i="1"/>
  <c r="T154" i="1"/>
  <c r="S154" i="1"/>
  <c r="R154" i="1"/>
  <c r="Q154" i="1"/>
  <c r="P154" i="1"/>
  <c r="T153" i="1"/>
  <c r="S153" i="1"/>
  <c r="R153" i="1"/>
  <c r="Q153" i="1"/>
  <c r="P153" i="1"/>
  <c r="T152" i="1"/>
  <c r="S152" i="1"/>
  <c r="R152" i="1"/>
  <c r="Q152" i="1"/>
  <c r="P152" i="1"/>
  <c r="T151" i="1"/>
  <c r="S151" i="1"/>
  <c r="R151" i="1"/>
  <c r="Q151" i="1"/>
  <c r="P151" i="1"/>
  <c r="T150" i="1"/>
  <c r="S150" i="1"/>
  <c r="R150" i="1"/>
  <c r="Q150" i="1"/>
  <c r="P150" i="1"/>
  <c r="T149" i="1"/>
  <c r="S149" i="1"/>
  <c r="R149" i="1"/>
  <c r="Q149" i="1"/>
  <c r="P149" i="1"/>
  <c r="T148" i="1"/>
  <c r="S148" i="1"/>
  <c r="R148" i="1"/>
  <c r="Q148" i="1"/>
  <c r="P148" i="1"/>
  <c r="T147" i="1"/>
  <c r="S147" i="1"/>
  <c r="R147" i="1"/>
  <c r="Q147" i="1"/>
  <c r="P147" i="1"/>
  <c r="T146" i="1"/>
  <c r="S146" i="1"/>
  <c r="R146" i="1"/>
  <c r="Q146" i="1"/>
  <c r="P146" i="1"/>
  <c r="T145" i="1"/>
  <c r="S145" i="1"/>
  <c r="R145" i="1"/>
  <c r="Q145" i="1"/>
  <c r="P145" i="1"/>
  <c r="T144" i="1"/>
  <c r="S144" i="1"/>
  <c r="R144" i="1"/>
  <c r="Q144" i="1"/>
  <c r="P144" i="1"/>
  <c r="T143" i="1"/>
  <c r="S143" i="1"/>
  <c r="R143" i="1"/>
  <c r="Q143" i="1"/>
  <c r="P143" i="1"/>
  <c r="T142" i="1"/>
  <c r="S142" i="1"/>
  <c r="R142" i="1"/>
  <c r="Q142" i="1"/>
  <c r="P142" i="1"/>
  <c r="T141" i="1"/>
  <c r="S141" i="1"/>
  <c r="R141" i="1"/>
  <c r="Q141" i="1"/>
  <c r="P141" i="1"/>
  <c r="T140" i="1"/>
  <c r="S140" i="1"/>
  <c r="R140" i="1"/>
  <c r="Q140" i="1"/>
  <c r="P140" i="1"/>
  <c r="T139" i="1"/>
  <c r="S139" i="1"/>
  <c r="R139" i="1"/>
  <c r="Q139" i="1"/>
  <c r="P139" i="1"/>
  <c r="T138" i="1"/>
  <c r="S138" i="1"/>
  <c r="R138" i="1"/>
  <c r="Q138" i="1"/>
  <c r="P138" i="1"/>
  <c r="T137" i="1"/>
  <c r="S137" i="1"/>
  <c r="R137" i="1"/>
  <c r="Q137" i="1"/>
  <c r="P137" i="1"/>
  <c r="T136" i="1"/>
  <c r="S136" i="1"/>
  <c r="R136" i="1"/>
  <c r="Q136" i="1"/>
  <c r="P136" i="1"/>
  <c r="T135" i="1"/>
  <c r="S135" i="1"/>
  <c r="R135" i="1"/>
  <c r="Q135" i="1"/>
  <c r="P135" i="1"/>
  <c r="T134" i="1"/>
  <c r="S134" i="1"/>
  <c r="R134" i="1"/>
  <c r="Q134" i="1"/>
  <c r="P134" i="1"/>
  <c r="T133" i="1"/>
  <c r="S133" i="1"/>
  <c r="R133" i="1"/>
  <c r="Q133" i="1"/>
  <c r="P133" i="1"/>
  <c r="T132" i="1"/>
  <c r="S132" i="1"/>
  <c r="R132" i="1"/>
  <c r="Q132" i="1"/>
  <c r="P132" i="1"/>
  <c r="T131" i="1"/>
  <c r="S131" i="1"/>
  <c r="R131" i="1"/>
  <c r="Q131" i="1"/>
  <c r="P131" i="1"/>
  <c r="T130" i="1"/>
  <c r="S130" i="1"/>
  <c r="R130" i="1"/>
  <c r="Q130" i="1"/>
  <c r="P130" i="1"/>
  <c r="T129" i="1"/>
  <c r="S129" i="1"/>
  <c r="R129" i="1"/>
  <c r="Q129" i="1"/>
  <c r="P129" i="1"/>
  <c r="T128" i="1"/>
  <c r="S128" i="1"/>
  <c r="R128" i="1"/>
  <c r="Q128" i="1"/>
  <c r="P128" i="1"/>
  <c r="T127" i="1"/>
  <c r="S127" i="1"/>
  <c r="R127" i="1"/>
  <c r="Q127" i="1"/>
  <c r="P127" i="1"/>
  <c r="T126" i="1"/>
  <c r="S126" i="1"/>
  <c r="R126" i="1"/>
  <c r="Q126" i="1"/>
  <c r="P126" i="1"/>
  <c r="T125" i="1"/>
  <c r="S125" i="1"/>
  <c r="R125" i="1"/>
  <c r="Q125" i="1"/>
  <c r="P125" i="1"/>
  <c r="T124" i="1"/>
  <c r="S124" i="1"/>
  <c r="R124" i="1"/>
  <c r="Q124" i="1"/>
  <c r="P124" i="1"/>
  <c r="T123" i="1"/>
  <c r="S123" i="1"/>
  <c r="R123" i="1"/>
  <c r="Q123" i="1"/>
  <c r="P123" i="1"/>
  <c r="T122" i="1"/>
  <c r="S122" i="1"/>
  <c r="R122" i="1"/>
  <c r="Q122" i="1"/>
  <c r="P122" i="1"/>
  <c r="T121" i="1"/>
  <c r="S121" i="1"/>
  <c r="R121" i="1"/>
  <c r="Q121" i="1"/>
  <c r="P121" i="1"/>
  <c r="T120" i="1"/>
  <c r="S120" i="1"/>
  <c r="R120" i="1"/>
  <c r="Q120" i="1"/>
  <c r="P120" i="1"/>
  <c r="T119" i="1"/>
  <c r="S119" i="1"/>
  <c r="R119" i="1"/>
  <c r="Q119" i="1"/>
  <c r="P119" i="1"/>
  <c r="T118" i="1"/>
  <c r="S118" i="1"/>
  <c r="R118" i="1"/>
  <c r="Q118" i="1"/>
  <c r="P118" i="1"/>
  <c r="T117" i="1"/>
  <c r="S117" i="1"/>
  <c r="R117" i="1"/>
  <c r="Q117" i="1"/>
  <c r="P117" i="1"/>
  <c r="T116" i="1"/>
  <c r="S116" i="1"/>
  <c r="R116" i="1"/>
  <c r="Q116" i="1"/>
  <c r="P116" i="1"/>
  <c r="T115" i="1"/>
  <c r="S115" i="1"/>
  <c r="R115" i="1"/>
  <c r="Q115" i="1"/>
  <c r="P115" i="1"/>
  <c r="T114" i="1"/>
  <c r="S114" i="1"/>
  <c r="R114" i="1"/>
  <c r="Q114" i="1"/>
  <c r="P114" i="1"/>
  <c r="T113" i="1"/>
  <c r="S113" i="1"/>
  <c r="R113" i="1"/>
  <c r="Q113" i="1"/>
  <c r="P113" i="1"/>
  <c r="T112" i="1"/>
  <c r="S112" i="1"/>
  <c r="R112" i="1"/>
  <c r="Q112" i="1"/>
  <c r="P112" i="1"/>
  <c r="T111" i="1"/>
  <c r="S111" i="1"/>
  <c r="R111" i="1"/>
  <c r="Q111" i="1"/>
  <c r="P111" i="1"/>
  <c r="T110" i="1"/>
  <c r="S110" i="1"/>
  <c r="R110" i="1"/>
  <c r="Q110" i="1"/>
  <c r="P110" i="1"/>
  <c r="T109" i="1"/>
  <c r="S109" i="1"/>
  <c r="R109" i="1"/>
  <c r="Q109" i="1"/>
  <c r="P109" i="1"/>
  <c r="T108" i="1"/>
  <c r="S108" i="1"/>
  <c r="R108" i="1"/>
  <c r="Q108" i="1"/>
  <c r="P108" i="1"/>
  <c r="T107" i="1"/>
  <c r="S107" i="1"/>
  <c r="R107" i="1"/>
  <c r="Q107" i="1"/>
  <c r="P107" i="1"/>
  <c r="T106" i="1"/>
  <c r="S106" i="1"/>
  <c r="R106" i="1"/>
  <c r="Q106" i="1"/>
  <c r="P106" i="1"/>
  <c r="T105" i="1"/>
  <c r="S105" i="1"/>
  <c r="R105" i="1"/>
  <c r="Q105" i="1"/>
  <c r="P105" i="1"/>
  <c r="T104" i="1"/>
  <c r="S104" i="1"/>
  <c r="R104" i="1"/>
  <c r="Q104" i="1"/>
  <c r="P104" i="1"/>
  <c r="T103" i="1"/>
  <c r="S103" i="1"/>
  <c r="R103" i="1"/>
  <c r="Q103" i="1"/>
  <c r="P103" i="1"/>
  <c r="T102" i="1"/>
  <c r="S102" i="1"/>
  <c r="R102" i="1"/>
  <c r="Q102" i="1"/>
  <c r="P102" i="1"/>
  <c r="T101" i="1"/>
  <c r="S101" i="1"/>
  <c r="R101" i="1"/>
  <c r="Q101" i="1"/>
  <c r="P101" i="1"/>
  <c r="T100" i="1"/>
  <c r="S100" i="1"/>
  <c r="R100" i="1"/>
  <c r="Q100" i="1"/>
  <c r="P100" i="1"/>
  <c r="T99" i="1"/>
  <c r="S99" i="1"/>
  <c r="R99" i="1"/>
  <c r="Q99" i="1"/>
  <c r="P99" i="1"/>
  <c r="T98" i="1"/>
  <c r="S98" i="1"/>
  <c r="R98" i="1"/>
  <c r="Q98" i="1"/>
  <c r="P98" i="1"/>
  <c r="T97" i="1"/>
  <c r="S97" i="1"/>
  <c r="R97" i="1"/>
  <c r="Q97" i="1"/>
  <c r="P97" i="1"/>
  <c r="T96" i="1"/>
  <c r="S96" i="1"/>
  <c r="R96" i="1"/>
  <c r="Q96" i="1"/>
  <c r="P96" i="1"/>
  <c r="T95" i="1"/>
  <c r="S95" i="1"/>
  <c r="R95" i="1"/>
  <c r="Q95" i="1"/>
  <c r="P95" i="1"/>
  <c r="T94" i="1"/>
  <c r="S94" i="1"/>
  <c r="R94" i="1"/>
  <c r="Q94" i="1"/>
  <c r="P94" i="1"/>
  <c r="T93" i="1"/>
  <c r="S93" i="1"/>
  <c r="R93" i="1"/>
  <c r="Q93" i="1"/>
  <c r="P93" i="1"/>
  <c r="T92" i="1"/>
  <c r="S92" i="1"/>
  <c r="R92" i="1"/>
  <c r="Q92" i="1"/>
  <c r="P92" i="1"/>
  <c r="T91" i="1"/>
  <c r="S91" i="1"/>
  <c r="R91" i="1"/>
  <c r="Q91" i="1"/>
  <c r="P91" i="1"/>
  <c r="T90" i="1"/>
  <c r="S90" i="1"/>
  <c r="R90" i="1"/>
  <c r="Q90" i="1"/>
  <c r="P90" i="1"/>
  <c r="T89" i="1"/>
  <c r="S89" i="1"/>
  <c r="R89" i="1"/>
  <c r="Q89" i="1"/>
  <c r="P89" i="1"/>
  <c r="T88" i="1"/>
  <c r="S88" i="1"/>
  <c r="R88" i="1"/>
  <c r="Q88" i="1"/>
  <c r="P88" i="1"/>
  <c r="T87" i="1"/>
  <c r="S87" i="1"/>
  <c r="R87" i="1"/>
  <c r="Q87" i="1"/>
  <c r="P87" i="1"/>
  <c r="T86" i="1"/>
  <c r="S86" i="1"/>
  <c r="R86" i="1"/>
  <c r="Q86" i="1"/>
  <c r="P86" i="1"/>
  <c r="T85" i="1"/>
  <c r="S85" i="1"/>
  <c r="R85" i="1"/>
  <c r="Q85" i="1"/>
  <c r="P85" i="1"/>
  <c r="T84" i="1"/>
  <c r="S84" i="1"/>
  <c r="R84" i="1"/>
  <c r="Q84" i="1"/>
  <c r="P84" i="1"/>
  <c r="T83" i="1"/>
  <c r="S83" i="1"/>
  <c r="R83" i="1"/>
  <c r="Q83" i="1"/>
  <c r="P83" i="1"/>
  <c r="T82" i="1"/>
  <c r="S82" i="1"/>
  <c r="R82" i="1"/>
  <c r="Q82" i="1"/>
  <c r="P82" i="1"/>
  <c r="T81" i="1"/>
  <c r="S81" i="1"/>
  <c r="R81" i="1"/>
  <c r="Q81" i="1"/>
  <c r="P81" i="1"/>
  <c r="T80" i="1"/>
  <c r="S80" i="1"/>
  <c r="R80" i="1"/>
  <c r="Q80" i="1"/>
  <c r="P80" i="1"/>
  <c r="T79" i="1"/>
  <c r="S79" i="1"/>
  <c r="R79" i="1"/>
  <c r="Q79" i="1"/>
  <c r="P79" i="1"/>
  <c r="T78" i="1"/>
  <c r="S78" i="1"/>
  <c r="R78" i="1"/>
  <c r="Q78" i="1"/>
  <c r="P78" i="1"/>
  <c r="T77" i="1"/>
  <c r="S77" i="1"/>
  <c r="R77" i="1"/>
  <c r="Q77" i="1"/>
  <c r="P77" i="1"/>
  <c r="T76" i="1"/>
  <c r="S76" i="1"/>
  <c r="R76" i="1"/>
  <c r="Q76" i="1"/>
  <c r="P76" i="1"/>
  <c r="T75" i="1"/>
  <c r="S75" i="1"/>
  <c r="R75" i="1"/>
  <c r="Q75" i="1"/>
  <c r="P75" i="1"/>
  <c r="T74" i="1"/>
  <c r="S74" i="1"/>
  <c r="R74" i="1"/>
  <c r="Q74" i="1"/>
  <c r="P74" i="1"/>
  <c r="T73" i="1"/>
  <c r="S73" i="1"/>
  <c r="R73" i="1"/>
  <c r="Q73" i="1"/>
  <c r="P73" i="1"/>
  <c r="T72" i="1"/>
  <c r="S72" i="1"/>
  <c r="R72" i="1"/>
  <c r="Q72" i="1"/>
  <c r="P72" i="1"/>
  <c r="T71" i="1"/>
  <c r="S71" i="1"/>
  <c r="R71" i="1"/>
  <c r="Q71" i="1"/>
  <c r="P71" i="1"/>
  <c r="T70" i="1"/>
  <c r="S70" i="1"/>
  <c r="R70" i="1"/>
  <c r="Q70" i="1"/>
  <c r="P70" i="1"/>
  <c r="T69" i="1"/>
  <c r="S69" i="1"/>
  <c r="R69" i="1"/>
  <c r="Q69" i="1"/>
  <c r="P69" i="1"/>
  <c r="T68" i="1"/>
  <c r="S68" i="1"/>
  <c r="R68" i="1"/>
  <c r="Q68" i="1"/>
  <c r="P68" i="1"/>
  <c r="T67" i="1"/>
  <c r="S67" i="1"/>
  <c r="R67" i="1"/>
  <c r="Q67" i="1"/>
  <c r="P67" i="1"/>
  <c r="T66" i="1"/>
  <c r="S66" i="1"/>
  <c r="R66" i="1"/>
  <c r="Q66" i="1"/>
  <c r="P66" i="1"/>
  <c r="T65" i="1"/>
  <c r="S65" i="1"/>
  <c r="R65" i="1"/>
  <c r="Q65" i="1"/>
  <c r="P65" i="1"/>
  <c r="T64" i="1"/>
  <c r="S64" i="1"/>
  <c r="R64" i="1"/>
  <c r="Q64" i="1"/>
  <c r="P64" i="1"/>
  <c r="T63" i="1"/>
  <c r="S63" i="1"/>
  <c r="R63" i="1"/>
  <c r="Q63" i="1"/>
  <c r="P63" i="1"/>
  <c r="T62" i="1"/>
  <c r="S62" i="1"/>
  <c r="R62" i="1"/>
  <c r="Q62" i="1"/>
  <c r="P62" i="1"/>
  <c r="T61" i="1"/>
  <c r="S61" i="1"/>
  <c r="R61" i="1"/>
  <c r="Q61" i="1"/>
  <c r="P61" i="1"/>
  <c r="T60" i="1"/>
  <c r="S60" i="1"/>
  <c r="R60" i="1"/>
  <c r="Q60" i="1"/>
  <c r="P60" i="1"/>
  <c r="T59" i="1"/>
  <c r="S59" i="1"/>
  <c r="R59" i="1"/>
  <c r="Q59" i="1"/>
  <c r="P59" i="1"/>
  <c r="T58" i="1"/>
  <c r="S58" i="1"/>
  <c r="R58" i="1"/>
  <c r="Q58" i="1"/>
  <c r="P58" i="1"/>
  <c r="T57" i="1"/>
  <c r="S57" i="1"/>
  <c r="R57" i="1"/>
  <c r="Q57" i="1"/>
  <c r="P57" i="1"/>
  <c r="T56" i="1"/>
  <c r="S56" i="1"/>
  <c r="R56" i="1"/>
  <c r="Q56" i="1"/>
  <c r="P56" i="1"/>
  <c r="T55" i="1"/>
  <c r="S55" i="1"/>
  <c r="R55" i="1"/>
  <c r="Q55" i="1"/>
  <c r="P55" i="1"/>
  <c r="T54" i="1"/>
  <c r="S54" i="1"/>
  <c r="R54" i="1"/>
  <c r="Q54" i="1"/>
  <c r="P54" i="1"/>
  <c r="T53" i="1"/>
  <c r="S53" i="1"/>
  <c r="R53" i="1"/>
  <c r="Q53" i="1"/>
  <c r="P53" i="1"/>
  <c r="T52" i="1"/>
  <c r="S52" i="1"/>
  <c r="R52" i="1"/>
  <c r="Q52" i="1"/>
  <c r="P52" i="1"/>
  <c r="T51" i="1"/>
  <c r="S51" i="1"/>
  <c r="R51" i="1"/>
  <c r="Q51" i="1"/>
  <c r="P51" i="1"/>
  <c r="T50" i="1"/>
  <c r="S50" i="1"/>
  <c r="R50" i="1"/>
  <c r="Q50" i="1"/>
  <c r="P50" i="1"/>
  <c r="T49" i="1"/>
  <c r="S49" i="1"/>
  <c r="R49" i="1"/>
  <c r="Q49" i="1"/>
  <c r="P49" i="1"/>
  <c r="T48" i="1"/>
  <c r="S48" i="1"/>
  <c r="R48" i="1"/>
  <c r="Q48" i="1"/>
  <c r="P48" i="1"/>
  <c r="T47" i="1"/>
  <c r="S47" i="1"/>
  <c r="R47" i="1"/>
  <c r="Q47" i="1"/>
  <c r="P47" i="1"/>
  <c r="T46" i="1"/>
  <c r="S46" i="1"/>
  <c r="R46" i="1"/>
  <c r="Q46" i="1"/>
  <c r="P46" i="1"/>
  <c r="T45" i="1"/>
  <c r="S45" i="1"/>
  <c r="R45" i="1"/>
  <c r="Q45" i="1"/>
  <c r="P45" i="1"/>
  <c r="T44" i="1"/>
  <c r="S44" i="1"/>
  <c r="R44" i="1"/>
  <c r="Q44" i="1"/>
  <c r="P44" i="1"/>
  <c r="T43" i="1"/>
  <c r="S43" i="1"/>
  <c r="R43" i="1"/>
  <c r="Q43" i="1"/>
  <c r="P43" i="1"/>
  <c r="T42" i="1"/>
  <c r="S42" i="1"/>
  <c r="R42" i="1"/>
  <c r="Q42" i="1"/>
  <c r="P42" i="1"/>
  <c r="T41" i="1"/>
  <c r="S41" i="1"/>
  <c r="R41" i="1"/>
  <c r="Q41" i="1"/>
  <c r="P41" i="1"/>
  <c r="T40" i="1"/>
  <c r="S40" i="1"/>
  <c r="R40" i="1"/>
  <c r="Q40" i="1"/>
  <c r="P40" i="1"/>
  <c r="T39" i="1"/>
  <c r="S39" i="1"/>
  <c r="R39" i="1"/>
  <c r="Q39" i="1"/>
  <c r="P39" i="1"/>
  <c r="T38" i="1"/>
  <c r="S38" i="1"/>
  <c r="R38" i="1"/>
  <c r="Q38" i="1"/>
  <c r="P38" i="1"/>
  <c r="T37" i="1"/>
  <c r="S37" i="1"/>
  <c r="R37" i="1"/>
  <c r="Q37" i="1"/>
  <c r="P37" i="1"/>
  <c r="T36" i="1"/>
  <c r="S36" i="1"/>
  <c r="R36" i="1"/>
  <c r="Q36" i="1"/>
  <c r="P36" i="1"/>
  <c r="T35" i="1"/>
  <c r="S35" i="1"/>
  <c r="R35" i="1"/>
  <c r="Q35" i="1"/>
  <c r="P35" i="1"/>
  <c r="T34" i="1"/>
  <c r="S34" i="1"/>
  <c r="R34" i="1"/>
  <c r="Q34" i="1"/>
  <c r="P34" i="1"/>
  <c r="T33" i="1"/>
  <c r="S33" i="1"/>
  <c r="R33" i="1"/>
  <c r="Q33" i="1"/>
  <c r="P33" i="1"/>
  <c r="T32" i="1"/>
  <c r="S32" i="1"/>
  <c r="R32" i="1"/>
  <c r="Q32" i="1"/>
  <c r="P32" i="1"/>
  <c r="T31" i="1"/>
  <c r="S31" i="1"/>
  <c r="R31" i="1"/>
  <c r="Q31" i="1"/>
  <c r="P31" i="1"/>
  <c r="T30" i="1"/>
  <c r="S30" i="1"/>
  <c r="R30" i="1"/>
  <c r="Q30" i="1"/>
  <c r="P30" i="1"/>
  <c r="T29" i="1"/>
  <c r="S29" i="1"/>
  <c r="R29" i="1"/>
  <c r="Q29" i="1"/>
  <c r="P29" i="1"/>
  <c r="T28" i="1"/>
  <c r="S28" i="1"/>
  <c r="R28" i="1"/>
  <c r="Q28" i="1"/>
  <c r="P28" i="1"/>
  <c r="T27" i="1"/>
  <c r="S27" i="1"/>
  <c r="R27" i="1"/>
  <c r="Q27" i="1"/>
  <c r="P27" i="1"/>
  <c r="T26" i="1"/>
  <c r="S26" i="1"/>
  <c r="R26" i="1"/>
  <c r="Q26" i="1"/>
  <c r="P26" i="1"/>
  <c r="T25" i="1"/>
  <c r="S25" i="1"/>
  <c r="R25" i="1"/>
  <c r="Q25" i="1"/>
  <c r="P25" i="1"/>
  <c r="T24" i="1"/>
  <c r="S24" i="1"/>
  <c r="R24" i="1"/>
  <c r="Q24" i="1"/>
  <c r="P24" i="1"/>
  <c r="T23" i="1"/>
  <c r="S23" i="1"/>
  <c r="R23" i="1"/>
  <c r="Q23" i="1"/>
  <c r="P23" i="1"/>
  <c r="T22" i="1"/>
  <c r="S22" i="1"/>
  <c r="R22" i="1"/>
  <c r="Q22" i="1"/>
  <c r="P22" i="1"/>
  <c r="T21" i="1"/>
  <c r="S21" i="1"/>
  <c r="R21" i="1"/>
  <c r="Q21" i="1"/>
  <c r="P21" i="1"/>
  <c r="T20" i="1"/>
  <c r="S20" i="1"/>
  <c r="R20" i="1"/>
  <c r="Q20" i="1"/>
  <c r="P20" i="1"/>
  <c r="T19" i="1"/>
  <c r="S19" i="1"/>
  <c r="R19" i="1"/>
  <c r="Q19" i="1"/>
  <c r="P19" i="1"/>
  <c r="T18" i="1"/>
  <c r="S18" i="1"/>
  <c r="R18" i="1"/>
  <c r="Q18" i="1"/>
  <c r="P18" i="1"/>
  <c r="T17" i="1"/>
  <c r="S17" i="1"/>
  <c r="R17" i="1"/>
  <c r="Q17" i="1"/>
  <c r="P17" i="1"/>
  <c r="T16" i="1"/>
  <c r="S16" i="1"/>
  <c r="R16" i="1"/>
  <c r="Q16" i="1"/>
  <c r="P16" i="1"/>
  <c r="T15" i="1"/>
  <c r="S15" i="1"/>
  <c r="R15" i="1"/>
  <c r="Q15" i="1"/>
  <c r="P15" i="1"/>
  <c r="T14" i="1"/>
  <c r="S14" i="1"/>
  <c r="R14" i="1"/>
  <c r="Q14" i="1"/>
  <c r="P14" i="1"/>
  <c r="Z13" i="1"/>
  <c r="T13" i="1"/>
  <c r="S13" i="1"/>
  <c r="R13" i="1"/>
  <c r="Q13" i="1"/>
  <c r="P13" i="1"/>
  <c r="T12" i="1"/>
  <c r="S12" i="1"/>
  <c r="R12" i="1"/>
  <c r="Q12" i="1"/>
  <c r="P12" i="1"/>
  <c r="T11" i="1"/>
  <c r="S11" i="1"/>
  <c r="R11" i="1"/>
  <c r="Q11" i="1"/>
  <c r="P11" i="1"/>
  <c r="T10" i="1"/>
  <c r="S10" i="1"/>
  <c r="R10" i="1"/>
  <c r="Q10" i="1"/>
  <c r="P10" i="1"/>
  <c r="T9" i="1"/>
  <c r="S9" i="1"/>
  <c r="R9" i="1"/>
  <c r="Q9" i="1"/>
  <c r="P9" i="1"/>
  <c r="T8" i="1"/>
  <c r="S8" i="1"/>
  <c r="R8" i="1"/>
  <c r="Q8" i="1"/>
  <c r="P8" i="1"/>
  <c r="T7" i="1"/>
  <c r="S7" i="1"/>
  <c r="R7" i="1"/>
  <c r="Q7" i="1"/>
  <c r="P7" i="1"/>
  <c r="T6" i="1"/>
  <c r="S6" i="1"/>
  <c r="R6" i="1"/>
  <c r="Q6" i="1"/>
  <c r="P6" i="1"/>
  <c r="T5" i="1"/>
  <c r="S5" i="1"/>
  <c r="R5" i="1"/>
  <c r="Q5" i="1"/>
  <c r="P5" i="1"/>
  <c r="T4" i="1"/>
  <c r="S4" i="1"/>
  <c r="R4" i="1"/>
  <c r="Q4" i="1"/>
  <c r="P4" i="1"/>
  <c r="AD4" i="1" l="1"/>
  <c r="AA4" i="1"/>
  <c r="AD3" i="1"/>
  <c r="AB3" i="1"/>
  <c r="Z3" i="1"/>
  <c r="AC4" i="1"/>
  <c r="Z4" i="1"/>
  <c r="AA3" i="1"/>
  <c r="AB4" i="1"/>
  <c r="AC3" i="1"/>
  <c r="Z10" i="1" l="1"/>
  <c r="Z11" i="1" a="1"/>
  <c r="Z11" i="1" s="1"/>
  <c r="Z1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<sst xmlns="http://schemas.openxmlformats.org/spreadsheetml/2006/main" count="41" uniqueCount="20">
  <si>
    <t>Adjusted Close Prices</t>
  </si>
  <si>
    <t>Log Normal Daily Returns</t>
  </si>
  <si>
    <t>Date</t>
  </si>
  <si>
    <t>SPY</t>
  </si>
  <si>
    <t>BND</t>
  </si>
  <si>
    <t>GLD</t>
  </si>
  <si>
    <t>QQQ</t>
  </si>
  <si>
    <t>VTI</t>
  </si>
  <si>
    <t>Security</t>
  </si>
  <si>
    <t>Annual Return</t>
  </si>
  <si>
    <t>SD</t>
  </si>
  <si>
    <t>Minimum Weight</t>
  </si>
  <si>
    <t>Maximum Weight</t>
  </si>
  <si>
    <t>Optimal Weight</t>
  </si>
  <si>
    <t>Portfolio Summary</t>
  </si>
  <si>
    <t>Expected Return</t>
  </si>
  <si>
    <t>Risk Free Rate (assumed)</t>
  </si>
  <si>
    <t>Total Weight</t>
  </si>
  <si>
    <t>Sharpe Ratio</t>
  </si>
  <si>
    <t>Covariance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</si>
</sst>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40C2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theme="9" tint="-0.249977111117893"/>
        <bgColor rgb="FFD0E0E3"/>
      </patternFill>
    </fill>
    <fill>
      <patternFill patternType="solid">
        <fgColor theme="4" tint="0.39997558519241921"/>
        <bgColor rgb="FFC9DAF8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10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4" borderId="4" xfId="0" applyFont="1" applyFill="1" applyBorder="1"/>
    <xf numFmtId="10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4" xfId="0" applyFont="1" applyFill="1" applyBorder="1"/>
    <xf numFmtId="0" fontId="3" fillId="0" borderId="4" xfId="0" applyFont="1" applyBorder="1"/>
    <xf numFmtId="10" fontId="3" fillId="0" borderId="4" xfId="0" applyNumberFormat="1" applyFont="1" applyBorder="1"/>
    <xf numFmtId="0" fontId="2" fillId="6" borderId="5" xfId="0" applyFont="1" applyFill="1" applyBorder="1" applyAlignment="1">
      <alignment horizontal="center"/>
    </xf>
    <xf numFmtId="0" fontId="2" fillId="0" borderId="5" xfId="0" applyFont="1" applyBorder="1"/>
    <xf numFmtId="9" fontId="5" fillId="0" borderId="5" xfId="1" applyFont="1" applyBorder="1"/>
    <xf numFmtId="0" fontId="6" fillId="7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2" fillId="0" borderId="4" xfId="0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10" fontId="2" fillId="5" borderId="4" xfId="0" applyNumberFormat="1" applyFont="1" applyFill="1" applyBorder="1"/>
    <xf numFmtId="164" fontId="3" fillId="0" borderId="4" xfId="0" applyNumberFormat="1" applyFont="1" applyBorder="1" applyAlignment="1">
      <alignment horizontal="center"/>
    </xf>
    <xf numFmtId="0" fontId="3" fillId="0" borderId="0" xfId="0" applyFont="1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5" borderId="4" xfId="0" applyFont="1" applyFill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10" fontId="3" fillId="0" borderId="5" xfId="1" applyNumberFormat="1" applyFont="1" applyBorder="1"/>
    <xf numFmtId="9" fontId="3" fillId="0" borderId="5" xfId="1" applyFont="1" applyBorder="1"/>
    <xf numFmtId="0" fontId="7" fillId="0" borderId="0" xfId="0" applyFont="1" applyBorder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0" fontId="3" fillId="0" borderId="0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88900</xdr:colOff>
      <xdr:row>0</xdr:row>
      <xdr:rowOff>63500</xdr:rowOff>
    </xdr:from>
    <xdr:to>
      <xdr:col>14</xdr:col>
      <xdr:colOff>520700</xdr:colOff>
      <xdr:row>14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BD2752-7347-D671-F948-FE456BDD34F5}"/>
            </a:ext>
          </a:extLst>
        </xdr:cNvPr>
        <xdr:cNvSpPr txBox="1"/>
      </xdr:nvSpPr>
      <xdr:spPr>
        <a:xfrm>
          <a:off x="6223000" y="63500"/>
          <a:ext cx="3181350" cy="27368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Step 1: Data Collection and Inputs</a:t>
          </a:r>
          <a:br>
            <a:rPr lang="en-IN" b="1"/>
          </a:br>
          <a:endParaRPr lang="en-IN" b="1"/>
        </a:p>
        <a:p>
          <a:r>
            <a:rPr lang="en-IN" b="1" u="sng"/>
            <a:t>Data Used</a:t>
          </a:r>
          <a:br>
            <a:rPr lang="en-IN" b="1"/>
          </a:br>
          <a:endParaRPr lang="en-IN" b="1"/>
        </a:p>
        <a:p>
          <a:r>
            <a:rPr lang="en-IN" b="1"/>
            <a:t>-&gt; Assets:</a:t>
          </a:r>
          <a:r>
            <a:rPr lang="en-IN"/>
            <a:t> 5 ETFs (SPY, BND, GLD, QQQ, VT) representing equity, bonds, and commodities.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 b="1"/>
            <a:t>Data Source:</a:t>
          </a:r>
          <a:r>
            <a:rPr lang="en-IN"/>
            <a:t> Historical </a:t>
          </a:r>
          <a:r>
            <a:rPr lang="en-IN" i="1"/>
            <a:t>adjusted close prices</a:t>
          </a:r>
          <a:r>
            <a:rPr lang="en-IN"/>
            <a:t> for the last </a:t>
          </a:r>
          <a:r>
            <a:rPr lang="en-IN" b="1"/>
            <a:t>16 years</a:t>
          </a:r>
          <a:r>
            <a:rPr lang="en-IN"/>
            <a:t> (obtained via Python or Yahoo Finance).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 b="1"/>
            <a:t>Why Adjusted Prices:</a:t>
          </a:r>
          <a:r>
            <a:rPr lang="en-IN"/>
            <a:t> They reflect </a:t>
          </a:r>
          <a:r>
            <a:rPr lang="en-IN" i="1"/>
            <a:t>dividends</a:t>
          </a:r>
          <a:r>
            <a:rPr lang="en-IN"/>
            <a:t> and </a:t>
          </a:r>
          <a:r>
            <a:rPr lang="en-IN" i="1"/>
            <a:t>stock splits</a:t>
          </a:r>
          <a:r>
            <a:rPr lang="en-IN"/>
            <a:t>, giving a true measure of total return.</a:t>
          </a:r>
        </a:p>
        <a:p>
          <a:br>
            <a:rPr lang="en-IN" b="1"/>
          </a:br>
          <a:r>
            <a:rPr lang="en-IN" b="1" u="sng"/>
            <a:t>Initial Portfolio</a:t>
          </a:r>
        </a:p>
        <a:p>
          <a:r>
            <a:rPr lang="en-IN"/>
            <a:t>Equally weighted (20% in each asset) to begin optimisation.</a:t>
          </a:r>
        </a:p>
        <a:p>
          <a:endParaRPr lang="en-IN" sz="1100"/>
        </a:p>
      </xdr:txBody>
    </xdr:sp>
    <xdr:clientData/>
  </xdr:twoCellAnchor>
  <xdr:twoCellAnchor>
    <xdr:from>
      <xdr:col>0</xdr:col>
      <xdr:colOff>76200</xdr:colOff>
      <xdr:row>0</xdr:row>
      <xdr:rowOff>114300</xdr:rowOff>
    </xdr:from>
    <xdr:to>
      <xdr:col>2</xdr:col>
      <xdr:colOff>723900</xdr:colOff>
      <xdr:row>11</xdr:row>
      <xdr:rowOff>6350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432986-4399-0DA5-EA9A-81CD1402504F}"/>
            </a:ext>
          </a:extLst>
        </xdr:cNvPr>
        <xdr:cNvSpPr txBox="1"/>
      </xdr:nvSpPr>
      <xdr:spPr>
        <a:xfrm>
          <a:off x="76200" y="114300"/>
          <a:ext cx="2413000" cy="20256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 u="sng"/>
            <a:t>Objective:</a:t>
          </a:r>
          <a:br>
            <a:rPr lang="en-IN"/>
          </a:br>
          <a:br>
            <a:rPr lang="en-IN"/>
          </a:br>
          <a:r>
            <a:rPr lang="en-IN"/>
            <a:t>To find the </a:t>
          </a:r>
          <a:r>
            <a:rPr lang="en-IN" i="1"/>
            <a:t>most mathematically optimal</a:t>
          </a:r>
          <a:r>
            <a:rPr lang="en-IN"/>
            <a:t> way to allocate investments among five assets — S&amp;P 500 (SPY), Bonds, Gold, NASDAQ, and Vanguard Total World Stock Index (VT).</a:t>
          </a:r>
          <a:br>
            <a:rPr lang="en-IN"/>
          </a:br>
          <a:br>
            <a:rPr lang="en-IN"/>
          </a:br>
          <a:r>
            <a:rPr lang="en-IN"/>
            <a:t>The goal is to maximise the </a:t>
          </a:r>
          <a:r>
            <a:rPr lang="en-IN" b="1"/>
            <a:t>Sharpe Ratio</a:t>
          </a:r>
          <a:r>
            <a:rPr lang="en-IN"/>
            <a:t>, i.e. maximise the risk-adjusted return of the portfolio.</a:t>
          </a:r>
        </a:p>
        <a:p>
          <a:endParaRPr lang="en-IN" sz="1100"/>
        </a:p>
      </xdr:txBody>
    </xdr:sp>
    <xdr:clientData/>
  </xdr:twoCellAnchor>
  <xdr:twoCellAnchor>
    <xdr:from>
      <xdr:col>20</xdr:col>
      <xdr:colOff>57150</xdr:colOff>
      <xdr:row>0</xdr:row>
      <xdr:rowOff>82550</xdr:rowOff>
    </xdr:from>
    <xdr:to>
      <xdr:col>23</xdr:col>
      <xdr:colOff>793750</xdr:colOff>
      <xdr:row>10</xdr:row>
      <xdr:rowOff>82550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80AFF60-51A3-6A8E-8375-B082444DE5B3}"/>
                </a:ext>
              </a:extLst>
            </xdr:cNvPr>
            <xdr:cNvSpPr txBox="1"/>
          </xdr:nvSpPr>
          <xdr:spPr>
            <a:xfrm>
              <a:off x="12115800" y="82550"/>
              <a:ext cx="3251200" cy="193675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2: Required Inputs for Portfolio Optimisation</a:t>
              </a:r>
            </a:p>
            <a:p>
              <a:br>
                <a:rPr lang="en-IN"/>
              </a:br>
              <a:r>
                <a:rPr lang="en-IN"/>
                <a:t>To calculate the </a:t>
              </a:r>
              <a:r>
                <a:rPr lang="en-IN" b="1"/>
                <a:t>Sharpe Ratio</a:t>
              </a:r>
              <a:r>
                <a:rPr lang="en-IN"/>
                <a:t>, three key inputs are required: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IN" b="0"/>
                      <m:t>Sharpe</m:t>
                    </m:r>
                    <m:r>
                      <m:rPr>
                        <m:nor/>
                      </m:rPr>
                      <a:rPr lang="en-IN" b="0" i="1"/>
                      <m:t> </m:t>
                    </m:r>
                    <m:r>
                      <m:rPr>
                        <m:nor/>
                      </m:rPr>
                      <a:rPr lang="en-IN" b="0" i="1"/>
                      <m:t>Ratio</m:t>
                    </m:r>
                    <m:r>
                      <a:rPr lang="en-IN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𝐸</m:t>
                        </m:r>
                        <m:d>
                          <m:d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sub>
                            </m:sSub>
                          </m:e>
                        </m:d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𝑝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ar-AE" b="0"/>
            </a:p>
            <a:p>
              <a:r>
                <a:rPr lang="en-IN"/>
                <a:t>Where:</a:t>
              </a:r>
            </a:p>
            <a:p>
              <a14:m>
                <m:oMath xmlns:m="http://schemas.openxmlformats.org/officeDocument/2006/math">
                  <m:r>
                    <a:rPr lang="en-IN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𝐸</m:t>
                  </m:r>
                  <m:d>
                    <m:dPr>
                      <m:ctrlP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  <m:t>𝑅</m:t>
                          </m:r>
                        </m:e>
                        <m:sub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  <m:t>𝑝</m:t>
                          </m:r>
                        </m:sub>
                      </m:sSub>
                    </m:e>
                  </m:d>
                </m:oMath>
              </a14:m>
              <a:r>
                <a:rPr lang="ar-AE"/>
                <a:t>: </a:t>
              </a:r>
              <a:r>
                <a:rPr lang="en-IN"/>
                <a:t>Expected portfolio return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𝑅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𝑓</m:t>
                      </m:r>
                    </m:sub>
                  </m:sSub>
                </m:oMath>
              </a14:m>
              <a:r>
                <a:rPr lang="ar-AE"/>
                <a:t>: </a:t>
              </a:r>
              <a:r>
                <a:rPr lang="en-IN"/>
                <a:t>Risk-free rate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ar-AE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𝜎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𝑝</m:t>
                      </m:r>
                    </m:sub>
                  </m:sSub>
                </m:oMath>
              </a14:m>
              <a:r>
                <a:rPr lang="ar-AE"/>
                <a:t>: </a:t>
              </a:r>
              <a:r>
                <a:rPr lang="en-IN"/>
                <a:t>Portfolio standard deviation (risk)</a:t>
              </a: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80AFF60-51A3-6A8E-8375-B082444DE5B3}"/>
                </a:ext>
              </a:extLst>
            </xdr:cNvPr>
            <xdr:cNvSpPr txBox="1"/>
          </xdr:nvSpPr>
          <xdr:spPr>
            <a:xfrm>
              <a:off x="12115800" y="82550"/>
              <a:ext cx="3251200" cy="193675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2: Required Inputs for Portfolio Optimisation</a:t>
              </a:r>
            </a:p>
            <a:p>
              <a:br>
                <a:rPr lang="en-IN"/>
              </a:br>
              <a:r>
                <a:rPr lang="en-IN"/>
                <a:t>To calculate the </a:t>
              </a:r>
              <a:r>
                <a:rPr lang="en-IN" b="1"/>
                <a:t>Sharpe Ratio</a:t>
              </a:r>
              <a:r>
                <a:rPr lang="en-IN"/>
                <a:t>, three key inputs are required:</a:t>
              </a:r>
            </a:p>
            <a:p>
              <a:r>
                <a:rPr lang="en-IN" b="0" i="0">
                  <a:latin typeface="Cambria Math" panose="02040503050406030204" pitchFamily="18" charset="0"/>
                </a:rPr>
                <a:t>"Sharpe Ratio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(𝐸(𝑅_𝑝 )−𝑅_𝑓)/𝜎_𝑝 </a:t>
              </a:r>
              <a:endParaRPr lang="ar-AE" b="0"/>
            </a:p>
            <a:p>
              <a:r>
                <a:rPr lang="en-IN"/>
                <a:t>Where:</a:t>
              </a:r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𝐸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(𝑅_𝑝 )</a:t>
              </a:r>
              <a:r>
                <a:rPr lang="ar-AE"/>
                <a:t>: </a:t>
              </a:r>
              <a:r>
                <a:rPr lang="en-IN"/>
                <a:t>Expected portfolio return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𝑅_𝑓</a:t>
              </a:r>
              <a:r>
                <a:rPr lang="ar-AE"/>
                <a:t>: </a:t>
              </a:r>
              <a:r>
                <a:rPr lang="en-IN"/>
                <a:t>Risk-free rate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𝜎_𝑝</a:t>
              </a:r>
              <a:r>
                <a:rPr lang="ar-AE"/>
                <a:t>: </a:t>
              </a:r>
              <a:r>
                <a:rPr lang="en-IN"/>
                <a:t>Portfolio standard deviation (risk)</a:t>
              </a:r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30</xdr:col>
      <xdr:colOff>69850</xdr:colOff>
      <xdr:row>0</xdr:row>
      <xdr:rowOff>50800</xdr:rowOff>
    </xdr:from>
    <xdr:to>
      <xdr:col>37</xdr:col>
      <xdr:colOff>831850</xdr:colOff>
      <xdr:row>20</xdr:row>
      <xdr:rowOff>120650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FF8D83A-7C03-C085-A40C-5025A6F568EC}"/>
                </a:ext>
              </a:extLst>
            </xdr:cNvPr>
            <xdr:cNvSpPr txBox="1"/>
          </xdr:nvSpPr>
          <xdr:spPr>
            <a:xfrm>
              <a:off x="21215350" y="50800"/>
              <a:ext cx="4362450" cy="387985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3: Calculating Returns</a:t>
              </a:r>
              <a:br>
                <a:rPr lang="en-IN" b="1"/>
              </a:br>
              <a:endParaRPr lang="en-IN" b="1"/>
            </a:p>
            <a:p>
              <a:r>
                <a:rPr lang="en-IN" b="1"/>
                <a:t>A. Daily Log Returns</a:t>
              </a:r>
            </a:p>
            <a:p>
              <a:r>
                <a:rPr lang="en-IN"/>
                <a:t>Instead of simple percentage returns, </a:t>
              </a:r>
              <a:r>
                <a:rPr lang="en-IN" b="1"/>
                <a:t>log-normal returns</a:t>
              </a:r>
              <a:r>
                <a:rPr lang="en-IN"/>
                <a:t> were used: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unc>
                      <m:func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IN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𝑃</m:t>
                                    </m:r>
                                  </m:e>
                                  <m:sub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𝑃</m:t>
                                    </m:r>
                                  </m:e>
                                  <m:sub>
                                    <m: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</m:func>
                  </m:oMath>
                </m:oMathPara>
              </a14:m>
              <a:endParaRPr lang="ar-AE"/>
            </a:p>
            <a:p>
              <a:r>
                <a:rPr lang="en-IN"/>
                <a:t>This method:</a:t>
              </a:r>
              <a:br>
                <a:rPr lang="en-IN"/>
              </a:br>
              <a:endParaRPr lang="en-IN"/>
            </a:p>
            <a:p>
              <a:r>
                <a:rPr lang="en-IN"/>
                <a:t>Is </a:t>
              </a:r>
              <a:r>
                <a:rPr lang="en-IN" i="1"/>
                <a:t>additive</a:t>
              </a:r>
              <a:r>
                <a:rPr lang="en-IN"/>
                <a:t> across time</a:t>
              </a:r>
            </a:p>
            <a:p>
              <a:r>
                <a:rPr lang="en-IN"/>
                <a:t>Is standard in financial analysis</a:t>
              </a:r>
            </a:p>
            <a:p>
              <a:r>
                <a:rPr lang="en-IN"/>
                <a:t>Makes </a:t>
              </a:r>
              <a:r>
                <a:rPr lang="en-IN" i="1"/>
                <a:t>annualisation</a:t>
              </a:r>
              <a:r>
                <a:rPr lang="en-IN"/>
                <a:t> and </a:t>
              </a:r>
              <a:r>
                <a:rPr lang="en-IN" i="1"/>
                <a:t>volatility</a:t>
              </a:r>
              <a:r>
                <a:rPr lang="en-IN"/>
                <a:t> calculation easier</a:t>
              </a:r>
              <a:br>
                <a:rPr lang="en-IN"/>
              </a:br>
              <a:endParaRPr lang="en-IN"/>
            </a:p>
            <a:p>
              <a:r>
                <a:rPr lang="en-IN" b="1"/>
                <a:t>B. Annualised Expected Return</a:t>
              </a:r>
            </a:p>
            <a:p>
              <a:r>
                <a:rPr lang="en-IN"/>
                <a:t>Using Excel: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𝐸</m:t>
                    </m:r>
                    <m:d>
                      <m:d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d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d>
                          <m:d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m:rPr>
                                <m:nor/>
                              </m:rPr>
                              <a:rPr lang="en-IN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AVERAGE</m:t>
                            </m:r>
                            <m:r>
                              <m:rPr>
                                <m:nor/>
                              </m:rPr>
                              <a:rPr lang="en-IN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m:rPr>
                                <m:nor/>
                              </m:rPr>
                              <a:rPr lang="en-IN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of</m:t>
                            </m:r>
                            <m:r>
                              <m:rPr>
                                <m:nor/>
                              </m:rPr>
                              <a:rPr lang="en-IN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m:rPr>
                                <m:nor/>
                              </m:rPr>
                              <a:rPr lang="en-IN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daily</m:t>
                            </m:r>
                            <m:r>
                              <m:rPr>
                                <m:nor/>
                              </m:rPr>
                              <a:rPr lang="en-IN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m:rPr>
                                <m:nor/>
                              </m:rPr>
                              <a:rPr lang="en-IN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log</m:t>
                            </m:r>
                            <m:r>
                              <m:rPr>
                                <m:nor/>
                              </m:rPr>
                              <a:rPr lang="en-IN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m:rPr>
                                <m:nor/>
                              </m:rPr>
                              <a:rPr lang="en-IN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returns</m:t>
                            </m:r>
                            <m:r>
                              <a:rPr lang="en-IN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×</m:t>
                            </m:r>
                            <m:r>
                              <a:rPr lang="en-IN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252</m:t>
                            </m:r>
                          </m:e>
                        </m:d>
                      </m:sup>
                    </m:sSup>
                    <m:r>
                      <a:rPr lang="ar-AE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−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1</m:t>
                    </m:r>
                  </m:oMath>
                </m:oMathPara>
              </a14:m>
              <a:br>
                <a:rPr lang="en-IN" sz="1100" b="0">
                  <a:solidFill>
                    <a:schemeClr val="dk1"/>
                  </a:solidFill>
                  <a:ea typeface="+mn-ea"/>
                  <a:cs typeface="+mn-cs"/>
                </a:rPr>
              </a:br>
              <a:br>
                <a:rPr lang="en-IN" sz="1100" b="0">
                  <a:solidFill>
                    <a:schemeClr val="dk1"/>
                  </a:solidFill>
                  <a:ea typeface="+mn-ea"/>
                  <a:cs typeface="+mn-cs"/>
                </a:rPr>
              </a:br>
              <a:r>
                <a:rPr lang="ar-AE" b="1"/>
                <a:t>252</a:t>
              </a:r>
              <a:r>
                <a:rPr lang="ar-AE"/>
                <a:t> </a:t>
              </a:r>
              <a:r>
                <a:rPr lang="en-IN"/>
                <a:t>represents the number of trading days in a year.</a:t>
              </a:r>
            </a:p>
            <a:p>
              <a:r>
                <a:rPr lang="en-IN"/>
                <a:t>Returns were calculated for each asset.</a:t>
              </a:r>
              <a:br>
                <a:rPr lang="en-IN"/>
              </a:br>
              <a:endParaRPr lang="en-IN"/>
            </a:p>
            <a:p>
              <a:r>
                <a:rPr lang="en-IN" b="1"/>
                <a:t>Assumption:</a:t>
              </a:r>
              <a:r>
                <a:rPr lang="en-IN"/>
                <a:t> Past average returns ≈ expected future returns (a simplifying but imperfect assumption).</a:t>
              </a:r>
              <a:br>
                <a:rPr lang="en-IN"/>
              </a:br>
              <a:endParaRPr lang="en-IN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FF8D83A-7C03-C085-A40C-5025A6F568EC}"/>
                </a:ext>
              </a:extLst>
            </xdr:cNvPr>
            <xdr:cNvSpPr txBox="1"/>
          </xdr:nvSpPr>
          <xdr:spPr>
            <a:xfrm>
              <a:off x="21215350" y="50800"/>
              <a:ext cx="4362450" cy="387985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3: Calculating Returns</a:t>
              </a:r>
              <a:br>
                <a:rPr lang="en-IN" b="1"/>
              </a:br>
              <a:endParaRPr lang="en-IN" b="1"/>
            </a:p>
            <a:p>
              <a:r>
                <a:rPr lang="en-IN" b="1"/>
                <a:t>A. Daily Log Returns</a:t>
              </a:r>
            </a:p>
            <a:p>
              <a:r>
                <a:rPr lang="en-IN"/>
                <a:t>Instead of simple percentage returns, </a:t>
              </a:r>
              <a:r>
                <a:rPr lang="en-IN" b="1"/>
                <a:t>log-normal returns</a:t>
              </a:r>
              <a:r>
                <a:rPr lang="en-IN"/>
                <a:t> were used: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𝑟_𝑡=</a:t>
              </a:r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ln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⁡(𝑃_𝑡/𝑃_(𝑡−1) )</a:t>
              </a:r>
              <a:endParaRPr lang="ar-AE"/>
            </a:p>
            <a:p>
              <a:r>
                <a:rPr lang="en-IN"/>
                <a:t>This method:</a:t>
              </a:r>
              <a:br>
                <a:rPr lang="en-IN"/>
              </a:br>
              <a:endParaRPr lang="en-IN"/>
            </a:p>
            <a:p>
              <a:r>
                <a:rPr lang="en-IN"/>
                <a:t>Is </a:t>
              </a:r>
              <a:r>
                <a:rPr lang="en-IN" i="1"/>
                <a:t>additive</a:t>
              </a:r>
              <a:r>
                <a:rPr lang="en-IN"/>
                <a:t> across time</a:t>
              </a:r>
            </a:p>
            <a:p>
              <a:r>
                <a:rPr lang="en-IN"/>
                <a:t>Is standard in financial analysis</a:t>
              </a:r>
            </a:p>
            <a:p>
              <a:r>
                <a:rPr lang="en-IN"/>
                <a:t>Makes </a:t>
              </a:r>
              <a:r>
                <a:rPr lang="en-IN" i="1"/>
                <a:t>annualisation</a:t>
              </a:r>
              <a:r>
                <a:rPr lang="en-IN"/>
                <a:t> and </a:t>
              </a:r>
              <a:r>
                <a:rPr lang="en-IN" i="1"/>
                <a:t>volatility</a:t>
              </a:r>
              <a:r>
                <a:rPr lang="en-IN"/>
                <a:t> calculation easier</a:t>
              </a:r>
              <a:br>
                <a:rPr lang="en-IN"/>
              </a:br>
              <a:endParaRPr lang="en-IN"/>
            </a:p>
            <a:p>
              <a:r>
                <a:rPr lang="en-IN" b="1"/>
                <a:t>B. Annualised Expected Return</a:t>
              </a:r>
            </a:p>
            <a:p>
              <a:r>
                <a:rPr lang="en-IN"/>
                <a:t>Using Excel:</a:t>
              </a:r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𝐸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(𝑅_𝑖 )=𝑒^((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"AVERAGE of daily log returns" ×252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) )−1</a:t>
              </a:r>
              <a:br>
                <a:rPr lang="en-IN" sz="1100" b="0">
                  <a:solidFill>
                    <a:schemeClr val="dk1"/>
                  </a:solidFill>
                  <a:ea typeface="+mn-ea"/>
                  <a:cs typeface="+mn-cs"/>
                </a:rPr>
              </a:br>
              <a:br>
                <a:rPr lang="en-IN" sz="1100" b="0">
                  <a:solidFill>
                    <a:schemeClr val="dk1"/>
                  </a:solidFill>
                  <a:ea typeface="+mn-ea"/>
                  <a:cs typeface="+mn-cs"/>
                </a:rPr>
              </a:br>
              <a:r>
                <a:rPr lang="ar-AE" b="1"/>
                <a:t>252</a:t>
              </a:r>
              <a:r>
                <a:rPr lang="ar-AE"/>
                <a:t> </a:t>
              </a:r>
              <a:r>
                <a:rPr lang="en-IN"/>
                <a:t>represents the number of trading days in a year.</a:t>
              </a:r>
            </a:p>
            <a:p>
              <a:r>
                <a:rPr lang="en-IN"/>
                <a:t>Returns were calculated for each asset.</a:t>
              </a:r>
              <a:br>
                <a:rPr lang="en-IN"/>
              </a:br>
              <a:endParaRPr lang="en-IN"/>
            </a:p>
            <a:p>
              <a:r>
                <a:rPr lang="en-IN" b="1"/>
                <a:t>Assumption:</a:t>
              </a:r>
              <a:r>
                <a:rPr lang="en-IN"/>
                <a:t> Past average returns ≈ expected future returns (a simplifying but imperfect assumption).</a:t>
              </a:r>
              <a:br>
                <a:rPr lang="en-IN"/>
              </a:br>
              <a:endParaRPr lang="en-IN" sz="1100"/>
            </a:p>
          </xdr:txBody>
        </xdr:sp>
      </mc:Fallback>
    </mc:AlternateContent>
    <xdr:clientData/>
  </xdr:twoCellAnchor>
  <xdr:twoCellAnchor>
    <xdr:from>
      <xdr:col>38</xdr:col>
      <xdr:colOff>95250</xdr:colOff>
      <xdr:row>0</xdr:row>
      <xdr:rowOff>76200</xdr:rowOff>
    </xdr:from>
    <xdr:to>
      <xdr:col>42</xdr:col>
      <xdr:colOff>514350</xdr:colOff>
      <xdr:row>12</xdr:row>
      <xdr:rowOff>133350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299B142-4989-1601-E5F3-64E1418FE7F5}"/>
                </a:ext>
              </a:extLst>
            </xdr:cNvPr>
            <xdr:cNvSpPr txBox="1"/>
          </xdr:nvSpPr>
          <xdr:spPr>
            <a:xfrm>
              <a:off x="25723850" y="76200"/>
              <a:ext cx="3949700" cy="238760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Step 4: Calculating Risk (Standard Deviation)</a:t>
              </a:r>
              <a:endParaRPr lang="en-IN">
                <a:effectLst/>
              </a:endParaRPr>
            </a:p>
            <a:p>
              <a:b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A. Variance</a:t>
              </a:r>
              <a:endParaRPr lang="en-IN">
                <a:effectLst/>
              </a:endParaRPr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Used the formula:</a:t>
              </a:r>
              <a:endParaRPr lang="en-IN">
                <a:effectLst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IN" sz="1100" b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Variance</m:t>
                    </m:r>
                    <m:r>
                      <a:rPr lang="en-IN" sz="11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IN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𝑉𝐴𝑅</m:t>
                    </m:r>
                    <m:r>
                      <a:rPr lang="en-IN" sz="11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.</m:t>
                    </m:r>
                    <m:r>
                      <a:rPr lang="en-IN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𝑃</m:t>
                    </m:r>
                    <m:d>
                      <m:dPr>
                        <m:ctrlPr>
                          <a:rPr lang="ar-AE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daily</m:t>
                        </m:r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returns</m:t>
                        </m:r>
                      </m:e>
                    </m:d>
                    <m:r>
                      <a:rPr lang="ar-AE" sz="11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×</m:t>
                    </m:r>
                    <m:r>
                      <a:rPr lang="ar-AE" sz="1100" b="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252</m:t>
                    </m:r>
                  </m:oMath>
                </m:oMathPara>
              </a14:m>
              <a:endParaRPr lang="en-IN">
                <a:effectLst/>
              </a:endParaRPr>
            </a:p>
            <a:p>
              <a:b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B. Standard Deviation</a:t>
              </a:r>
              <a:endParaRPr lang="en-IN">
                <a:effectLst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Variance</m:t>
                        </m:r>
                      </m:e>
                    </m:rad>
                  </m:oMath>
                </m:oMathPara>
              </a14:m>
              <a:endParaRPr lang="en-IN">
                <a:effectLst/>
              </a:endParaRPr>
            </a:p>
            <a:p>
              <a:b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This gives annualised risk (volatility) for each asset.</a:t>
              </a:r>
              <a:endParaRPr lang="en-IN">
                <a:effectLst/>
              </a:endParaRPr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As expected, </a:t>
              </a: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equities (SPY, QQQ, VT)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had higher </a:t>
              </a:r>
              <a:r>
                <a:rPr lang="el-G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σ, 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while </a:t>
              </a: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bonds (BND)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had lower </a:t>
              </a:r>
              <a:r>
                <a:rPr lang="el-G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σ.</a:t>
              </a:r>
              <a:endParaRPr lang="en-IN">
                <a:effectLst/>
              </a:endParaRP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299B142-4989-1601-E5F3-64E1418FE7F5}"/>
                </a:ext>
              </a:extLst>
            </xdr:cNvPr>
            <xdr:cNvSpPr txBox="1"/>
          </xdr:nvSpPr>
          <xdr:spPr>
            <a:xfrm>
              <a:off x="25723850" y="76200"/>
              <a:ext cx="3949700" cy="238760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Step 4: Calculating Risk (Standard Deviation)</a:t>
              </a:r>
              <a:endParaRPr lang="en-IN">
                <a:effectLst/>
              </a:endParaRPr>
            </a:p>
            <a:p>
              <a:b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A. Variance</a:t>
              </a:r>
              <a:endParaRPr lang="en-IN">
                <a:effectLst/>
              </a:endParaRPr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Used the formula:</a:t>
              </a:r>
              <a:endParaRPr lang="en-IN">
                <a:effectLst/>
              </a:endParaRP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"Variance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"=𝑉𝐴𝑅.𝑃</a:t>
              </a:r>
              <a:r>
                <a:rPr lang="ar-AE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"daily returns" )</a:t>
              </a:r>
              <a:r>
                <a:rPr lang="ar-AE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×252</a:t>
              </a:r>
              <a:endParaRPr lang="en-IN">
                <a:effectLst/>
              </a:endParaRPr>
            </a:p>
            <a:p>
              <a:b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B. Standard Deviation</a:t>
              </a:r>
              <a:endParaRPr lang="en-IN">
                <a:effectLst/>
              </a:endParaRPr>
            </a:p>
            <a:p>
              <a:r>
                <a:rPr lang="ar-A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𝜎_𝑖=√(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"Variance" </a:t>
              </a:r>
              <a:r>
                <a:rPr lang="ar-AE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IN">
                <a:effectLst/>
              </a:endParaRPr>
            </a:p>
            <a:p>
              <a:b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This gives annualised risk (volatility) for each asset.</a:t>
              </a:r>
              <a:endParaRPr lang="en-IN">
                <a:effectLst/>
              </a:endParaRPr>
            </a:p>
            <a:p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As expected, </a:t>
              </a: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equities (SPY, QQQ, VT)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had higher </a:t>
              </a:r>
              <a:r>
                <a:rPr lang="el-G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σ, 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while </a:t>
              </a: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bonds (BND)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had lower </a:t>
              </a:r>
              <a:r>
                <a:rPr lang="el-G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σ.</a:t>
              </a:r>
              <a:endParaRPr lang="en-IN">
                <a:effectLst/>
              </a:endParaRPr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42</xdr:col>
      <xdr:colOff>577850</xdr:colOff>
      <xdr:row>0</xdr:row>
      <xdr:rowOff>76200</xdr:rowOff>
    </xdr:from>
    <xdr:to>
      <xdr:col>46</xdr:col>
      <xdr:colOff>628650</xdr:colOff>
      <xdr:row>8</xdr:row>
      <xdr:rowOff>25400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A96502-B88B-114A-7F32-99144203D5D1}"/>
            </a:ext>
          </a:extLst>
        </xdr:cNvPr>
        <xdr:cNvSpPr txBox="1"/>
      </xdr:nvSpPr>
      <xdr:spPr>
        <a:xfrm>
          <a:off x="29737050" y="76200"/>
          <a:ext cx="3581400" cy="14922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Step 5: Setting Portfolio Constraints</a:t>
          </a:r>
          <a:br>
            <a:rPr lang="en-IN" b="1"/>
          </a:br>
          <a:endParaRPr lang="en-IN" b="1"/>
        </a:p>
        <a:p>
          <a:r>
            <a:rPr lang="en-IN"/>
            <a:t>To guide the optimiser, </a:t>
          </a:r>
          <a:r>
            <a:rPr lang="en-IN" b="1"/>
            <a:t>minimum and maximum weights</a:t>
          </a:r>
          <a:r>
            <a:rPr lang="en-IN"/>
            <a:t> were assigned:</a:t>
          </a:r>
          <a:br>
            <a:rPr lang="en-IN"/>
          </a:br>
          <a:endParaRPr lang="en-IN"/>
        </a:p>
        <a:p>
          <a:r>
            <a:rPr lang="en-IN" b="1"/>
            <a:t>Min weight:</a:t>
          </a:r>
          <a:r>
            <a:rPr lang="en-IN"/>
            <a:t> 10% (later relaxed to 5%)</a:t>
          </a:r>
        </a:p>
        <a:p>
          <a:r>
            <a:rPr lang="en-IN" b="1"/>
            <a:t>Max weight:</a:t>
          </a:r>
          <a:r>
            <a:rPr lang="en-IN"/>
            <a:t> 40%</a:t>
          </a:r>
        </a:p>
        <a:p>
          <a:r>
            <a:rPr lang="en-IN"/>
            <a:t>Ensures diversification and avoids extreme allocations.</a:t>
          </a:r>
        </a:p>
        <a:p>
          <a:endParaRPr lang="en-IN" sz="1100"/>
        </a:p>
      </xdr:txBody>
    </xdr:sp>
    <xdr:clientData/>
  </xdr:twoCellAnchor>
  <xdr:twoCellAnchor>
    <xdr:from>
      <xdr:col>46</xdr:col>
      <xdr:colOff>685800</xdr:colOff>
      <xdr:row>0</xdr:row>
      <xdr:rowOff>76200</xdr:rowOff>
    </xdr:from>
    <xdr:to>
      <xdr:col>51</xdr:col>
      <xdr:colOff>387350</xdr:colOff>
      <xdr:row>12</xdr:row>
      <xdr:rowOff>120650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8633663-3A51-44ED-9C67-021B63D056D1}"/>
            </a:ext>
          </a:extLst>
        </xdr:cNvPr>
        <xdr:cNvSpPr txBox="1"/>
      </xdr:nvSpPr>
      <xdr:spPr>
        <a:xfrm>
          <a:off x="33375600" y="76200"/>
          <a:ext cx="4114800" cy="23749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Step 6: Covariance Matrix Construction</a:t>
          </a:r>
          <a:br>
            <a:rPr lang="en-IN" b="1"/>
          </a:br>
          <a:endParaRPr lang="en-IN" b="1"/>
        </a:p>
        <a:p>
          <a:r>
            <a:rPr lang="en-IN"/>
            <a:t>The covariance matrix captures </a:t>
          </a:r>
          <a:r>
            <a:rPr lang="en-IN" i="1"/>
            <a:t>how assets move relative to each other</a:t>
          </a:r>
          <a:r>
            <a:rPr lang="en-IN"/>
            <a:t> — essential for total portfolio risk.</a:t>
          </a:r>
          <a:br>
            <a:rPr lang="en-IN"/>
          </a:br>
          <a:endParaRPr lang="en-IN"/>
        </a:p>
        <a:p>
          <a:r>
            <a:rPr lang="en-IN" b="1"/>
            <a:t>Process in Excel:</a:t>
          </a:r>
          <a:br>
            <a:rPr lang="en-IN" b="1"/>
          </a:br>
          <a:endParaRPr lang="en-IN" b="1"/>
        </a:p>
        <a:p>
          <a:r>
            <a:rPr lang="en-IN"/>
            <a:t>1. Go to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Data → Data Analysis → Covariance</a:t>
          </a:r>
          <a:r>
            <a:rPr lang="en-IN"/>
            <a:t>.</a:t>
          </a:r>
        </a:p>
        <a:p>
          <a:r>
            <a:rPr lang="en-IN"/>
            <a:t>2. Select the range of daily log returns (with labels).</a:t>
          </a:r>
        </a:p>
        <a:p>
          <a:r>
            <a:rPr lang="en-IN"/>
            <a:t>3. Output the covariance table.</a:t>
          </a:r>
        </a:p>
        <a:p>
          <a:r>
            <a:rPr lang="en-IN"/>
            <a:t>4. Use the </a:t>
          </a:r>
          <a:r>
            <a:rPr lang="en-IN" b="1"/>
            <a:t>TRANSPOSE</a:t>
          </a:r>
          <a:r>
            <a:rPr lang="en-IN"/>
            <a:t> function to complete the symmetric matrix.</a:t>
          </a:r>
        </a:p>
        <a:p>
          <a:r>
            <a:rPr lang="en-IN"/>
            <a:t>5. Each cell shows covariance between two assets — e.g. how SPY and GLD move together.</a:t>
          </a:r>
        </a:p>
        <a:p>
          <a:endParaRPr lang="en-IN" sz="1100"/>
        </a:p>
      </xdr:txBody>
    </xdr:sp>
    <xdr:clientData/>
  </xdr:twoCellAnchor>
  <xdr:twoCellAnchor>
    <xdr:from>
      <xdr:col>51</xdr:col>
      <xdr:colOff>508000</xdr:colOff>
      <xdr:row>0</xdr:row>
      <xdr:rowOff>76200</xdr:rowOff>
    </xdr:from>
    <xdr:to>
      <xdr:col>57</xdr:col>
      <xdr:colOff>247650</xdr:colOff>
      <xdr:row>14</xdr:row>
      <xdr:rowOff>95250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28E3DC1-4BBB-45BA-A45B-3E9A7B3416D4}"/>
                </a:ext>
              </a:extLst>
            </xdr:cNvPr>
            <xdr:cNvSpPr txBox="1"/>
          </xdr:nvSpPr>
          <xdr:spPr>
            <a:xfrm>
              <a:off x="37611050" y="76200"/>
              <a:ext cx="5035550" cy="274320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7: Portfolio Standard Deviation</a:t>
              </a:r>
            </a:p>
            <a:p>
              <a:r>
                <a:rPr lang="en-IN"/>
                <a:t>To find the portfolio’s overall risk</a:t>
              </a:r>
              <a:br>
                <a:rPr lang="en-IN"/>
              </a:br>
              <a:endParaRPr lang="en-IN"/>
            </a:p>
            <a:p>
              <a:r>
                <a:rPr lang="en-IN"/>
                <a:t>In Excel:</a:t>
              </a:r>
            </a:p>
            <a:p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MMULT()</a:t>
              </a:r>
              <a:r>
                <a:rPr lang="en-IN"/>
                <a:t> was used for matrix multiplication.</a:t>
              </a:r>
            </a:p>
            <a:p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SQRT()</a:t>
              </a:r>
              <a:r>
                <a:rPr lang="en-IN"/>
                <a:t> was used to convert variance → standard deviation.</a:t>
              </a:r>
            </a:p>
            <a:p>
              <a:r>
                <a:rPr lang="en-IN"/>
                <a:t>____________________________________________________________________</a:t>
              </a:r>
              <a:br>
                <a:rPr lang="en-IN"/>
              </a:br>
              <a:r>
                <a:rPr lang="en-IN" b="1"/>
                <a:t>Step 8: Portfolio Expected Return</a:t>
              </a:r>
            </a:p>
            <a:p>
              <a:r>
                <a:rPr lang="en-IN"/>
                <a:t>Weighted average of individual expected returns: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𝐸</m:t>
                    </m:r>
                    <m:d>
                      <m:d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𝑝</m:t>
                            </m:r>
                          </m:sub>
                        </m:sSub>
                      </m:e>
                    </m:d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en-IN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SUMPRODUCT</m:t>
                    </m:r>
                    <m:d>
                      <m:dPr>
                        <m:sepChr m:val=","/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Weights</m:t>
                        </m:r>
                      </m:e>
                      <m:e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Individual</m:t>
                        </m:r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Returns</m:t>
                        </m:r>
                      </m:e>
                    </m:d>
                  </m:oMath>
                </m:oMathPara>
              </a14:m>
              <a:endParaRPr lang="ar-AE" b="0"/>
            </a:p>
            <a:p>
              <a:r>
                <a:rPr lang="en-IN"/>
                <a:t>This represents the portfolio’s average expected annual return given current weights.</a:t>
              </a:r>
            </a:p>
            <a:p>
              <a:r>
                <a:rPr lang="en-IN"/>
                <a:t>____________________________________________________________________</a:t>
              </a:r>
              <a:br>
                <a:rPr lang="en-IN"/>
              </a:br>
              <a:r>
                <a:rPr lang="en-IN" b="1"/>
                <a:t>Step 9: Risk-Free Rate</a:t>
              </a:r>
            </a:p>
            <a:p>
              <a:r>
                <a:rPr lang="en-IN"/>
                <a:t>Chosen as the </a:t>
              </a:r>
              <a:r>
                <a:rPr lang="en-IN" b="1"/>
                <a:t>10-Year U.S. Treasury Yield (3.7%)</a:t>
              </a:r>
              <a:r>
                <a:rPr lang="en-IN"/>
                <a:t>.</a:t>
              </a:r>
            </a:p>
            <a:p>
              <a:r>
                <a:rPr lang="en-IN"/>
                <a:t>Used to calculate the </a:t>
              </a:r>
              <a:r>
                <a:rPr lang="en-IN" i="1"/>
                <a:t>excess return</a:t>
              </a:r>
              <a:r>
                <a:rPr lang="en-IN"/>
                <a:t> (return above risk-free rate).</a:t>
              </a: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28E3DC1-4BBB-45BA-A45B-3E9A7B3416D4}"/>
                </a:ext>
              </a:extLst>
            </xdr:cNvPr>
            <xdr:cNvSpPr txBox="1"/>
          </xdr:nvSpPr>
          <xdr:spPr>
            <a:xfrm>
              <a:off x="37611050" y="76200"/>
              <a:ext cx="5035550" cy="274320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7: Portfolio Standard Deviation</a:t>
              </a:r>
            </a:p>
            <a:p>
              <a:r>
                <a:rPr lang="en-IN"/>
                <a:t>To find the portfolio’s overall risk</a:t>
              </a:r>
              <a:br>
                <a:rPr lang="en-IN"/>
              </a:br>
              <a:endParaRPr lang="en-IN"/>
            </a:p>
            <a:p>
              <a:r>
                <a:rPr lang="en-IN"/>
                <a:t>In Excel:</a:t>
              </a:r>
            </a:p>
            <a:p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MMULT()</a:t>
              </a:r>
              <a:r>
                <a:rPr lang="en-IN"/>
                <a:t> was used for matrix multiplication.</a:t>
              </a:r>
            </a:p>
            <a:p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SQRT()</a:t>
              </a:r>
              <a:r>
                <a:rPr lang="en-IN"/>
                <a:t> was used to convert variance → standard deviation.</a:t>
              </a:r>
            </a:p>
            <a:p>
              <a:r>
                <a:rPr lang="en-IN"/>
                <a:t>____________________________________________________________________</a:t>
              </a:r>
              <a:br>
                <a:rPr lang="en-IN"/>
              </a:br>
              <a:r>
                <a:rPr lang="en-IN" b="1"/>
                <a:t>Step 8: Portfolio Expected Return</a:t>
              </a:r>
            </a:p>
            <a:p>
              <a:r>
                <a:rPr lang="en-IN"/>
                <a:t>Weighted average of individual expected returns:</a:t>
              </a:r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𝐸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(𝑅_𝑝 )=</a:t>
              </a:r>
              <a:r>
                <a:rPr lang="en-IN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"SUMPRODUCT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(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"Weights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ⓜ,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"Individual Returns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)</a:t>
              </a:r>
              <a:endParaRPr lang="ar-AE" b="0"/>
            </a:p>
            <a:p>
              <a:r>
                <a:rPr lang="en-IN"/>
                <a:t>This represents the portfolio’s average expected annual return given current weights.</a:t>
              </a:r>
            </a:p>
            <a:p>
              <a:r>
                <a:rPr lang="en-IN"/>
                <a:t>____________________________________________________________________</a:t>
              </a:r>
              <a:br>
                <a:rPr lang="en-IN"/>
              </a:br>
              <a:r>
                <a:rPr lang="en-IN" b="1"/>
                <a:t>Step 9: Risk-Free Rate</a:t>
              </a:r>
            </a:p>
            <a:p>
              <a:r>
                <a:rPr lang="en-IN"/>
                <a:t>Chosen as the </a:t>
              </a:r>
              <a:r>
                <a:rPr lang="en-IN" b="1"/>
                <a:t>10-Year U.S. Treasury Yield (3.7%)</a:t>
              </a:r>
              <a:r>
                <a:rPr lang="en-IN"/>
                <a:t>.</a:t>
              </a:r>
            </a:p>
            <a:p>
              <a:r>
                <a:rPr lang="en-IN"/>
                <a:t>Used to calculate the </a:t>
              </a:r>
              <a:r>
                <a:rPr lang="en-IN" i="1"/>
                <a:t>excess return</a:t>
              </a:r>
              <a:r>
                <a:rPr lang="en-IN"/>
                <a:t> (return above risk-free rate).</a:t>
              </a:r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57</xdr:col>
      <xdr:colOff>311150</xdr:colOff>
      <xdr:row>0</xdr:row>
      <xdr:rowOff>76200</xdr:rowOff>
    </xdr:from>
    <xdr:to>
      <xdr:col>60</xdr:col>
      <xdr:colOff>825500</xdr:colOff>
      <xdr:row>15</xdr:row>
      <xdr:rowOff>101600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76CCD58-5CE8-4338-B246-B959CEA8CB84}"/>
                </a:ext>
              </a:extLst>
            </xdr:cNvPr>
            <xdr:cNvSpPr txBox="1"/>
          </xdr:nvSpPr>
          <xdr:spPr>
            <a:xfrm>
              <a:off x="42710100" y="76200"/>
              <a:ext cx="3162300" cy="294640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10: Optimisation using Excel Solver</a:t>
              </a:r>
            </a:p>
            <a:p>
              <a:r>
                <a:rPr lang="en-IN" b="1"/>
                <a:t>Goal:</a:t>
              </a:r>
              <a:r>
                <a:rPr lang="en-IN"/>
                <a:t> Maximise the Sharpe Ratio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IN" b="0"/>
                      <m:t>Maximise</m:t>
                    </m:r>
                    <m:r>
                      <m:rPr>
                        <m:nor/>
                      </m:rPr>
                      <a:rPr lang="en-IN" b="0" i="1"/>
                      <m:t> </m:t>
                    </m:r>
                    <m:f>
                      <m:f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b="0" i="1"/>
                          <m:t>𝐸</m:t>
                        </m:r>
                        <m:d>
                          <m:d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b="0" i="1"/>
                                  <m:t>𝑅</m:t>
                                </m:r>
                              </m:e>
                              <m:sub>
                                <m:r>
                                  <a:rPr lang="ar-AE" b="0" i="1"/>
                                  <m:t>𝑝</m:t>
                                </m:r>
                              </m:sub>
                            </m:sSub>
                          </m:e>
                        </m:d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𝑝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ar-AE" b="0"/>
            </a:p>
            <a:p>
              <a:r>
                <a:rPr lang="en-IN" b="1"/>
                <a:t>Solver Setup</a:t>
              </a:r>
              <a:br>
                <a:rPr lang="en-IN" b="1"/>
              </a:br>
              <a:endParaRPr lang="en-IN"/>
            </a:p>
            <a:p>
              <a:r>
                <a:rPr lang="en-IN" b="1"/>
                <a:t>Objective cell:</a:t>
              </a:r>
              <a:r>
                <a:rPr lang="en-IN"/>
                <a:t> Sharpe Ratio</a:t>
              </a:r>
            </a:p>
            <a:p>
              <a:r>
                <a:rPr lang="en-IN" b="1"/>
                <a:t>To Maximise</a:t>
              </a:r>
              <a:endParaRPr lang="en-IN"/>
            </a:p>
            <a:p>
              <a:r>
                <a:rPr lang="en-IN" b="1"/>
                <a:t>Changing variables:</a:t>
              </a:r>
              <a:r>
                <a:rPr lang="en-IN"/>
                <a:t> Portfolio weights</a:t>
              </a:r>
            </a:p>
            <a:p>
              <a:r>
                <a:rPr lang="en-IN" b="1"/>
                <a:t>Constraints:</a:t>
              </a:r>
              <a:endParaRPr lang="en-IN"/>
            </a:p>
            <a:p>
              <a:pPr lvl="1"/>
              <a:r>
                <a:rPr lang="en-IN"/>
                <a:t>Sum of weights = 1</a:t>
              </a:r>
            </a:p>
            <a:p>
              <a:pPr lvl="1"/>
              <a:r>
                <a:rPr lang="en-IN"/>
                <a:t>Each weight ≥ minimum weight</a:t>
              </a:r>
            </a:p>
            <a:p>
              <a:pPr lvl="1"/>
              <a:r>
                <a:rPr lang="en-IN"/>
                <a:t>Each weight ≤ maximum weight</a:t>
              </a:r>
              <a:br>
                <a:rPr lang="en-IN"/>
              </a:br>
              <a:endParaRPr lang="en-IN"/>
            </a:p>
            <a:p>
              <a:r>
                <a:rPr lang="en-IN"/>
                <a:t>Solver finds the combination of weights that yields the </a:t>
              </a:r>
              <a:r>
                <a:rPr lang="en-IN" i="1"/>
                <a:t>highest possible</a:t>
              </a:r>
              <a:r>
                <a:rPr lang="en-IN"/>
                <a:t> Sharpe ratio.</a:t>
              </a: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76CCD58-5CE8-4338-B246-B959CEA8CB84}"/>
                </a:ext>
              </a:extLst>
            </xdr:cNvPr>
            <xdr:cNvSpPr txBox="1"/>
          </xdr:nvSpPr>
          <xdr:spPr>
            <a:xfrm>
              <a:off x="42710100" y="76200"/>
              <a:ext cx="3162300" cy="294640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10: Optimisation using Excel Solver</a:t>
              </a:r>
            </a:p>
            <a:p>
              <a:r>
                <a:rPr lang="en-IN" b="1"/>
                <a:t>Goal:</a:t>
              </a:r>
              <a:r>
                <a:rPr lang="en-IN"/>
                <a:t> Maximise the Sharpe Ratio</a:t>
              </a:r>
            </a:p>
            <a:p>
              <a:r>
                <a:rPr lang="en-IN" b="0" i="0">
                  <a:latin typeface="Cambria Math" panose="02040503050406030204" pitchFamily="18" charset="0"/>
                </a:rPr>
                <a:t>"Maximise 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</a:t>
              </a:r>
              <a:r>
                <a:rPr lang="ar-AE" b="0" i="0"/>
                <a:t> 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</a:t>
              </a:r>
              <a:r>
                <a:rPr lang="ar-AE" b="0" i="0"/>
                <a:t>𝐸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</a:t>
              </a:r>
              <a:r>
                <a:rPr lang="ar-AE" b="0" i="0"/>
                <a:t>𝑅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_</a:t>
              </a:r>
              <a:r>
                <a:rPr lang="ar-AE" b="0" i="0"/>
                <a:t>𝑝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)−𝑅_𝑓)/𝜎_𝑝 </a:t>
              </a:r>
              <a:endParaRPr lang="ar-AE" b="0"/>
            </a:p>
            <a:p>
              <a:r>
                <a:rPr lang="en-IN" b="1"/>
                <a:t>Solver Setup</a:t>
              </a:r>
              <a:br>
                <a:rPr lang="en-IN" b="1"/>
              </a:br>
              <a:endParaRPr lang="en-IN"/>
            </a:p>
            <a:p>
              <a:r>
                <a:rPr lang="en-IN" b="1"/>
                <a:t>Objective cell:</a:t>
              </a:r>
              <a:r>
                <a:rPr lang="en-IN"/>
                <a:t> Sharpe Ratio</a:t>
              </a:r>
            </a:p>
            <a:p>
              <a:r>
                <a:rPr lang="en-IN" b="1"/>
                <a:t>To Maximise</a:t>
              </a:r>
              <a:endParaRPr lang="en-IN"/>
            </a:p>
            <a:p>
              <a:r>
                <a:rPr lang="en-IN" b="1"/>
                <a:t>Changing variables:</a:t>
              </a:r>
              <a:r>
                <a:rPr lang="en-IN"/>
                <a:t> Portfolio weights</a:t>
              </a:r>
            </a:p>
            <a:p>
              <a:r>
                <a:rPr lang="en-IN" b="1"/>
                <a:t>Constraints:</a:t>
              </a:r>
              <a:endParaRPr lang="en-IN"/>
            </a:p>
            <a:p>
              <a:pPr lvl="1"/>
              <a:r>
                <a:rPr lang="en-IN"/>
                <a:t>Sum of weights = 1</a:t>
              </a:r>
            </a:p>
            <a:p>
              <a:pPr lvl="1"/>
              <a:r>
                <a:rPr lang="en-IN"/>
                <a:t>Each weight ≥ minimum weight</a:t>
              </a:r>
            </a:p>
            <a:p>
              <a:pPr lvl="1"/>
              <a:r>
                <a:rPr lang="en-IN"/>
                <a:t>Each weight ≤ maximum weight</a:t>
              </a:r>
              <a:br>
                <a:rPr lang="en-IN"/>
              </a:br>
              <a:endParaRPr lang="en-IN"/>
            </a:p>
            <a:p>
              <a:r>
                <a:rPr lang="en-IN"/>
                <a:t>Solver finds the combination of weights that yields the </a:t>
              </a:r>
              <a:r>
                <a:rPr lang="en-IN" i="1"/>
                <a:t>highest possible</a:t>
              </a:r>
              <a:r>
                <a:rPr lang="en-IN"/>
                <a:t> Sharpe ratio.</a:t>
              </a:r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61</xdr:col>
      <xdr:colOff>6350</xdr:colOff>
      <xdr:row>0</xdr:row>
      <xdr:rowOff>82550</xdr:rowOff>
    </xdr:from>
    <xdr:to>
      <xdr:col>67</xdr:col>
      <xdr:colOff>800100</xdr:colOff>
      <xdr:row>16</xdr:row>
      <xdr:rowOff>69850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02429A0-129E-4663-BCB1-E480BC97058C}"/>
            </a:ext>
          </a:extLst>
        </xdr:cNvPr>
        <xdr:cNvSpPr txBox="1"/>
      </xdr:nvSpPr>
      <xdr:spPr>
        <a:xfrm>
          <a:off x="45935900" y="82550"/>
          <a:ext cx="6089650" cy="31051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Step 11: Results</a:t>
          </a:r>
          <a:br>
            <a:rPr lang="en-IN" b="1"/>
          </a:br>
          <a:endParaRPr lang="en-IN" b="1"/>
        </a:p>
        <a:p>
          <a:r>
            <a:rPr lang="en-IN" b="1"/>
            <a:t>Case 1:</a:t>
          </a:r>
          <a:endParaRPr lang="en-IN"/>
        </a:p>
        <a:p>
          <a:pPr lvl="1"/>
          <a:r>
            <a:rPr lang="en-IN"/>
            <a:t>Minimum weight: 10%</a:t>
          </a:r>
        </a:p>
        <a:p>
          <a:pPr lvl="1"/>
          <a:r>
            <a:rPr lang="en-IN"/>
            <a:t>Maximum weight: 40%</a:t>
          </a:r>
        </a:p>
        <a:p>
          <a:pPr lvl="1"/>
          <a:r>
            <a:rPr lang="en-IN"/>
            <a:t>Maximum Sharpe Ratio: </a:t>
          </a:r>
          <a:r>
            <a:rPr lang="en-IN" b="1"/>
            <a:t>34.8%</a:t>
          </a:r>
          <a:endParaRPr lang="en-IN"/>
        </a:p>
        <a:p>
          <a:pPr lvl="1"/>
          <a:r>
            <a:rPr lang="en-IN"/>
            <a:t>Allocation trend: Heavy allocation to </a:t>
          </a:r>
          <a:r>
            <a:rPr lang="en-IN" b="1"/>
            <a:t>NASDAQ (QQQ)</a:t>
          </a:r>
          <a:r>
            <a:rPr lang="en-IN"/>
            <a:t>, with minimal exposure to </a:t>
          </a:r>
          <a:r>
            <a:rPr lang="en-IN" b="1"/>
            <a:t>bonds</a:t>
          </a:r>
          <a:r>
            <a:rPr lang="en-IN"/>
            <a:t> and </a:t>
          </a:r>
          <a:r>
            <a:rPr lang="en-IN" b="1"/>
            <a:t>world stocks</a:t>
          </a:r>
          <a:endParaRPr lang="en-IN"/>
        </a:p>
        <a:p>
          <a:r>
            <a:rPr lang="en-IN" b="1"/>
            <a:t>Case 2:</a:t>
          </a:r>
          <a:endParaRPr lang="en-IN"/>
        </a:p>
        <a:p>
          <a:pPr lvl="1"/>
          <a:r>
            <a:rPr lang="en-IN"/>
            <a:t>Minimum weight: 5%</a:t>
          </a:r>
        </a:p>
        <a:p>
          <a:pPr lvl="1"/>
          <a:r>
            <a:rPr lang="en-IN"/>
            <a:t>Maximum weight: 40%</a:t>
          </a:r>
        </a:p>
        <a:p>
          <a:pPr lvl="1"/>
          <a:r>
            <a:rPr lang="en-IN"/>
            <a:t>Maximum Sharpe Ratio: </a:t>
          </a:r>
          <a:r>
            <a:rPr lang="en-IN" b="1"/>
            <a:t>greater than 34.8%</a:t>
          </a:r>
          <a:endParaRPr lang="en-IN"/>
        </a:p>
        <a:p>
          <a:pPr lvl="1"/>
          <a:r>
            <a:rPr lang="en-IN"/>
            <a:t>Allocation trend: Increased </a:t>
          </a:r>
          <a:r>
            <a:rPr lang="en-IN" b="1"/>
            <a:t>gold allocation</a:t>
          </a:r>
          <a:r>
            <a:rPr lang="en-IN"/>
            <a:t>, leading to an improved Sharpe Ratio</a:t>
          </a:r>
        </a:p>
        <a:p>
          <a:br>
            <a:rPr lang="en-IN" b="1"/>
          </a:br>
          <a:r>
            <a:rPr lang="en-IN" b="1"/>
            <a:t>Key Insight:</a:t>
          </a:r>
          <a:br>
            <a:rPr lang="en-IN"/>
          </a:br>
          <a:r>
            <a:rPr lang="en-IN"/>
            <a:t>Relaxing the allocation constraints allowed the portfolio to achieve a </a:t>
          </a:r>
          <a:r>
            <a:rPr lang="en-IN" b="1"/>
            <a:t>higher Sharpe Ratio</a:t>
          </a:r>
          <a:r>
            <a:rPr lang="en-IN"/>
            <a:t>, illustrating the </a:t>
          </a:r>
          <a:r>
            <a:rPr lang="en-IN" b="1"/>
            <a:t>trade-off between diversification limits and portfolio efficiency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  <xdr:twoCellAnchor>
    <xdr:from>
      <xdr:col>68</xdr:col>
      <xdr:colOff>12700</xdr:colOff>
      <xdr:row>0</xdr:row>
      <xdr:rowOff>88900</xdr:rowOff>
    </xdr:from>
    <xdr:to>
      <xdr:col>74</xdr:col>
      <xdr:colOff>622300</xdr:colOff>
      <xdr:row>13</xdr:row>
      <xdr:rowOff>146050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9E589EB-C7D9-4D9B-B945-26D8752A9133}"/>
            </a:ext>
          </a:extLst>
        </xdr:cNvPr>
        <xdr:cNvSpPr txBox="1"/>
      </xdr:nvSpPr>
      <xdr:spPr>
        <a:xfrm>
          <a:off x="52120800" y="88900"/>
          <a:ext cx="5905500" cy="25844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Step 12: Interpretation</a:t>
          </a:r>
          <a:br>
            <a:rPr lang="en-IN" b="1"/>
          </a:br>
          <a:endParaRPr lang="en-IN" b="1"/>
        </a:p>
        <a:p>
          <a:r>
            <a:rPr lang="en-IN" b="1"/>
            <a:t>Key Insights</a:t>
          </a:r>
        </a:p>
        <a:p>
          <a:r>
            <a:rPr lang="en-IN" b="1"/>
            <a:t>-&gt;</a:t>
          </a:r>
          <a:r>
            <a:rPr lang="en-IN" b="1" baseline="0"/>
            <a:t> </a:t>
          </a:r>
          <a:r>
            <a:rPr lang="en-IN" b="1"/>
            <a:t>Diversification:</a:t>
          </a:r>
          <a:r>
            <a:rPr lang="en-IN"/>
            <a:t> Reduces portfolio risk due to less than perfect correlations.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b="1"/>
            <a:t>Risk–Return Trade-off:</a:t>
          </a:r>
          <a:r>
            <a:rPr lang="en-IN"/>
            <a:t> Higher-return assets (e.g., NASDAQ) also bring higher risk.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b="1"/>
            <a:t>Sharpe Ratio Optimisation:</a:t>
          </a:r>
          <a:r>
            <a:rPr lang="en-IN"/>
            <a:t> Balances expected return and volatility to find </a:t>
          </a:r>
          <a:r>
            <a:rPr lang="en-IN" i="1"/>
            <a:t>risk-efficient</a:t>
          </a:r>
          <a:r>
            <a:rPr lang="en-IN"/>
            <a:t> portfolios.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b="1"/>
            <a:t>Constraints Matter:</a:t>
          </a:r>
          <a:r>
            <a:rPr lang="en-IN"/>
            <a:t> Stricter constraints reduce optimisation potential.</a:t>
          </a:r>
        </a:p>
        <a:p>
          <a:br>
            <a:rPr lang="en-IN" sz="1100"/>
          </a:br>
          <a:r>
            <a:rPr lang="en-IN" b="1"/>
            <a:t>Concepts Reinforced</a:t>
          </a:r>
        </a:p>
        <a:p>
          <a:r>
            <a:rPr lang="en-IN" b="1"/>
            <a:t>-&gt; </a:t>
          </a:r>
          <a:r>
            <a:rPr lang="en-IN"/>
            <a:t>Portfolio Theory &amp; Modern Portfolio Optimisation (Markowitz Framework)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/>
            <a:t>Sharpe Ratio as a measure of risk-adjusted performance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/>
            <a:t>Covariance &amp; Correlation in portfolio construction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/>
            <a:t>Matrix operations for variance-covariance analysis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/>
            <a:t>Excel Solver for constrained optimisation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A8EF-44FD-4820-A45E-F5CE11ED5A6C}">
  <dimension ref="D1:AK4032"/>
  <sheetViews>
    <sheetView tabSelected="1" workbookViewId="0">
      <selection activeCell="B14" sqref="B14"/>
    </sheetView>
  </sheetViews>
  <sheetFormatPr defaultColWidth="12.6328125" defaultRowHeight="13" x14ac:dyDescent="0.3"/>
  <cols>
    <col min="1" max="2" width="12.6328125" style="24"/>
    <col min="3" max="3" width="11.36328125" style="24" customWidth="1"/>
    <col min="4" max="4" width="14.36328125" style="24" customWidth="1"/>
    <col min="5" max="12" width="7.36328125" style="24" customWidth="1"/>
    <col min="13" max="15" width="8.6328125" style="24" customWidth="1"/>
    <col min="16" max="20" width="7.36328125" style="24" customWidth="1"/>
    <col min="21" max="24" width="12" style="24" customWidth="1"/>
    <col min="25" max="25" width="22.6328125" style="24" customWidth="1"/>
    <col min="26" max="27" width="11.90625" style="24" customWidth="1"/>
    <col min="28" max="28" width="13.6328125" style="24" customWidth="1"/>
    <col min="29" max="29" width="11.08984375" style="24" customWidth="1"/>
    <col min="30" max="30" width="10.90625" style="24" customWidth="1"/>
    <col min="31" max="37" width="7.36328125" style="24" customWidth="1"/>
    <col min="38" max="16384" width="12.6328125" style="24"/>
  </cols>
  <sheetData>
    <row r="1" spans="4:37" x14ac:dyDescent="0.3">
      <c r="D1" s="16" t="s">
        <v>0</v>
      </c>
      <c r="E1" s="17"/>
      <c r="F1" s="17"/>
      <c r="G1" s="17"/>
      <c r="H1" s="17"/>
      <c r="I1" s="18"/>
      <c r="J1" s="19"/>
      <c r="K1" s="19"/>
      <c r="L1" s="19"/>
      <c r="M1" s="19"/>
      <c r="N1" s="19"/>
      <c r="P1" s="1" t="s">
        <v>1</v>
      </c>
      <c r="Q1" s="17"/>
      <c r="R1" s="17"/>
      <c r="S1" s="17"/>
      <c r="T1" s="18"/>
      <c r="U1" s="32"/>
      <c r="V1" s="32"/>
      <c r="W1" s="32"/>
      <c r="X1" s="32"/>
    </row>
    <row r="2" spans="4:37" ht="15.75" customHeight="1" x14ac:dyDescent="0.3">
      <c r="D2" s="20" t="s">
        <v>2</v>
      </c>
      <c r="E2" s="20" t="s">
        <v>3</v>
      </c>
      <c r="F2" s="25" t="s">
        <v>4</v>
      </c>
      <c r="G2" s="25" t="s">
        <v>5</v>
      </c>
      <c r="H2" s="25" t="s">
        <v>6</v>
      </c>
      <c r="I2" s="25" t="s">
        <v>7</v>
      </c>
      <c r="J2" s="26"/>
      <c r="K2" s="26"/>
      <c r="L2" s="26"/>
      <c r="M2" s="26"/>
      <c r="N2" s="26"/>
      <c r="O2" s="2"/>
      <c r="P2" s="21" t="s">
        <v>3</v>
      </c>
      <c r="Q2" s="25" t="s">
        <v>4</v>
      </c>
      <c r="R2" s="25" t="s">
        <v>5</v>
      </c>
      <c r="S2" s="25" t="s">
        <v>6</v>
      </c>
      <c r="T2" s="25" t="s">
        <v>7</v>
      </c>
      <c r="U2" s="33"/>
      <c r="V2" s="33"/>
      <c r="W2" s="33"/>
      <c r="X2" s="33"/>
      <c r="Y2" s="3" t="s">
        <v>8</v>
      </c>
      <c r="Z2" s="22" t="s">
        <v>3</v>
      </c>
      <c r="AA2" s="27" t="s">
        <v>4</v>
      </c>
      <c r="AB2" s="27" t="s">
        <v>5</v>
      </c>
      <c r="AC2" s="27" t="s">
        <v>6</v>
      </c>
      <c r="AD2" s="27" t="s">
        <v>7</v>
      </c>
      <c r="AE2" s="2"/>
      <c r="AF2" s="2"/>
      <c r="AG2" s="2"/>
      <c r="AH2" s="2"/>
      <c r="AI2" s="2"/>
      <c r="AJ2" s="2"/>
      <c r="AK2" s="2"/>
    </row>
    <row r="3" spans="4:37" ht="15.75" customHeight="1" x14ac:dyDescent="0.3">
      <c r="D3" s="23">
        <v>39587</v>
      </c>
      <c r="E3" s="5">
        <v>105.157234</v>
      </c>
      <c r="F3" s="28">
        <v>48.138719999999999</v>
      </c>
      <c r="G3" s="28">
        <v>89.39</v>
      </c>
      <c r="H3" s="28">
        <v>43.205820000000003</v>
      </c>
      <c r="I3" s="28">
        <v>52.707389999999997</v>
      </c>
      <c r="J3" s="29"/>
      <c r="K3" s="29"/>
      <c r="L3" s="29"/>
      <c r="M3" s="29"/>
      <c r="N3" s="29"/>
      <c r="P3" s="4"/>
      <c r="Q3" s="5"/>
      <c r="R3" s="5"/>
      <c r="S3" s="5"/>
      <c r="T3" s="5"/>
      <c r="U3" s="34"/>
      <c r="V3" s="34"/>
      <c r="W3" s="34"/>
      <c r="X3" s="34"/>
      <c r="Y3" s="6" t="s">
        <v>9</v>
      </c>
      <c r="Z3" s="7">
        <f>EXP(AVERAGE(P4:P4030)*252)-1</f>
        <v>0.10644183423799825</v>
      </c>
      <c r="AA3" s="7">
        <f>EXP(AVERAGE(Q4:Q4030)*252)-1</f>
        <v>2.5342898514769008E-2</v>
      </c>
      <c r="AB3" s="7">
        <f t="shared" ref="AB3:AD3" si="0">EXP(AVERAGE(R4:R4030)*252)-1</f>
        <v>5.9069887573703239E-2</v>
      </c>
      <c r="AC3" s="7">
        <f t="shared" si="0"/>
        <v>0.15821570401874796</v>
      </c>
      <c r="AD3" s="7">
        <f t="shared" si="0"/>
        <v>0.10563557990781658</v>
      </c>
    </row>
    <row r="4" spans="4:37" ht="15.75" customHeight="1" x14ac:dyDescent="0.3">
      <c r="D4" s="23">
        <v>39588</v>
      </c>
      <c r="E4" s="5">
        <v>104.304512</v>
      </c>
      <c r="F4" s="28">
        <v>48.120089999999998</v>
      </c>
      <c r="G4" s="28">
        <v>90.9</v>
      </c>
      <c r="H4" s="28">
        <v>42.875160000000001</v>
      </c>
      <c r="I4" s="28">
        <v>52.274149999999999</v>
      </c>
      <c r="J4" s="29"/>
      <c r="K4" s="29"/>
      <c r="L4" s="29"/>
      <c r="M4" s="29"/>
      <c r="N4" s="29"/>
      <c r="P4" s="4">
        <f>LN(E4/E3)</f>
        <v>-8.1420758405668699E-3</v>
      </c>
      <c r="Q4" s="4">
        <f>LN(F4/F3)</f>
        <v>-3.8708145742956905E-4</v>
      </c>
      <c r="R4" s="4">
        <f>LN(G4/G3)</f>
        <v>1.6751182083672073E-2</v>
      </c>
      <c r="S4" s="4">
        <f>LN(H4/H3)</f>
        <v>-7.6825711404966994E-3</v>
      </c>
      <c r="T4" s="4">
        <f>LN(I4/I3)</f>
        <v>-8.253688400418251E-3</v>
      </c>
      <c r="U4" s="35"/>
      <c r="V4" s="35"/>
      <c r="W4" s="35"/>
      <c r="X4" s="35"/>
      <c r="Y4" s="6" t="s">
        <v>10</v>
      </c>
      <c r="Z4" s="8">
        <f>SQRT(VARP(P4:P4030)*252)</f>
        <v>0.20200723387328948</v>
      </c>
      <c r="AA4" s="8">
        <f t="shared" ref="AA4:AC4" si="1">SQRT(VARP(Q4:Q4030)*252)</f>
        <v>5.2945768543799197E-2</v>
      </c>
      <c r="AB4" s="8">
        <f t="shared" si="1"/>
        <v>0.17209490048389553</v>
      </c>
      <c r="AC4" s="8">
        <f t="shared" si="1"/>
        <v>0.22448967760730881</v>
      </c>
      <c r="AD4" s="8">
        <f>SQRT(VARP(T4:T4030)*252)</f>
        <v>0.20416587974517178</v>
      </c>
    </row>
    <row r="5" spans="4:37" ht="15.75" customHeight="1" x14ac:dyDescent="0.3">
      <c r="D5" s="23">
        <v>39589</v>
      </c>
      <c r="E5" s="5">
        <v>102.54027600000001</v>
      </c>
      <c r="F5" s="28">
        <v>48.107619999999997</v>
      </c>
      <c r="G5" s="28">
        <v>91.96</v>
      </c>
      <c r="H5" s="28">
        <v>41.926630000000003</v>
      </c>
      <c r="I5" s="28">
        <v>51.396560000000001</v>
      </c>
      <c r="J5" s="29"/>
      <c r="K5" s="29"/>
      <c r="L5" s="29"/>
      <c r="M5" s="29"/>
      <c r="N5" s="29"/>
      <c r="P5" s="4">
        <f t="shared" ref="P5:T20" si="2">LN(E5/E4)</f>
        <v>-1.7058962914002551E-2</v>
      </c>
      <c r="Q5" s="4">
        <f t="shared" si="2"/>
        <v>-2.5917690589965587E-4</v>
      </c>
      <c r="R5" s="4">
        <f t="shared" si="2"/>
        <v>1.1593698711547489E-2</v>
      </c>
      <c r="S5" s="4">
        <f t="shared" si="2"/>
        <v>-2.2371451353553968E-2</v>
      </c>
      <c r="T5" s="4">
        <f t="shared" si="2"/>
        <v>-1.6930740868466528E-2</v>
      </c>
      <c r="U5" s="35"/>
      <c r="V5" s="35"/>
      <c r="W5" s="35"/>
      <c r="X5" s="35"/>
      <c r="Y5" s="6" t="s">
        <v>11</v>
      </c>
      <c r="Z5" s="8">
        <v>0.1</v>
      </c>
      <c r="AA5" s="8">
        <v>0.1</v>
      </c>
      <c r="AB5" s="8">
        <v>0.1</v>
      </c>
      <c r="AC5" s="8">
        <v>0.1</v>
      </c>
      <c r="AD5" s="8">
        <v>0.1</v>
      </c>
    </row>
    <row r="6" spans="4:37" ht="15.75" customHeight="1" x14ac:dyDescent="0.3">
      <c r="D6" s="23">
        <v>39590</v>
      </c>
      <c r="E6" s="5">
        <v>102.55497</v>
      </c>
      <c r="F6" s="28">
        <v>47.914940000000001</v>
      </c>
      <c r="G6" s="28">
        <v>90.98</v>
      </c>
      <c r="H6" s="28">
        <v>42.074550000000002</v>
      </c>
      <c r="I6" s="28">
        <v>51.570599999999999</v>
      </c>
      <c r="J6" s="29"/>
      <c r="K6" s="29"/>
      <c r="L6" s="29"/>
      <c r="M6" s="29"/>
      <c r="N6" s="29"/>
      <c r="P6" s="4">
        <f t="shared" si="2"/>
        <v>1.4328952339663273E-4</v>
      </c>
      <c r="Q6" s="4">
        <f t="shared" si="2"/>
        <v>-4.0132289455458011E-3</v>
      </c>
      <c r="R6" s="4">
        <f t="shared" si="2"/>
        <v>-1.0713997753122699E-2</v>
      </c>
      <c r="S6" s="4">
        <f t="shared" si="2"/>
        <v>3.5218589284974535E-3</v>
      </c>
      <c r="T6" s="4">
        <f t="shared" si="2"/>
        <v>3.3804985150747363E-3</v>
      </c>
      <c r="U6" s="35"/>
      <c r="V6" s="35"/>
      <c r="W6" s="35"/>
      <c r="X6" s="35"/>
      <c r="Y6" s="6" t="s">
        <v>12</v>
      </c>
      <c r="Z6" s="8">
        <v>0.4</v>
      </c>
      <c r="AA6" s="8">
        <v>0.4</v>
      </c>
      <c r="AB6" s="8">
        <v>0.4</v>
      </c>
      <c r="AC6" s="8">
        <v>0.4</v>
      </c>
      <c r="AD6" s="8">
        <v>0.4</v>
      </c>
    </row>
    <row r="7" spans="4:37" ht="15.75" customHeight="1" x14ac:dyDescent="0.3">
      <c r="D7" s="23">
        <v>39591</v>
      </c>
      <c r="E7" s="5">
        <v>101.18029</v>
      </c>
      <c r="F7" s="28">
        <v>48.120089999999998</v>
      </c>
      <c r="G7" s="28">
        <v>91.23</v>
      </c>
      <c r="H7" s="28">
        <v>41.944029999999998</v>
      </c>
      <c r="I7" s="28">
        <v>50.826320000000003</v>
      </c>
      <c r="J7" s="29"/>
      <c r="K7" s="29"/>
      <c r="L7" s="29"/>
      <c r="M7" s="29"/>
      <c r="N7" s="29"/>
      <c r="P7" s="4">
        <f t="shared" si="2"/>
        <v>-1.3494972469093139E-2</v>
      </c>
      <c r="Q7" s="4">
        <f t="shared" si="2"/>
        <v>4.272405851445441E-3</v>
      </c>
      <c r="R7" s="4">
        <f t="shared" si="2"/>
        <v>2.7440882155249429E-3</v>
      </c>
      <c r="S7" s="4">
        <f t="shared" si="2"/>
        <v>-3.1069343231675001E-3</v>
      </c>
      <c r="T7" s="4">
        <f t="shared" si="2"/>
        <v>-1.4537412018615385E-2</v>
      </c>
      <c r="U7" s="35"/>
      <c r="V7" s="35"/>
      <c r="W7" s="35"/>
      <c r="X7" s="35"/>
      <c r="Y7" s="6" t="s">
        <v>13</v>
      </c>
      <c r="Z7" s="8">
        <v>0.29999999999999993</v>
      </c>
      <c r="AA7" s="8">
        <v>0.1</v>
      </c>
      <c r="AB7" s="8">
        <v>0.1</v>
      </c>
      <c r="AC7" s="8">
        <v>0.4</v>
      </c>
      <c r="AD7" s="8">
        <v>9.9999999999999992E-2</v>
      </c>
    </row>
    <row r="8" spans="4:37" ht="15.75" customHeight="1" x14ac:dyDescent="0.3">
      <c r="D8" s="23">
        <v>39595</v>
      </c>
      <c r="E8" s="5">
        <v>101.930138</v>
      </c>
      <c r="F8" s="28">
        <v>47.852780000000003</v>
      </c>
      <c r="G8" s="28">
        <v>89.36</v>
      </c>
      <c r="H8" s="28">
        <v>42.683720000000001</v>
      </c>
      <c r="I8" s="28">
        <v>51.270650000000003</v>
      </c>
      <c r="J8" s="29"/>
      <c r="K8" s="29"/>
      <c r="L8" s="29"/>
      <c r="M8" s="29"/>
      <c r="N8" s="29"/>
      <c r="P8" s="4">
        <f t="shared" si="2"/>
        <v>7.3836820109388513E-3</v>
      </c>
      <c r="Q8" s="4">
        <f t="shared" si="2"/>
        <v>-5.5705469939761497E-3</v>
      </c>
      <c r="R8" s="4">
        <f t="shared" si="2"/>
        <v>-2.0710635596437724E-2</v>
      </c>
      <c r="S8" s="4">
        <f t="shared" si="2"/>
        <v>1.7481472388393073E-2</v>
      </c>
      <c r="T8" s="4">
        <f t="shared" si="2"/>
        <v>8.7041330466789395E-3</v>
      </c>
      <c r="U8" s="35"/>
      <c r="V8" s="35"/>
      <c r="W8" s="35"/>
      <c r="X8" s="35"/>
    </row>
    <row r="9" spans="4:37" ht="15.75" customHeight="1" x14ac:dyDescent="0.3">
      <c r="D9" s="23">
        <v>39596</v>
      </c>
      <c r="E9" s="5">
        <v>102.400604</v>
      </c>
      <c r="F9" s="28">
        <v>47.604129999999998</v>
      </c>
      <c r="G9" s="28">
        <v>89.14</v>
      </c>
      <c r="H9" s="28">
        <v>42.857750000000003</v>
      </c>
      <c r="I9" s="28">
        <v>51.578000000000003</v>
      </c>
      <c r="J9" s="29"/>
      <c r="K9" s="29"/>
      <c r="L9" s="29"/>
      <c r="M9" s="29"/>
      <c r="N9" s="29"/>
      <c r="P9" s="4">
        <f t="shared" si="2"/>
        <v>4.6049539758036221E-3</v>
      </c>
      <c r="Q9" s="4">
        <f t="shared" si="2"/>
        <v>-5.2096922555251108E-3</v>
      </c>
      <c r="R9" s="4">
        <f t="shared" si="2"/>
        <v>-2.4649872425354671E-3</v>
      </c>
      <c r="S9" s="4">
        <f t="shared" si="2"/>
        <v>4.0689092694726281E-3</v>
      </c>
      <c r="T9" s="4">
        <f t="shared" si="2"/>
        <v>5.9767612879870462E-3</v>
      </c>
      <c r="U9" s="35"/>
      <c r="V9" s="35"/>
      <c r="W9" s="35"/>
      <c r="X9" s="35"/>
      <c r="Y9" s="9" t="s">
        <v>14</v>
      </c>
      <c r="Z9" s="9"/>
    </row>
    <row r="10" spans="4:37" ht="15.75" customHeight="1" x14ac:dyDescent="0.3">
      <c r="D10" s="23">
        <v>39597</v>
      </c>
      <c r="E10" s="5">
        <v>102.915154</v>
      </c>
      <c r="F10" s="28">
        <v>47.52328</v>
      </c>
      <c r="G10" s="28">
        <v>86.51</v>
      </c>
      <c r="H10" s="28">
        <v>43.240650000000002</v>
      </c>
      <c r="I10" s="28">
        <v>51.803890000000003</v>
      </c>
      <c r="J10" s="29"/>
      <c r="K10" s="29"/>
      <c r="L10" s="29"/>
      <c r="M10" s="29"/>
      <c r="N10" s="29"/>
      <c r="P10" s="4">
        <f t="shared" si="2"/>
        <v>5.0122901648406559E-3</v>
      </c>
      <c r="Q10" s="4">
        <f t="shared" si="2"/>
        <v>-1.6998259380211415E-3</v>
      </c>
      <c r="R10" s="4">
        <f t="shared" si="2"/>
        <v>-2.9948153326126766E-2</v>
      </c>
      <c r="S10" s="4">
        <f t="shared" si="2"/>
        <v>8.8945328682426082E-3</v>
      </c>
      <c r="T10" s="4">
        <f t="shared" si="2"/>
        <v>4.3700179883744234E-3</v>
      </c>
      <c r="U10" s="35"/>
      <c r="V10" s="35"/>
      <c r="W10" s="35"/>
      <c r="X10" s="35"/>
      <c r="Y10" s="10" t="s">
        <v>15</v>
      </c>
      <c r="Z10" s="30">
        <f>SUMPRODUCT(Z3:AD3,Z7:AD7)</f>
        <v>0.11422366847852754</v>
      </c>
    </row>
    <row r="11" spans="4:37" ht="15.75" customHeight="1" x14ac:dyDescent="0.3">
      <c r="D11" s="23">
        <v>39598</v>
      </c>
      <c r="E11" s="5">
        <v>103.172417</v>
      </c>
      <c r="F11" s="28">
        <v>47.554389999999998</v>
      </c>
      <c r="G11" s="28">
        <v>87.45</v>
      </c>
      <c r="H11" s="28">
        <v>43.519100000000002</v>
      </c>
      <c r="I11" s="28">
        <v>51.903869999999998</v>
      </c>
      <c r="J11" s="29"/>
      <c r="K11" s="29"/>
      <c r="L11" s="29"/>
      <c r="M11" s="29"/>
      <c r="N11" s="29"/>
      <c r="P11" s="4">
        <f t="shared" si="2"/>
        <v>2.4966390004284808E-3</v>
      </c>
      <c r="Q11" s="4">
        <f t="shared" si="2"/>
        <v>6.5441235802792767E-4</v>
      </c>
      <c r="R11" s="4">
        <f t="shared" si="2"/>
        <v>1.0807187272328021E-2</v>
      </c>
      <c r="S11" s="4">
        <f t="shared" si="2"/>
        <v>6.4188971513403229E-3</v>
      </c>
      <c r="T11" s="4">
        <f t="shared" si="2"/>
        <v>1.9281108949589247E-3</v>
      </c>
      <c r="U11" s="35"/>
      <c r="V11" s="35"/>
      <c r="W11" s="35"/>
      <c r="X11" s="35"/>
      <c r="Y11" s="10" t="s">
        <v>10</v>
      </c>
      <c r="Z11" s="30" cm="1">
        <f t="array" ref="Z11">SQRT(MMULT(MMULT(Z3:AD3,Z18:AD22), TRANSPOSE(Z3:AD3)*252))</f>
        <v>7.8209789601257643E-2</v>
      </c>
    </row>
    <row r="12" spans="4:37" ht="15.75" customHeight="1" x14ac:dyDescent="0.3">
      <c r="D12" s="23">
        <v>39601</v>
      </c>
      <c r="E12" s="5">
        <v>102.106537</v>
      </c>
      <c r="F12" s="28">
        <v>47.786479999999997</v>
      </c>
      <c r="G12" s="28">
        <v>87.96</v>
      </c>
      <c r="H12" s="28">
        <v>42.988280000000003</v>
      </c>
      <c r="I12" s="28">
        <v>51.48912</v>
      </c>
      <c r="J12" s="29"/>
      <c r="K12" s="29"/>
      <c r="L12" s="29"/>
      <c r="M12" s="29"/>
      <c r="N12" s="29"/>
      <c r="P12" s="4">
        <f t="shared" si="2"/>
        <v>-1.0384791604473547E-2</v>
      </c>
      <c r="Q12" s="4">
        <f t="shared" si="2"/>
        <v>4.8686457014570257E-3</v>
      </c>
      <c r="R12" s="4">
        <f t="shared" si="2"/>
        <v>5.8149642219492165E-3</v>
      </c>
      <c r="S12" s="4">
        <f t="shared" si="2"/>
        <v>-1.2272401783483955E-2</v>
      </c>
      <c r="T12" s="4">
        <f t="shared" si="2"/>
        <v>-8.0228306511104797E-3</v>
      </c>
      <c r="U12" s="35"/>
      <c r="V12" s="35"/>
      <c r="W12" s="35"/>
      <c r="X12" s="35"/>
      <c r="Y12" s="10" t="s">
        <v>16</v>
      </c>
      <c r="Z12" s="11">
        <v>0.04</v>
      </c>
    </row>
    <row r="13" spans="4:37" ht="15.75" customHeight="1" x14ac:dyDescent="0.3">
      <c r="D13" s="23">
        <v>39602</v>
      </c>
      <c r="E13" s="5">
        <v>101.511078</v>
      </c>
      <c r="F13" s="28">
        <v>47.973680000000002</v>
      </c>
      <c r="G13" s="28">
        <v>86.88</v>
      </c>
      <c r="H13" s="28">
        <v>42.753329999999998</v>
      </c>
      <c r="I13" s="28">
        <v>51.211419999999997</v>
      </c>
      <c r="J13" s="29"/>
      <c r="K13" s="29"/>
      <c r="L13" s="29"/>
      <c r="M13" s="29"/>
      <c r="N13" s="29"/>
      <c r="P13" s="4">
        <f t="shared" si="2"/>
        <v>-5.8488132029708368E-3</v>
      </c>
      <c r="Q13" s="4">
        <f t="shared" si="2"/>
        <v>3.9097728839759165E-3</v>
      </c>
      <c r="R13" s="4">
        <f t="shared" si="2"/>
        <v>-1.2354309500935124E-2</v>
      </c>
      <c r="S13" s="4">
        <f t="shared" si="2"/>
        <v>-5.4804333173334545E-3</v>
      </c>
      <c r="T13" s="4">
        <f t="shared" si="2"/>
        <v>-5.4079691655735977E-3</v>
      </c>
      <c r="U13" s="35"/>
      <c r="V13" s="35"/>
      <c r="W13" s="35"/>
      <c r="X13" s="35"/>
      <c r="Y13" s="10" t="s">
        <v>17</v>
      </c>
      <c r="Z13" s="31">
        <f>SUM(Z7:AD7)</f>
        <v>0.99999999999999989</v>
      </c>
    </row>
    <row r="14" spans="4:37" ht="15.75" customHeight="1" x14ac:dyDescent="0.3">
      <c r="D14" s="23">
        <v>39603</v>
      </c>
      <c r="E14" s="5">
        <v>101.45961800000001</v>
      </c>
      <c r="F14" s="28">
        <v>47.742820000000002</v>
      </c>
      <c r="G14" s="28">
        <v>86.65</v>
      </c>
      <c r="H14" s="28">
        <v>43.301549999999999</v>
      </c>
      <c r="I14" s="28">
        <v>51.303989999999999</v>
      </c>
      <c r="J14" s="29"/>
      <c r="K14" s="29"/>
      <c r="L14" s="29"/>
      <c r="M14" s="29"/>
      <c r="N14" s="29"/>
      <c r="P14" s="4">
        <f t="shared" si="2"/>
        <v>-5.0706828243420965E-4</v>
      </c>
      <c r="Q14" s="4">
        <f t="shared" si="2"/>
        <v>-4.8238380564387976E-3</v>
      </c>
      <c r="R14" s="4">
        <f t="shared" si="2"/>
        <v>-2.6508400240100962E-3</v>
      </c>
      <c r="S14" s="4">
        <f t="shared" si="2"/>
        <v>1.2741344048525116E-2</v>
      </c>
      <c r="T14" s="4">
        <f t="shared" si="2"/>
        <v>1.8059728807611169E-3</v>
      </c>
      <c r="U14" s="35"/>
      <c r="V14" s="35"/>
      <c r="W14" s="35"/>
      <c r="X14" s="35"/>
      <c r="Y14" s="10" t="s">
        <v>18</v>
      </c>
      <c r="Z14" s="31">
        <f>(Z10-Z12)/Z11</f>
        <v>0.94903296450415209</v>
      </c>
    </row>
    <row r="15" spans="4:37" ht="15.75" customHeight="1" x14ac:dyDescent="0.3">
      <c r="D15" s="23">
        <v>39604</v>
      </c>
      <c r="E15" s="5">
        <v>103.48857099999999</v>
      </c>
      <c r="F15" s="28">
        <v>47.524450000000002</v>
      </c>
      <c r="G15" s="28">
        <v>86.45</v>
      </c>
      <c r="H15" s="28">
        <v>43.98903</v>
      </c>
      <c r="I15" s="28">
        <v>52.303780000000003</v>
      </c>
      <c r="J15" s="29"/>
      <c r="K15" s="29"/>
      <c r="L15" s="29"/>
      <c r="M15" s="29"/>
      <c r="N15" s="29"/>
      <c r="P15" s="4">
        <f t="shared" si="2"/>
        <v>1.9800314386445833E-2</v>
      </c>
      <c r="Q15" s="4">
        <f t="shared" si="2"/>
        <v>-4.584373677282841E-3</v>
      </c>
      <c r="R15" s="4">
        <f t="shared" si="2"/>
        <v>-2.3108040323156268E-3</v>
      </c>
      <c r="S15" s="4">
        <f t="shared" si="2"/>
        <v>1.5751853516999488E-2</v>
      </c>
      <c r="T15" s="4">
        <f t="shared" si="2"/>
        <v>1.9300116863782083E-2</v>
      </c>
      <c r="U15" s="35"/>
      <c r="V15" s="35"/>
      <c r="W15" s="35"/>
      <c r="X15" s="35"/>
    </row>
    <row r="16" spans="4:37" ht="15.75" customHeight="1" x14ac:dyDescent="0.3">
      <c r="D16" s="23">
        <v>39605</v>
      </c>
      <c r="E16" s="5">
        <v>100.187912</v>
      </c>
      <c r="F16" s="28">
        <v>47.767800000000001</v>
      </c>
      <c r="G16" s="28">
        <v>89.06</v>
      </c>
      <c r="H16" s="28">
        <v>42.6663</v>
      </c>
      <c r="I16" s="28">
        <v>50.72634</v>
      </c>
      <c r="J16" s="29"/>
      <c r="K16" s="29"/>
      <c r="L16" s="29"/>
      <c r="M16" s="29"/>
      <c r="N16" s="29"/>
      <c r="P16" s="4">
        <f t="shared" si="2"/>
        <v>-3.2413638836574728E-2</v>
      </c>
      <c r="Q16" s="4">
        <f t="shared" si="2"/>
        <v>5.1074568814245252E-3</v>
      </c>
      <c r="R16" s="4">
        <f t="shared" si="2"/>
        <v>2.97440877642569E-2</v>
      </c>
      <c r="S16" s="4">
        <f t="shared" si="2"/>
        <v>-3.0530903186917254E-2</v>
      </c>
      <c r="T16" s="4">
        <f t="shared" si="2"/>
        <v>-3.0623341476627642E-2</v>
      </c>
      <c r="U16" s="35"/>
      <c r="V16" s="35"/>
      <c r="W16" s="35"/>
      <c r="X16" s="35"/>
      <c r="Y16" s="12" t="s">
        <v>19</v>
      </c>
      <c r="Z16" s="12"/>
      <c r="AA16" s="12"/>
      <c r="AB16" s="12"/>
      <c r="AC16" s="12"/>
      <c r="AD16" s="12"/>
    </row>
    <row r="17" spans="4:30" ht="15.75" customHeight="1" x14ac:dyDescent="0.3">
      <c r="D17" s="23">
        <v>39608</v>
      </c>
      <c r="E17" s="5">
        <v>100.43047300000001</v>
      </c>
      <c r="F17" s="28">
        <v>47.374720000000003</v>
      </c>
      <c r="G17" s="28">
        <v>87.99</v>
      </c>
      <c r="H17" s="28">
        <v>42.440049999999999</v>
      </c>
      <c r="I17" s="28">
        <v>50.767060000000001</v>
      </c>
      <c r="J17" s="29"/>
      <c r="K17" s="29"/>
      <c r="L17" s="29"/>
      <c r="M17" s="29"/>
      <c r="N17" s="29"/>
      <c r="P17" s="4">
        <f t="shared" si="2"/>
        <v>2.4181344914665881E-3</v>
      </c>
      <c r="Q17" s="4">
        <f t="shared" si="2"/>
        <v>-8.2630192376727477E-3</v>
      </c>
      <c r="R17" s="4">
        <f t="shared" si="2"/>
        <v>-1.208712823608701E-2</v>
      </c>
      <c r="S17" s="4">
        <f t="shared" si="2"/>
        <v>-5.3168895856565562E-3</v>
      </c>
      <c r="T17" s="4">
        <f t="shared" si="2"/>
        <v>8.0241675192434204E-4</v>
      </c>
      <c r="U17" s="35"/>
      <c r="V17" s="35"/>
      <c r="W17" s="35"/>
      <c r="X17" s="35"/>
      <c r="Y17" s="13"/>
      <c r="Z17" s="22" t="s">
        <v>3</v>
      </c>
      <c r="AA17" s="27" t="s">
        <v>4</v>
      </c>
      <c r="AB17" s="27" t="s">
        <v>5</v>
      </c>
      <c r="AC17" s="27" t="s">
        <v>6</v>
      </c>
      <c r="AD17" s="27" t="s">
        <v>7</v>
      </c>
    </row>
    <row r="18" spans="4:30" x14ac:dyDescent="0.3">
      <c r="D18" s="23">
        <v>39609</v>
      </c>
      <c r="E18" s="5">
        <v>99.930580000000006</v>
      </c>
      <c r="F18" s="28">
        <v>47.106409999999997</v>
      </c>
      <c r="G18" s="28">
        <v>85.55</v>
      </c>
      <c r="H18" s="28">
        <v>42.239919999999998</v>
      </c>
      <c r="I18" s="28">
        <v>50.511560000000003</v>
      </c>
      <c r="J18" s="29"/>
      <c r="K18" s="29"/>
      <c r="L18" s="29"/>
      <c r="M18" s="29"/>
      <c r="N18" s="29"/>
      <c r="P18" s="4">
        <f t="shared" si="2"/>
        <v>-4.9899322225416499E-3</v>
      </c>
      <c r="Q18" s="4">
        <f t="shared" si="2"/>
        <v>-5.6796679141253095E-3</v>
      </c>
      <c r="R18" s="4">
        <f t="shared" si="2"/>
        <v>-2.8122171319266847E-2</v>
      </c>
      <c r="S18" s="4">
        <f t="shared" si="2"/>
        <v>-4.7267464221058307E-3</v>
      </c>
      <c r="T18" s="4">
        <f t="shared" si="2"/>
        <v>-5.0454980927428532E-3</v>
      </c>
      <c r="U18" s="35"/>
      <c r="V18" s="35"/>
      <c r="W18" s="35"/>
      <c r="X18" s="35"/>
      <c r="Y18" s="22" t="s">
        <v>3</v>
      </c>
      <c r="Z18" s="14">
        <v>1.6193223229022923E-4</v>
      </c>
      <c r="AA18" s="14">
        <v>3.0718005478311554E-7</v>
      </c>
      <c r="AB18" s="14">
        <v>5.6644319116324233E-6</v>
      </c>
      <c r="AC18" s="14">
        <v>1.6643826284862121E-4</v>
      </c>
      <c r="AD18" s="14">
        <v>1.6263718033525097E-4</v>
      </c>
    </row>
    <row r="19" spans="4:30" x14ac:dyDescent="0.3">
      <c r="D19" s="23">
        <v>39610</v>
      </c>
      <c r="E19" s="5">
        <v>98.460402999999999</v>
      </c>
      <c r="F19" s="28">
        <v>47.380929999999999</v>
      </c>
      <c r="G19" s="28">
        <v>87.02</v>
      </c>
      <c r="H19" s="28">
        <v>41.221760000000003</v>
      </c>
      <c r="I19" s="28">
        <v>49.748750000000001</v>
      </c>
      <c r="J19" s="29"/>
      <c r="K19" s="29"/>
      <c r="L19" s="29"/>
      <c r="M19" s="29"/>
      <c r="N19" s="29"/>
      <c r="P19" s="4">
        <f t="shared" si="2"/>
        <v>-1.4821277565316834E-2</v>
      </c>
      <c r="Q19" s="4">
        <f t="shared" si="2"/>
        <v>5.8107418924871557E-3</v>
      </c>
      <c r="R19" s="4">
        <f t="shared" si="2"/>
        <v>1.703697695433154E-2</v>
      </c>
      <c r="S19" s="4">
        <f t="shared" si="2"/>
        <v>-2.4399473186473584E-2</v>
      </c>
      <c r="T19" s="4">
        <f t="shared" si="2"/>
        <v>-1.5216883315495687E-2</v>
      </c>
      <c r="U19" s="35"/>
      <c r="V19" s="35"/>
      <c r="W19" s="35"/>
      <c r="X19" s="35"/>
      <c r="Y19" s="27" t="s">
        <v>4</v>
      </c>
      <c r="Z19" s="14">
        <v>3.0718005478311554E-7</v>
      </c>
      <c r="AA19" s="14">
        <v>1.1124025423387134E-5</v>
      </c>
      <c r="AB19" s="14">
        <v>9.0100687605706763E-6</v>
      </c>
      <c r="AC19" s="14">
        <v>9.0429598246732102E-8</v>
      </c>
      <c r="AD19" s="14">
        <v>2.9832476837322905E-7</v>
      </c>
    </row>
    <row r="20" spans="4:30" x14ac:dyDescent="0.3">
      <c r="D20" s="23">
        <v>39611</v>
      </c>
      <c r="E20" s="5">
        <v>98.835312000000002</v>
      </c>
      <c r="F20" s="28">
        <v>46.863100000000003</v>
      </c>
      <c r="G20" s="28">
        <v>85.6</v>
      </c>
      <c r="H20" s="28">
        <v>41.265270000000001</v>
      </c>
      <c r="I20" s="28">
        <v>49.89687</v>
      </c>
      <c r="J20" s="29"/>
      <c r="K20" s="29"/>
      <c r="L20" s="29"/>
      <c r="M20" s="29"/>
      <c r="N20" s="29"/>
      <c r="P20" s="4">
        <f t="shared" si="2"/>
        <v>3.8004824509740806E-3</v>
      </c>
      <c r="Q20" s="4">
        <f t="shared" si="2"/>
        <v>-1.0989241678937873E-2</v>
      </c>
      <c r="R20" s="4">
        <f t="shared" si="2"/>
        <v>-1.6452694144837687E-2</v>
      </c>
      <c r="S20" s="4">
        <f t="shared" si="2"/>
        <v>1.0549538281420356E-3</v>
      </c>
      <c r="T20" s="4">
        <f t="shared" si="2"/>
        <v>2.9729376784406359E-3</v>
      </c>
      <c r="U20" s="35"/>
      <c r="V20" s="35"/>
      <c r="W20" s="35"/>
      <c r="X20" s="35"/>
      <c r="Y20" s="27" t="s">
        <v>5</v>
      </c>
      <c r="Z20" s="14">
        <v>5.6644319116324233E-6</v>
      </c>
      <c r="AA20" s="14">
        <v>9.0100687605706763E-6</v>
      </c>
      <c r="AB20" s="14">
        <v>1.1752640782762669E-4</v>
      </c>
      <c r="AC20" s="14">
        <v>4.5150483798757671E-6</v>
      </c>
      <c r="AD20" s="14">
        <v>6.9024194857852576E-6</v>
      </c>
    </row>
    <row r="21" spans="4:30" x14ac:dyDescent="0.3">
      <c r="D21" s="23">
        <v>39612</v>
      </c>
      <c r="E21" s="5">
        <v>100.084976</v>
      </c>
      <c r="F21" s="28">
        <v>46.906779999999998</v>
      </c>
      <c r="G21" s="28">
        <v>85.83</v>
      </c>
      <c r="H21" s="28">
        <v>42.091949999999997</v>
      </c>
      <c r="I21" s="28">
        <v>50.637450000000001</v>
      </c>
      <c r="J21" s="29"/>
      <c r="K21" s="29"/>
      <c r="L21" s="29"/>
      <c r="M21" s="29"/>
      <c r="N21" s="29"/>
      <c r="P21" s="4">
        <f t="shared" ref="P21:T36" si="3">LN(E21/E20)</f>
        <v>1.2564635341111288E-2</v>
      </c>
      <c r="Q21" s="4">
        <f t="shared" si="3"/>
        <v>9.3164250950007732E-4</v>
      </c>
      <c r="R21" s="4">
        <f t="shared" si="3"/>
        <v>2.6833125824321145E-3</v>
      </c>
      <c r="S21" s="4">
        <f t="shared" si="3"/>
        <v>1.9835284905192714E-2</v>
      </c>
      <c r="T21" s="4">
        <f t="shared" si="3"/>
        <v>1.4733145778557701E-2</v>
      </c>
      <c r="U21" s="35"/>
      <c r="V21" s="35"/>
      <c r="W21" s="35"/>
      <c r="X21" s="35"/>
      <c r="Y21" s="27" t="s">
        <v>6</v>
      </c>
      <c r="Z21" s="14">
        <v>1.6643826284862121E-4</v>
      </c>
      <c r="AA21" s="14">
        <v>9.0429598246732102E-8</v>
      </c>
      <c r="AB21" s="14">
        <v>4.5150483798757671E-6</v>
      </c>
      <c r="AC21" s="14">
        <v>1.9998260060410115E-4</v>
      </c>
      <c r="AD21" s="14">
        <v>1.6852474276662669E-4</v>
      </c>
    </row>
    <row r="22" spans="4:30" x14ac:dyDescent="0.3">
      <c r="D22" s="23">
        <v>39615</v>
      </c>
      <c r="E22" s="5">
        <v>100.143806</v>
      </c>
      <c r="F22" s="28">
        <v>46.950449999999996</v>
      </c>
      <c r="G22" s="28">
        <v>87.01</v>
      </c>
      <c r="H22" s="28">
        <v>42.466149999999999</v>
      </c>
      <c r="I22" s="28">
        <v>50.722630000000002</v>
      </c>
      <c r="J22" s="29"/>
      <c r="K22" s="29"/>
      <c r="L22" s="29"/>
      <c r="M22" s="29"/>
      <c r="N22" s="29"/>
      <c r="P22" s="4">
        <f t="shared" si="3"/>
        <v>5.8762782358500636E-4</v>
      </c>
      <c r="Q22" s="4">
        <f t="shared" si="3"/>
        <v>9.3056236906471684E-4</v>
      </c>
      <c r="R22" s="4">
        <f t="shared" si="3"/>
        <v>1.3654458847804599E-2</v>
      </c>
      <c r="S22" s="4">
        <f t="shared" si="3"/>
        <v>8.8507769872385716E-3</v>
      </c>
      <c r="T22" s="4">
        <f t="shared" si="3"/>
        <v>1.680740979131357E-3</v>
      </c>
      <c r="U22" s="35"/>
      <c r="V22" s="35"/>
      <c r="W22" s="35"/>
      <c r="X22" s="35"/>
      <c r="Y22" s="27" t="s">
        <v>7</v>
      </c>
      <c r="Z22" s="14">
        <v>1.6263718033525097E-4</v>
      </c>
      <c r="AA22" s="14">
        <v>2.9832476837322905E-7</v>
      </c>
      <c r="AB22" s="14">
        <v>6.9024194857852576E-6</v>
      </c>
      <c r="AC22" s="14">
        <v>1.6852474276662669E-4</v>
      </c>
      <c r="AD22" s="14">
        <v>1.6541153354015866E-4</v>
      </c>
    </row>
    <row r="23" spans="4:30" x14ac:dyDescent="0.3">
      <c r="D23" s="23">
        <v>39616</v>
      </c>
      <c r="E23" s="5">
        <v>99.658614999999998</v>
      </c>
      <c r="F23" s="28">
        <v>47.106409999999997</v>
      </c>
      <c r="G23" s="28">
        <v>87.25</v>
      </c>
      <c r="H23" s="28">
        <v>42.239919999999998</v>
      </c>
      <c r="I23" s="28">
        <v>50.359740000000002</v>
      </c>
      <c r="J23" s="29"/>
      <c r="K23" s="29"/>
      <c r="L23" s="29"/>
      <c r="M23" s="29"/>
      <c r="N23" s="29"/>
      <c r="P23" s="4">
        <f t="shared" si="3"/>
        <v>-4.8567174640136174E-3</v>
      </c>
      <c r="Q23" s="4">
        <f t="shared" si="3"/>
        <v>3.3162949078860081E-3</v>
      </c>
      <c r="R23" s="4">
        <f t="shared" si="3"/>
        <v>2.7545065046033408E-3</v>
      </c>
      <c r="S23" s="4">
        <f t="shared" si="3"/>
        <v>-5.3415425340998168E-3</v>
      </c>
      <c r="T23" s="4">
        <f t="shared" si="3"/>
        <v>-7.1801157617588244E-3</v>
      </c>
      <c r="U23" s="35"/>
      <c r="V23" s="35"/>
      <c r="W23" s="35"/>
      <c r="X23" s="35"/>
    </row>
    <row r="24" spans="4:30" x14ac:dyDescent="0.3">
      <c r="D24" s="23">
        <v>39617</v>
      </c>
      <c r="E24" s="5">
        <v>98.688293000000002</v>
      </c>
      <c r="F24" s="28">
        <v>47.26238</v>
      </c>
      <c r="G24" s="28">
        <v>88.28</v>
      </c>
      <c r="H24" s="28">
        <v>41.787399999999998</v>
      </c>
      <c r="I24" s="28">
        <v>49.989460000000001</v>
      </c>
      <c r="J24" s="29"/>
      <c r="K24" s="29"/>
      <c r="L24" s="29"/>
      <c r="M24" s="29"/>
      <c r="N24" s="29"/>
      <c r="P24" s="4">
        <f t="shared" si="3"/>
        <v>-9.7841680569773874E-3</v>
      </c>
      <c r="Q24" s="4">
        <f t="shared" si="3"/>
        <v>3.3055450222224617E-3</v>
      </c>
      <c r="R24" s="4">
        <f t="shared" si="3"/>
        <v>1.1736020305999179E-2</v>
      </c>
      <c r="S24" s="4">
        <f t="shared" si="3"/>
        <v>-1.0770886773590577E-2</v>
      </c>
      <c r="T24" s="4">
        <f t="shared" si="3"/>
        <v>-7.3798631284748371E-3</v>
      </c>
      <c r="U24" s="35"/>
      <c r="V24" s="35"/>
      <c r="W24" s="35"/>
      <c r="X24" s="35"/>
    </row>
    <row r="25" spans="4:30" x14ac:dyDescent="0.3">
      <c r="D25" s="23">
        <v>39618</v>
      </c>
      <c r="E25" s="5">
        <v>98.813239999999993</v>
      </c>
      <c r="F25" s="28">
        <v>47.14387</v>
      </c>
      <c r="G25" s="28">
        <v>88.42</v>
      </c>
      <c r="H25" s="28">
        <v>42.440049999999999</v>
      </c>
      <c r="I25" s="28">
        <v>50.137549999999997</v>
      </c>
      <c r="J25" s="29"/>
      <c r="K25" s="29"/>
      <c r="L25" s="29"/>
      <c r="M25" s="29"/>
      <c r="N25" s="29"/>
      <c r="P25" s="4">
        <f t="shared" si="3"/>
        <v>1.2652764236439431E-3</v>
      </c>
      <c r="Q25" s="4">
        <f t="shared" si="3"/>
        <v>-2.5106401800828663E-3</v>
      </c>
      <c r="R25" s="4">
        <f t="shared" si="3"/>
        <v>1.5846070095614263E-3</v>
      </c>
      <c r="S25" s="4">
        <f t="shared" si="3"/>
        <v>1.5497633195696511E-2</v>
      </c>
      <c r="T25" s="4">
        <f t="shared" si="3"/>
        <v>2.9580451465124331E-3</v>
      </c>
      <c r="U25" s="35"/>
      <c r="V25" s="35"/>
      <c r="W25" s="35"/>
      <c r="X25" s="35"/>
    </row>
    <row r="26" spans="4:30" x14ac:dyDescent="0.3">
      <c r="D26" s="23">
        <v>39619</v>
      </c>
      <c r="E26" s="5">
        <v>97.209350999999998</v>
      </c>
      <c r="F26" s="28">
        <v>47.237450000000003</v>
      </c>
      <c r="G26" s="28">
        <v>88.95</v>
      </c>
      <c r="H26" s="28">
        <v>41.294060000000002</v>
      </c>
      <c r="I26" s="28">
        <v>49.322929999999999</v>
      </c>
      <c r="J26" s="29"/>
      <c r="K26" s="29"/>
      <c r="L26" s="29"/>
      <c r="M26" s="29"/>
      <c r="N26" s="29"/>
      <c r="P26" s="4">
        <f t="shared" si="3"/>
        <v>-1.6364693329887551E-2</v>
      </c>
      <c r="Q26" s="4">
        <f t="shared" si="3"/>
        <v>1.9830201710661246E-3</v>
      </c>
      <c r="R26" s="4">
        <f t="shared" si="3"/>
        <v>5.9762257137470597E-3</v>
      </c>
      <c r="S26" s="4">
        <f t="shared" si="3"/>
        <v>-2.7373827921699727E-2</v>
      </c>
      <c r="T26" s="4">
        <f t="shared" si="3"/>
        <v>-1.6381143873560319E-2</v>
      </c>
      <c r="U26" s="35"/>
      <c r="V26" s="35"/>
      <c r="W26" s="35"/>
      <c r="X26" s="35"/>
    </row>
    <row r="27" spans="4:30" x14ac:dyDescent="0.3">
      <c r="D27" s="23">
        <v>39622</v>
      </c>
      <c r="E27" s="5">
        <v>97.113303999999999</v>
      </c>
      <c r="F27" s="28">
        <v>47.075229999999998</v>
      </c>
      <c r="G27" s="28">
        <v>87.09</v>
      </c>
      <c r="H27" s="28">
        <v>40.97186</v>
      </c>
      <c r="I27" s="28">
        <v>49.174810000000001</v>
      </c>
      <c r="J27" s="29"/>
      <c r="K27" s="29"/>
      <c r="L27" s="29"/>
      <c r="M27" s="29"/>
      <c r="N27" s="29"/>
      <c r="P27" s="4">
        <f t="shared" si="3"/>
        <v>-9.8853124275576553E-4</v>
      </c>
      <c r="Q27" s="4">
        <f t="shared" si="3"/>
        <v>-3.4400498421878725E-3</v>
      </c>
      <c r="R27" s="4">
        <f t="shared" si="3"/>
        <v>-2.1132347407195877E-2</v>
      </c>
      <c r="S27" s="4">
        <f t="shared" si="3"/>
        <v>-7.8331743564595893E-3</v>
      </c>
      <c r="T27" s="4">
        <f t="shared" si="3"/>
        <v>-3.0075839639033806E-3</v>
      </c>
      <c r="U27" s="35"/>
      <c r="V27" s="35"/>
      <c r="W27" s="35"/>
      <c r="X27" s="35"/>
    </row>
    <row r="28" spans="4:30" x14ac:dyDescent="0.3">
      <c r="D28" s="23">
        <v>39623</v>
      </c>
      <c r="E28" s="5">
        <v>96.921218999999994</v>
      </c>
      <c r="F28" s="28">
        <v>47.27487</v>
      </c>
      <c r="G28" s="28">
        <v>87.47</v>
      </c>
      <c r="H28" s="28">
        <v>40.762860000000003</v>
      </c>
      <c r="I28" s="28">
        <v>48.931480000000001</v>
      </c>
      <c r="J28" s="29"/>
      <c r="K28" s="29"/>
      <c r="L28" s="29"/>
      <c r="M28" s="29"/>
      <c r="N28" s="29"/>
      <c r="P28" s="4">
        <f t="shared" si="3"/>
        <v>-1.9799060474224145E-3</v>
      </c>
      <c r="Q28" s="4">
        <f t="shared" si="3"/>
        <v>4.231904321165849E-3</v>
      </c>
      <c r="R28" s="4">
        <f t="shared" si="3"/>
        <v>4.35381072711526E-3</v>
      </c>
      <c r="S28" s="4">
        <f t="shared" si="3"/>
        <v>-5.1141168775920547E-3</v>
      </c>
      <c r="T28" s="4">
        <f t="shared" si="3"/>
        <v>-4.960548380110028E-3</v>
      </c>
      <c r="U28" s="35"/>
      <c r="V28" s="35"/>
      <c r="W28" s="35"/>
      <c r="X28" s="35"/>
    </row>
    <row r="29" spans="4:30" x14ac:dyDescent="0.3">
      <c r="D29" s="23">
        <v>39624</v>
      </c>
      <c r="E29" s="5">
        <v>97.379249999999999</v>
      </c>
      <c r="F29" s="28">
        <v>47.293579999999999</v>
      </c>
      <c r="G29" s="28">
        <v>87.42</v>
      </c>
      <c r="H29" s="28">
        <v>41.424680000000002</v>
      </c>
      <c r="I29" s="28">
        <v>49.281210000000002</v>
      </c>
      <c r="J29" s="29"/>
      <c r="K29" s="29"/>
      <c r="L29" s="29"/>
      <c r="M29" s="29"/>
      <c r="N29" s="29"/>
      <c r="P29" s="4">
        <f t="shared" si="3"/>
        <v>4.7146756854421542E-3</v>
      </c>
      <c r="Q29" s="4">
        <f t="shared" si="3"/>
        <v>3.9569222598279542E-4</v>
      </c>
      <c r="R29" s="4">
        <f t="shared" si="3"/>
        <v>-5.7178799659499688E-4</v>
      </c>
      <c r="S29" s="4">
        <f t="shared" si="3"/>
        <v>1.6105465755754892E-2</v>
      </c>
      <c r="T29" s="4">
        <f t="shared" si="3"/>
        <v>7.1219203596169494E-3</v>
      </c>
      <c r="U29" s="35"/>
      <c r="V29" s="35"/>
      <c r="W29" s="35"/>
      <c r="X29" s="35"/>
    </row>
    <row r="30" spans="4:30" x14ac:dyDescent="0.3">
      <c r="D30" s="23">
        <v>39625</v>
      </c>
      <c r="E30" s="5">
        <v>94.734420999999998</v>
      </c>
      <c r="F30" s="28">
        <v>47.293579999999999</v>
      </c>
      <c r="G30" s="28">
        <v>90.61</v>
      </c>
      <c r="H30" s="28">
        <v>39.75271</v>
      </c>
      <c r="I30" s="28">
        <v>47.852550000000001</v>
      </c>
      <c r="J30" s="29"/>
      <c r="K30" s="29"/>
      <c r="L30" s="29"/>
      <c r="M30" s="29"/>
      <c r="N30" s="29"/>
      <c r="P30" s="4">
        <f t="shared" si="3"/>
        <v>-2.7535740657939841E-2</v>
      </c>
      <c r="Q30" s="4">
        <f t="shared" si="3"/>
        <v>0</v>
      </c>
      <c r="R30" s="4">
        <f t="shared" si="3"/>
        <v>3.5840492798800673E-2</v>
      </c>
      <c r="S30" s="4">
        <f t="shared" si="3"/>
        <v>-4.1198823601842696E-2</v>
      </c>
      <c r="T30" s="4">
        <f t="shared" si="3"/>
        <v>-2.9418464480188932E-2</v>
      </c>
      <c r="U30" s="35"/>
      <c r="V30" s="35"/>
      <c r="W30" s="35"/>
      <c r="X30" s="35"/>
    </row>
    <row r="31" spans="4:30" x14ac:dyDescent="0.3">
      <c r="D31" s="23">
        <v>39626</v>
      </c>
      <c r="E31" s="5">
        <v>94.217277999999993</v>
      </c>
      <c r="F31" s="28">
        <v>47.418390000000002</v>
      </c>
      <c r="G31" s="28">
        <v>91.47</v>
      </c>
      <c r="H31" s="28">
        <v>39.75271</v>
      </c>
      <c r="I31" s="28">
        <v>47.785589999999999</v>
      </c>
      <c r="J31" s="29"/>
      <c r="K31" s="29"/>
      <c r="L31" s="29"/>
      <c r="M31" s="29"/>
      <c r="N31" s="29"/>
      <c r="P31" s="4">
        <f t="shared" si="3"/>
        <v>-5.473825257873116E-3</v>
      </c>
      <c r="Q31" s="4">
        <f t="shared" si="3"/>
        <v>2.6355712429302165E-3</v>
      </c>
      <c r="R31" s="4">
        <f t="shared" si="3"/>
        <v>9.4464674343038464E-3</v>
      </c>
      <c r="S31" s="4">
        <f t="shared" si="3"/>
        <v>0</v>
      </c>
      <c r="T31" s="4">
        <f t="shared" si="3"/>
        <v>-1.4002784023435042E-3</v>
      </c>
      <c r="U31" s="35"/>
      <c r="V31" s="35"/>
      <c r="W31" s="35"/>
      <c r="X31" s="35"/>
    </row>
    <row r="32" spans="4:30" x14ac:dyDescent="0.3">
      <c r="D32" s="23">
        <v>39629</v>
      </c>
      <c r="E32" s="5">
        <v>94.549712999999997</v>
      </c>
      <c r="F32" s="28">
        <v>47.574359999999999</v>
      </c>
      <c r="G32" s="28">
        <v>91.4</v>
      </c>
      <c r="H32" s="28">
        <v>39.334719999999997</v>
      </c>
      <c r="I32" s="28">
        <v>47.688850000000002</v>
      </c>
      <c r="J32" s="29"/>
      <c r="K32" s="29"/>
      <c r="L32" s="29"/>
      <c r="M32" s="29"/>
      <c r="N32" s="29"/>
      <c r="P32" s="4">
        <f t="shared" si="3"/>
        <v>3.5221766466022033E-3</v>
      </c>
      <c r="Q32" s="4">
        <f t="shared" si="3"/>
        <v>3.2838325063595229E-3</v>
      </c>
      <c r="R32" s="4">
        <f t="shared" si="3"/>
        <v>-7.6557120816865911E-4</v>
      </c>
      <c r="S32" s="4">
        <f t="shared" si="3"/>
        <v>-1.0570425463658018E-2</v>
      </c>
      <c r="T32" s="4">
        <f t="shared" si="3"/>
        <v>-2.0265116633779285E-3</v>
      </c>
      <c r="U32" s="35"/>
      <c r="V32" s="35"/>
      <c r="W32" s="35"/>
      <c r="X32" s="35"/>
    </row>
    <row r="33" spans="4:24" x14ac:dyDescent="0.3">
      <c r="D33" s="23">
        <v>39630</v>
      </c>
      <c r="E33" s="5">
        <v>94.845245000000006</v>
      </c>
      <c r="F33" s="28">
        <v>47.540529999999997</v>
      </c>
      <c r="G33" s="28">
        <v>92.66</v>
      </c>
      <c r="H33" s="28">
        <v>39.892040000000001</v>
      </c>
      <c r="I33" s="28">
        <v>47.912080000000003</v>
      </c>
      <c r="J33" s="29"/>
      <c r="K33" s="29"/>
      <c r="L33" s="29"/>
      <c r="M33" s="29"/>
      <c r="N33" s="29"/>
      <c r="P33" s="4">
        <f t="shared" si="3"/>
        <v>3.1208036684804976E-3</v>
      </c>
      <c r="Q33" s="4">
        <f t="shared" si="3"/>
        <v>-7.1135027179344671E-4</v>
      </c>
      <c r="R33" s="4">
        <f t="shared" si="3"/>
        <v>1.369140152839796E-2</v>
      </c>
      <c r="S33" s="4">
        <f t="shared" si="3"/>
        <v>1.4069215833001549E-2</v>
      </c>
      <c r="T33" s="4">
        <f t="shared" si="3"/>
        <v>4.6700467392532781E-3</v>
      </c>
      <c r="U33" s="35"/>
      <c r="V33" s="35"/>
      <c r="W33" s="35"/>
      <c r="X33" s="35"/>
    </row>
    <row r="34" spans="4:24" x14ac:dyDescent="0.3">
      <c r="D34" s="23">
        <v>39631</v>
      </c>
      <c r="E34" s="5">
        <v>93.219902000000005</v>
      </c>
      <c r="F34" s="28">
        <v>47.377670000000002</v>
      </c>
      <c r="G34" s="28">
        <v>93.17</v>
      </c>
      <c r="H34" s="28">
        <v>38.934159999999999</v>
      </c>
      <c r="I34" s="28">
        <v>46.929879999999997</v>
      </c>
      <c r="J34" s="29"/>
      <c r="K34" s="29"/>
      <c r="L34" s="29"/>
      <c r="M34" s="29"/>
      <c r="N34" s="29"/>
      <c r="P34" s="4">
        <f t="shared" si="3"/>
        <v>-1.7285323669858854E-2</v>
      </c>
      <c r="Q34" s="4">
        <f t="shared" si="3"/>
        <v>-3.4315897228836467E-3</v>
      </c>
      <c r="R34" s="4">
        <f t="shared" si="3"/>
        <v>5.488901473831272E-3</v>
      </c>
      <c r="S34" s="4">
        <f t="shared" si="3"/>
        <v>-2.4304790869113625E-2</v>
      </c>
      <c r="T34" s="4">
        <f t="shared" si="3"/>
        <v>-2.0713091885331516E-2</v>
      </c>
      <c r="U34" s="35"/>
      <c r="V34" s="35"/>
      <c r="W34" s="35"/>
      <c r="X34" s="35"/>
    </row>
    <row r="35" spans="4:24" x14ac:dyDescent="0.3">
      <c r="D35" s="23">
        <v>39632</v>
      </c>
      <c r="E35" s="5">
        <v>93.315948000000006</v>
      </c>
      <c r="F35" s="28">
        <v>47.41525</v>
      </c>
      <c r="G35" s="28">
        <v>92.06</v>
      </c>
      <c r="H35" s="28">
        <v>38.86448</v>
      </c>
      <c r="I35" s="28">
        <v>46.88523</v>
      </c>
      <c r="J35" s="29"/>
      <c r="K35" s="29"/>
      <c r="L35" s="29"/>
      <c r="M35" s="29"/>
      <c r="N35" s="29"/>
      <c r="P35" s="4">
        <f t="shared" si="3"/>
        <v>1.0297860543990261E-3</v>
      </c>
      <c r="Q35" s="4">
        <f t="shared" si="3"/>
        <v>7.9288626131107751E-4</v>
      </c>
      <c r="R35" s="4">
        <f t="shared" si="3"/>
        <v>-1.1985243073238143E-2</v>
      </c>
      <c r="S35" s="4">
        <f t="shared" si="3"/>
        <v>-1.7912914321379458E-3</v>
      </c>
      <c r="T35" s="4">
        <f t="shared" si="3"/>
        <v>-9.5187232357987327E-4</v>
      </c>
      <c r="U35" s="35"/>
      <c r="V35" s="35"/>
      <c r="W35" s="35"/>
      <c r="X35" s="35"/>
    </row>
    <row r="36" spans="4:24" x14ac:dyDescent="0.3">
      <c r="D36" s="23">
        <v>39636</v>
      </c>
      <c r="E36" s="5">
        <v>92.362885000000006</v>
      </c>
      <c r="F36" s="28">
        <v>47.44032</v>
      </c>
      <c r="G36" s="28">
        <v>91.23</v>
      </c>
      <c r="H36" s="28">
        <v>39.099589999999999</v>
      </c>
      <c r="I36" s="28">
        <v>46.431339999999999</v>
      </c>
      <c r="J36" s="29"/>
      <c r="K36" s="29"/>
      <c r="L36" s="29"/>
      <c r="M36" s="29"/>
      <c r="N36" s="29"/>
      <c r="P36" s="4">
        <f t="shared" si="3"/>
        <v>-1.0265805257442322E-2</v>
      </c>
      <c r="Q36" s="4">
        <f t="shared" si="3"/>
        <v>5.285931144314855E-4</v>
      </c>
      <c r="R36" s="4">
        <f t="shared" si="3"/>
        <v>-9.0567480317123947E-3</v>
      </c>
      <c r="S36" s="4">
        <f t="shared" si="3"/>
        <v>6.0312580576615069E-3</v>
      </c>
      <c r="T36" s="4">
        <f t="shared" si="3"/>
        <v>-9.7280382138790651E-3</v>
      </c>
      <c r="U36" s="35"/>
      <c r="V36" s="35"/>
      <c r="W36" s="35"/>
      <c r="X36" s="35"/>
    </row>
    <row r="37" spans="4:24" x14ac:dyDescent="0.3">
      <c r="D37" s="23">
        <v>39637</v>
      </c>
      <c r="E37" s="5">
        <v>94.003005999999999</v>
      </c>
      <c r="F37" s="28">
        <v>47.70966</v>
      </c>
      <c r="G37" s="28">
        <v>90.86</v>
      </c>
      <c r="H37" s="28">
        <v>40.031359999999999</v>
      </c>
      <c r="I37" s="28">
        <v>47.287059999999997</v>
      </c>
      <c r="J37" s="29"/>
      <c r="K37" s="29"/>
      <c r="L37" s="29"/>
      <c r="M37" s="29"/>
      <c r="N37" s="29"/>
      <c r="P37" s="4">
        <f t="shared" ref="P37:T52" si="4">LN(E37/E36)</f>
        <v>1.760154001765064E-2</v>
      </c>
      <c r="Q37" s="4">
        <f t="shared" si="4"/>
        <v>5.6613930847415296E-3</v>
      </c>
      <c r="R37" s="4">
        <f t="shared" si="4"/>
        <v>-4.0639300261257451E-3</v>
      </c>
      <c r="S37" s="4">
        <f t="shared" si="4"/>
        <v>2.3551165943633545E-2</v>
      </c>
      <c r="T37" s="4">
        <f t="shared" si="4"/>
        <v>1.826202286548401E-2</v>
      </c>
      <c r="U37" s="35"/>
      <c r="V37" s="35"/>
      <c r="W37" s="35"/>
      <c r="X37" s="35"/>
    </row>
    <row r="38" spans="4:24" x14ac:dyDescent="0.3">
      <c r="D38" s="23">
        <v>39638</v>
      </c>
      <c r="E38" s="5">
        <v>92.193008000000006</v>
      </c>
      <c r="F38" s="28">
        <v>47.71593</v>
      </c>
      <c r="G38" s="28">
        <v>91.5</v>
      </c>
      <c r="H38" s="28">
        <v>38.968989999999998</v>
      </c>
      <c r="I38" s="28">
        <v>46.327159999999999</v>
      </c>
      <c r="J38" s="29"/>
      <c r="K38" s="29"/>
      <c r="L38" s="29"/>
      <c r="M38" s="29"/>
      <c r="N38" s="29"/>
      <c r="P38" s="4">
        <f t="shared" si="4"/>
        <v>-1.9442467936178941E-2</v>
      </c>
      <c r="Q38" s="4">
        <f t="shared" si="4"/>
        <v>1.3141129143719293E-4</v>
      </c>
      <c r="R38" s="4">
        <f t="shared" si="4"/>
        <v>7.0191119502183022E-3</v>
      </c>
      <c r="S38" s="4">
        <f t="shared" si="4"/>
        <v>-2.6896945304052802E-2</v>
      </c>
      <c r="T38" s="4">
        <f t="shared" si="4"/>
        <v>-2.0508286955677409E-2</v>
      </c>
      <c r="U38" s="35"/>
      <c r="V38" s="35"/>
      <c r="W38" s="35"/>
      <c r="X38" s="35"/>
    </row>
    <row r="39" spans="4:24" x14ac:dyDescent="0.3">
      <c r="D39" s="23">
        <v>39639</v>
      </c>
      <c r="E39" s="5">
        <v>92.569777999999999</v>
      </c>
      <c r="F39" s="28">
        <v>47.847459999999998</v>
      </c>
      <c r="G39" s="28">
        <v>93.53</v>
      </c>
      <c r="H39" s="28">
        <v>39.430520000000001</v>
      </c>
      <c r="I39" s="28">
        <v>46.617359999999998</v>
      </c>
      <c r="J39" s="29"/>
      <c r="K39" s="29"/>
      <c r="L39" s="29"/>
      <c r="M39" s="29"/>
      <c r="N39" s="29"/>
      <c r="P39" s="4">
        <f t="shared" si="4"/>
        <v>4.0784243451662669E-3</v>
      </c>
      <c r="Q39" s="4">
        <f t="shared" si="4"/>
        <v>2.7527295349383521E-3</v>
      </c>
      <c r="R39" s="4">
        <f t="shared" si="4"/>
        <v>2.1943268164984046E-2</v>
      </c>
      <c r="S39" s="4">
        <f t="shared" si="4"/>
        <v>1.1773934088130352E-2</v>
      </c>
      <c r="T39" s="4">
        <f t="shared" si="4"/>
        <v>6.2446057719360596E-3</v>
      </c>
      <c r="U39" s="35"/>
      <c r="V39" s="35"/>
      <c r="W39" s="35"/>
      <c r="X39" s="35"/>
    </row>
    <row r="40" spans="4:24" x14ac:dyDescent="0.3">
      <c r="D40" s="23">
        <v>39640</v>
      </c>
      <c r="E40" s="5">
        <v>91.491135</v>
      </c>
      <c r="F40" s="28">
        <v>47.54683</v>
      </c>
      <c r="G40" s="28">
        <v>95.16</v>
      </c>
      <c r="H40" s="28">
        <v>38.803519999999999</v>
      </c>
      <c r="I40" s="28">
        <v>46.208100000000002</v>
      </c>
      <c r="J40" s="29"/>
      <c r="K40" s="29"/>
      <c r="L40" s="29"/>
      <c r="M40" s="29"/>
      <c r="N40" s="29"/>
      <c r="P40" s="4">
        <f t="shared" si="4"/>
        <v>-1.172063454919162E-2</v>
      </c>
      <c r="Q40" s="4">
        <f t="shared" si="4"/>
        <v>-6.3029138379889268E-3</v>
      </c>
      <c r="R40" s="4">
        <f t="shared" si="4"/>
        <v>1.7277444988297159E-2</v>
      </c>
      <c r="S40" s="4">
        <f t="shared" si="4"/>
        <v>-1.6029171566797173E-2</v>
      </c>
      <c r="T40" s="4">
        <f t="shared" si="4"/>
        <v>-8.8178965521108123E-3</v>
      </c>
      <c r="U40" s="35"/>
      <c r="V40" s="35"/>
      <c r="W40" s="35"/>
      <c r="X40" s="35"/>
    </row>
    <row r="41" spans="4:24" x14ac:dyDescent="0.3">
      <c r="D41" s="23">
        <v>39643</v>
      </c>
      <c r="E41" s="5">
        <v>90.663719</v>
      </c>
      <c r="F41" s="28">
        <v>47.803600000000003</v>
      </c>
      <c r="G41" s="28">
        <v>95.91</v>
      </c>
      <c r="H41" s="28">
        <v>38.516150000000003</v>
      </c>
      <c r="I41" s="28">
        <v>45.754219999999997</v>
      </c>
      <c r="J41" s="29"/>
      <c r="K41" s="29"/>
      <c r="L41" s="29"/>
      <c r="M41" s="29"/>
      <c r="N41" s="29"/>
      <c r="P41" s="4">
        <f t="shared" si="4"/>
        <v>-9.0848162719145351E-3</v>
      </c>
      <c r="Q41" s="4">
        <f t="shared" si="4"/>
        <v>5.3858303665875792E-3</v>
      </c>
      <c r="R41" s="4">
        <f t="shared" si="4"/>
        <v>7.8505663051028993E-3</v>
      </c>
      <c r="S41" s="4">
        <f t="shared" si="4"/>
        <v>-7.4333303078894996E-3</v>
      </c>
      <c r="T41" s="4">
        <f t="shared" si="4"/>
        <v>-9.8710794906419399E-3</v>
      </c>
      <c r="U41" s="35"/>
      <c r="V41" s="35"/>
      <c r="W41" s="35"/>
      <c r="X41" s="35"/>
    </row>
    <row r="42" spans="4:24" x14ac:dyDescent="0.3">
      <c r="D42" s="23">
        <v>39644</v>
      </c>
      <c r="E42" s="5">
        <v>89.385620000000003</v>
      </c>
      <c r="F42" s="28">
        <v>47.847459999999998</v>
      </c>
      <c r="G42" s="28">
        <v>96.17</v>
      </c>
      <c r="H42" s="28">
        <v>38.52487</v>
      </c>
      <c r="I42" s="28">
        <v>45.166379999999997</v>
      </c>
      <c r="J42" s="29"/>
      <c r="K42" s="29"/>
      <c r="L42" s="29"/>
      <c r="M42" s="29"/>
      <c r="N42" s="29"/>
      <c r="P42" s="4">
        <f t="shared" si="4"/>
        <v>-1.4197446940135831E-2</v>
      </c>
      <c r="Q42" s="4">
        <f t="shared" si="4"/>
        <v>9.1708347140132972E-4</v>
      </c>
      <c r="R42" s="4">
        <f t="shared" si="4"/>
        <v>2.7072069845306477E-3</v>
      </c>
      <c r="S42" s="4">
        <f t="shared" si="4"/>
        <v>2.2637291243643312E-4</v>
      </c>
      <c r="T42" s="4">
        <f t="shared" si="4"/>
        <v>-1.2931023136765408E-2</v>
      </c>
      <c r="U42" s="35"/>
      <c r="V42" s="35"/>
      <c r="W42" s="35"/>
      <c r="X42" s="35"/>
    </row>
    <row r="43" spans="4:24" x14ac:dyDescent="0.3">
      <c r="D43" s="23">
        <v>39645</v>
      </c>
      <c r="E43" s="5">
        <v>91.579811000000007</v>
      </c>
      <c r="F43" s="28">
        <v>47.452809999999999</v>
      </c>
      <c r="G43" s="28">
        <v>94.44</v>
      </c>
      <c r="H43" s="28">
        <v>39.482770000000002</v>
      </c>
      <c r="I43" s="28">
        <v>46.208100000000002</v>
      </c>
      <c r="J43" s="29"/>
      <c r="K43" s="29"/>
      <c r="L43" s="29"/>
      <c r="M43" s="29"/>
      <c r="N43" s="29"/>
      <c r="P43" s="4">
        <f t="shared" si="4"/>
        <v>2.4251024327592779E-2</v>
      </c>
      <c r="Q43" s="4">
        <f t="shared" si="4"/>
        <v>-8.2822904060893873E-3</v>
      </c>
      <c r="R43" s="4">
        <f t="shared" si="4"/>
        <v>-1.8152746507078269E-2</v>
      </c>
      <c r="S43" s="4">
        <f t="shared" si="4"/>
        <v>2.4560367443132454E-2</v>
      </c>
      <c r="T43" s="4">
        <f t="shared" si="4"/>
        <v>2.2802102627407457E-2</v>
      </c>
      <c r="U43" s="35"/>
      <c r="V43" s="35"/>
      <c r="W43" s="35"/>
      <c r="X43" s="35"/>
    </row>
    <row r="44" spans="4:24" x14ac:dyDescent="0.3">
      <c r="D44" s="23">
        <v>39646</v>
      </c>
      <c r="E44" s="5">
        <v>92.495887999999994</v>
      </c>
      <c r="F44" s="28">
        <v>47.233609999999999</v>
      </c>
      <c r="G44" s="28">
        <v>94.22</v>
      </c>
      <c r="H44" s="28">
        <v>39.744</v>
      </c>
      <c r="I44" s="28">
        <v>46.691780000000001</v>
      </c>
      <c r="J44" s="29"/>
      <c r="K44" s="29"/>
      <c r="L44" s="29"/>
      <c r="M44" s="29"/>
      <c r="N44" s="29"/>
      <c r="P44" s="4">
        <f t="shared" si="4"/>
        <v>9.953346018776732E-3</v>
      </c>
      <c r="Q44" s="4">
        <f t="shared" si="4"/>
        <v>-4.6300280776338321E-3</v>
      </c>
      <c r="R44" s="4">
        <f t="shared" si="4"/>
        <v>-2.3322389454170779E-3</v>
      </c>
      <c r="S44" s="4">
        <f t="shared" si="4"/>
        <v>6.5945120995821085E-3</v>
      </c>
      <c r="T44" s="4">
        <f t="shared" si="4"/>
        <v>1.041302465595436E-2</v>
      </c>
      <c r="U44" s="35"/>
      <c r="V44" s="35"/>
      <c r="W44" s="35"/>
      <c r="X44" s="35"/>
    </row>
    <row r="45" spans="4:24" x14ac:dyDescent="0.3">
      <c r="D45" s="23">
        <v>39647</v>
      </c>
      <c r="E45" s="5">
        <v>93.072165999999996</v>
      </c>
      <c r="F45" s="28">
        <v>47.158470000000001</v>
      </c>
      <c r="G45" s="28">
        <v>94.17</v>
      </c>
      <c r="H45" s="28">
        <v>38.829650000000001</v>
      </c>
      <c r="I45" s="28">
        <v>46.952190000000002</v>
      </c>
      <c r="J45" s="29"/>
      <c r="K45" s="29"/>
      <c r="L45" s="29"/>
      <c r="M45" s="29"/>
      <c r="N45" s="29"/>
      <c r="P45" s="4">
        <f t="shared" si="4"/>
        <v>6.2109812560122738E-3</v>
      </c>
      <c r="Q45" s="4">
        <f t="shared" si="4"/>
        <v>-1.5920830618760347E-3</v>
      </c>
      <c r="R45" s="4">
        <f t="shared" si="4"/>
        <v>-5.3081374992317324E-4</v>
      </c>
      <c r="S45" s="4">
        <f t="shared" si="4"/>
        <v>-2.327475625730106E-2</v>
      </c>
      <c r="T45" s="4">
        <f t="shared" si="4"/>
        <v>5.561717882425217E-3</v>
      </c>
      <c r="U45" s="35"/>
      <c r="V45" s="35"/>
      <c r="W45" s="35"/>
      <c r="X45" s="35"/>
    </row>
    <row r="46" spans="4:24" x14ac:dyDescent="0.3">
      <c r="D46" s="23">
        <v>39650</v>
      </c>
      <c r="E46" s="5">
        <v>93.123856000000004</v>
      </c>
      <c r="F46" s="28">
        <v>47.258670000000002</v>
      </c>
      <c r="G46" s="28">
        <v>95.12</v>
      </c>
      <c r="H46" s="28">
        <v>38.995100000000001</v>
      </c>
      <c r="I46" s="28">
        <v>47.078699999999998</v>
      </c>
      <c r="J46" s="29"/>
      <c r="K46" s="29"/>
      <c r="L46" s="29"/>
      <c r="M46" s="29"/>
      <c r="N46" s="29"/>
      <c r="P46" s="4">
        <f t="shared" si="4"/>
        <v>5.5522132828248459E-4</v>
      </c>
      <c r="Q46" s="4">
        <f t="shared" si="4"/>
        <v>2.1224967758329649E-3</v>
      </c>
      <c r="R46" s="4">
        <f t="shared" si="4"/>
        <v>1.0037592860554624E-2</v>
      </c>
      <c r="S46" s="4">
        <f t="shared" si="4"/>
        <v>4.2518671567980133E-3</v>
      </c>
      <c r="T46" s="4">
        <f t="shared" si="4"/>
        <v>2.6908195026773703E-3</v>
      </c>
      <c r="U46" s="35"/>
      <c r="V46" s="35"/>
      <c r="W46" s="35"/>
      <c r="X46" s="35"/>
    </row>
    <row r="47" spans="4:24" x14ac:dyDescent="0.3">
      <c r="D47" s="23">
        <v>39651</v>
      </c>
      <c r="E47" s="5">
        <v>94.180335999999997</v>
      </c>
      <c r="F47" s="28">
        <v>47.114620000000002</v>
      </c>
      <c r="G47" s="28">
        <v>93.06</v>
      </c>
      <c r="H47" s="28">
        <v>38.995100000000001</v>
      </c>
      <c r="I47" s="28">
        <v>47.703740000000003</v>
      </c>
      <c r="J47" s="29"/>
      <c r="K47" s="29"/>
      <c r="L47" s="29"/>
      <c r="M47" s="29"/>
      <c r="N47" s="29"/>
      <c r="P47" s="4">
        <f t="shared" si="4"/>
        <v>1.1281020384976003E-2</v>
      </c>
      <c r="Q47" s="4">
        <f t="shared" si="4"/>
        <v>-3.0527729164022042E-3</v>
      </c>
      <c r="R47" s="4">
        <f t="shared" si="4"/>
        <v>-2.1894805966024007E-2</v>
      </c>
      <c r="S47" s="4">
        <f t="shared" si="4"/>
        <v>0</v>
      </c>
      <c r="T47" s="4">
        <f t="shared" si="4"/>
        <v>1.3189132092745467E-2</v>
      </c>
      <c r="U47" s="35"/>
      <c r="V47" s="35"/>
      <c r="W47" s="35"/>
      <c r="X47" s="35"/>
    </row>
    <row r="48" spans="4:24" x14ac:dyDescent="0.3">
      <c r="D48" s="23">
        <v>39652</v>
      </c>
      <c r="E48" s="5">
        <v>94.690101999999996</v>
      </c>
      <c r="F48" s="28">
        <v>47.133409999999998</v>
      </c>
      <c r="G48" s="28">
        <v>90.57</v>
      </c>
      <c r="H48" s="28">
        <v>39.508899999999997</v>
      </c>
      <c r="I48" s="28">
        <v>47.93441</v>
      </c>
      <c r="J48" s="29"/>
      <c r="K48" s="29"/>
      <c r="L48" s="29"/>
      <c r="M48" s="29"/>
      <c r="N48" s="29"/>
      <c r="P48" s="4">
        <f t="shared" si="4"/>
        <v>5.3980627486249922E-3</v>
      </c>
      <c r="Q48" s="4">
        <f t="shared" si="4"/>
        <v>3.9873513003817662E-4</v>
      </c>
      <c r="R48" s="4">
        <f t="shared" si="4"/>
        <v>-2.7121414029645467E-2</v>
      </c>
      <c r="S48" s="4">
        <f t="shared" si="4"/>
        <v>1.3089965772321379E-2</v>
      </c>
      <c r="T48" s="4">
        <f t="shared" si="4"/>
        <v>4.8238165897633951E-3</v>
      </c>
      <c r="U48" s="35"/>
      <c r="V48" s="35"/>
      <c r="W48" s="35"/>
      <c r="X48" s="35"/>
    </row>
    <row r="49" spans="4:24" x14ac:dyDescent="0.3">
      <c r="D49" s="23">
        <v>39653</v>
      </c>
      <c r="E49" s="5">
        <v>92.724914999999996</v>
      </c>
      <c r="F49" s="28">
        <v>47.471620000000001</v>
      </c>
      <c r="G49" s="28">
        <v>91.33</v>
      </c>
      <c r="H49" s="28">
        <v>38.916719999999998</v>
      </c>
      <c r="I49" s="28">
        <v>46.810830000000003</v>
      </c>
      <c r="J49" s="29"/>
      <c r="K49" s="29"/>
      <c r="L49" s="29"/>
      <c r="M49" s="29"/>
      <c r="N49" s="29"/>
      <c r="P49" s="4">
        <f t="shared" si="4"/>
        <v>-2.0972268508010608E-2</v>
      </c>
      <c r="Q49" s="4">
        <f t="shared" si="4"/>
        <v>7.1499674135868429E-3</v>
      </c>
      <c r="R49" s="4">
        <f t="shared" si="4"/>
        <v>8.3562883167304109E-3</v>
      </c>
      <c r="S49" s="4">
        <f t="shared" si="4"/>
        <v>-1.5101984653195271E-2</v>
      </c>
      <c r="T49" s="4">
        <f t="shared" si="4"/>
        <v>-2.3719031710221182E-2</v>
      </c>
      <c r="U49" s="35"/>
      <c r="V49" s="35"/>
      <c r="W49" s="35"/>
      <c r="X49" s="35"/>
    </row>
    <row r="50" spans="4:24" x14ac:dyDescent="0.3">
      <c r="D50" s="23">
        <v>39654</v>
      </c>
      <c r="E50" s="5">
        <v>92.702743999999996</v>
      </c>
      <c r="F50" s="28">
        <v>47.17098</v>
      </c>
      <c r="G50" s="28">
        <v>91.69</v>
      </c>
      <c r="H50" s="28">
        <v>39.421810000000001</v>
      </c>
      <c r="I50" s="28">
        <v>46.952190000000002</v>
      </c>
      <c r="J50" s="29"/>
      <c r="K50" s="29"/>
      <c r="L50" s="29"/>
      <c r="M50" s="29"/>
      <c r="N50" s="29"/>
      <c r="P50" s="4">
        <f t="shared" si="4"/>
        <v>-2.3913368938835642E-4</v>
      </c>
      <c r="Q50" s="4">
        <f t="shared" si="4"/>
        <v>-6.3531858006068776E-3</v>
      </c>
      <c r="R50" s="4">
        <f t="shared" si="4"/>
        <v>3.9340013582217712E-3</v>
      </c>
      <c r="S50" s="4">
        <f t="shared" si="4"/>
        <v>1.2895238119632777E-2</v>
      </c>
      <c r="T50" s="4">
        <f t="shared" si="4"/>
        <v>3.0152635250347134E-3</v>
      </c>
      <c r="U50" s="35"/>
      <c r="V50" s="35"/>
      <c r="W50" s="35"/>
      <c r="X50" s="35"/>
    </row>
    <row r="51" spans="4:24" x14ac:dyDescent="0.3">
      <c r="D51" s="23">
        <v>39657</v>
      </c>
      <c r="E51" s="5">
        <v>91.343376000000006</v>
      </c>
      <c r="F51" s="28">
        <v>47.484169999999999</v>
      </c>
      <c r="G51" s="28">
        <v>91.73</v>
      </c>
      <c r="H51" s="28">
        <v>38.681620000000002</v>
      </c>
      <c r="I51" s="28">
        <v>46.319719999999997</v>
      </c>
      <c r="J51" s="29"/>
      <c r="K51" s="29"/>
      <c r="L51" s="29"/>
      <c r="M51" s="29"/>
      <c r="N51" s="29"/>
      <c r="P51" s="4">
        <f t="shared" si="4"/>
        <v>-1.4772305117111674E-2</v>
      </c>
      <c r="Q51" s="4">
        <f t="shared" si="4"/>
        <v>6.6175193409434077E-3</v>
      </c>
      <c r="R51" s="4">
        <f t="shared" si="4"/>
        <v>4.3615745975495812E-4</v>
      </c>
      <c r="S51" s="4">
        <f t="shared" si="4"/>
        <v>-1.8954664631589641E-2</v>
      </c>
      <c r="T51" s="4">
        <f t="shared" si="4"/>
        <v>-1.3562061592362161E-2</v>
      </c>
      <c r="U51" s="35"/>
      <c r="V51" s="35"/>
      <c r="W51" s="35"/>
      <c r="X51" s="35"/>
    </row>
    <row r="52" spans="4:24" x14ac:dyDescent="0.3">
      <c r="D52" s="23">
        <v>39658</v>
      </c>
      <c r="E52" s="5">
        <v>93.293785</v>
      </c>
      <c r="F52" s="28">
        <v>47.409010000000002</v>
      </c>
      <c r="G52" s="28">
        <v>90.59</v>
      </c>
      <c r="H52" s="28">
        <v>39.482770000000002</v>
      </c>
      <c r="I52" s="28">
        <v>47.301940000000002</v>
      </c>
      <c r="J52" s="29"/>
      <c r="K52" s="29"/>
      <c r="L52" s="29"/>
      <c r="M52" s="29"/>
      <c r="N52" s="29"/>
      <c r="P52" s="4">
        <f t="shared" si="4"/>
        <v>2.1127724678850168E-2</v>
      </c>
      <c r="Q52" s="4">
        <f t="shared" si="4"/>
        <v>-1.5840973127253806E-3</v>
      </c>
      <c r="R52" s="4">
        <f t="shared" si="4"/>
        <v>-1.2505647840367767E-2</v>
      </c>
      <c r="S52" s="4">
        <f t="shared" si="4"/>
        <v>2.0499822393751494E-2</v>
      </c>
      <c r="T52" s="4">
        <f t="shared" si="4"/>
        <v>2.0983521114497122E-2</v>
      </c>
      <c r="U52" s="35"/>
      <c r="V52" s="35"/>
      <c r="W52" s="35"/>
      <c r="X52" s="35"/>
    </row>
    <row r="53" spans="4:24" x14ac:dyDescent="0.3">
      <c r="D53" s="23">
        <v>39659</v>
      </c>
      <c r="E53" s="5">
        <v>94.956023999999999</v>
      </c>
      <c r="F53" s="28">
        <v>47.421529999999997</v>
      </c>
      <c r="G53" s="28">
        <v>89.52</v>
      </c>
      <c r="H53" s="28">
        <v>39.683059999999998</v>
      </c>
      <c r="I53" s="28">
        <v>47.93441</v>
      </c>
      <c r="J53" s="29"/>
      <c r="K53" s="29"/>
      <c r="L53" s="29"/>
      <c r="M53" s="29"/>
      <c r="N53" s="29"/>
      <c r="P53" s="4">
        <f t="shared" ref="P53:T68" si="5">LN(E53/E52)</f>
        <v>1.7660386605216051E-2</v>
      </c>
      <c r="Q53" s="4">
        <f t="shared" si="5"/>
        <v>2.6404995843606709E-4</v>
      </c>
      <c r="R53" s="4">
        <f t="shared" si="5"/>
        <v>-1.1881767677526743E-2</v>
      </c>
      <c r="S53" s="4">
        <f t="shared" si="5"/>
        <v>5.06002216736631E-3</v>
      </c>
      <c r="T53" s="4">
        <f t="shared" si="5"/>
        <v>1.3282308663051426E-2</v>
      </c>
      <c r="U53" s="35"/>
      <c r="V53" s="35"/>
      <c r="W53" s="35"/>
      <c r="X53" s="35"/>
    </row>
    <row r="54" spans="4:24" x14ac:dyDescent="0.3">
      <c r="D54" s="23">
        <v>39660</v>
      </c>
      <c r="E54" s="5">
        <v>93.700126999999995</v>
      </c>
      <c r="F54" s="28">
        <v>47.584339999999997</v>
      </c>
      <c r="G54" s="28">
        <v>90.08</v>
      </c>
      <c r="H54" s="28">
        <v>39.587269999999997</v>
      </c>
      <c r="I54" s="28">
        <v>47.391219999999997</v>
      </c>
      <c r="J54" s="29"/>
      <c r="K54" s="29"/>
      <c r="L54" s="29"/>
      <c r="M54" s="29"/>
      <c r="N54" s="29"/>
      <c r="P54" s="4">
        <f t="shared" si="5"/>
        <v>-1.331433453066719E-2</v>
      </c>
      <c r="Q54" s="4">
        <f t="shared" si="5"/>
        <v>3.4273705272234748E-3</v>
      </c>
      <c r="R54" s="4">
        <f t="shared" si="5"/>
        <v>6.2361003877103895E-3</v>
      </c>
      <c r="S54" s="4">
        <f t="shared" si="5"/>
        <v>-2.4167944456632384E-3</v>
      </c>
      <c r="T54" s="4">
        <f t="shared" si="5"/>
        <v>-1.1396638643067199E-2</v>
      </c>
      <c r="U54" s="35"/>
      <c r="V54" s="35"/>
      <c r="W54" s="35"/>
      <c r="X54" s="35"/>
    </row>
    <row r="55" spans="4:24" x14ac:dyDescent="0.3">
      <c r="D55" s="23">
        <v>39661</v>
      </c>
      <c r="E55" s="5">
        <v>93.205139000000003</v>
      </c>
      <c r="F55" s="28">
        <v>47.668660000000003</v>
      </c>
      <c r="G55" s="28">
        <v>89.57</v>
      </c>
      <c r="H55" s="28">
        <v>39.0822</v>
      </c>
      <c r="I55" s="28">
        <v>47.182879999999997</v>
      </c>
      <c r="J55" s="29"/>
      <c r="K55" s="29"/>
      <c r="L55" s="29"/>
      <c r="M55" s="29"/>
      <c r="N55" s="29"/>
      <c r="P55" s="4">
        <f t="shared" si="5"/>
        <v>-5.2966849766004865E-3</v>
      </c>
      <c r="Q55" s="4">
        <f t="shared" si="5"/>
        <v>1.7704433881322564E-3</v>
      </c>
      <c r="R55" s="4">
        <f t="shared" si="5"/>
        <v>-5.6777219042763389E-3</v>
      </c>
      <c r="S55" s="4">
        <f t="shared" si="5"/>
        <v>-1.2840481563105683E-2</v>
      </c>
      <c r="T55" s="4">
        <f t="shared" si="5"/>
        <v>-4.4058645446978621E-3</v>
      </c>
      <c r="U55" s="35"/>
      <c r="V55" s="35"/>
      <c r="W55" s="35"/>
      <c r="X55" s="35"/>
    </row>
    <row r="56" spans="4:24" x14ac:dyDescent="0.3">
      <c r="D56" s="23">
        <v>39664</v>
      </c>
      <c r="E56" s="5">
        <v>92.340744000000001</v>
      </c>
      <c r="F56" s="28">
        <v>47.580660000000002</v>
      </c>
      <c r="G56" s="28">
        <v>88.14</v>
      </c>
      <c r="H56" s="28">
        <v>38.690309999999997</v>
      </c>
      <c r="I56" s="28">
        <v>46.788499999999999</v>
      </c>
      <c r="J56" s="29"/>
      <c r="K56" s="29"/>
      <c r="L56" s="29"/>
      <c r="M56" s="29"/>
      <c r="N56" s="29"/>
      <c r="P56" s="4">
        <f t="shared" si="5"/>
        <v>-9.3173854300276047E-3</v>
      </c>
      <c r="Q56" s="4">
        <f t="shared" si="5"/>
        <v>-1.8477827461278703E-3</v>
      </c>
      <c r="R56" s="4">
        <f t="shared" si="5"/>
        <v>-1.6093983073262954E-2</v>
      </c>
      <c r="S56" s="4">
        <f t="shared" si="5"/>
        <v>-1.0077939283399995E-2</v>
      </c>
      <c r="T56" s="4">
        <f t="shared" si="5"/>
        <v>-8.3936686990716252E-3</v>
      </c>
      <c r="U56" s="35"/>
      <c r="V56" s="35"/>
      <c r="W56" s="35"/>
      <c r="X56" s="35"/>
    </row>
    <row r="57" spans="4:24" x14ac:dyDescent="0.3">
      <c r="D57" s="23">
        <v>39665</v>
      </c>
      <c r="E57" s="5">
        <v>94.830421000000001</v>
      </c>
      <c r="F57" s="28">
        <v>47.385640000000002</v>
      </c>
      <c r="G57" s="28">
        <v>86.08</v>
      </c>
      <c r="H57" s="28">
        <v>39.996560000000002</v>
      </c>
      <c r="I57" s="28">
        <v>47.986499999999999</v>
      </c>
      <c r="J57" s="29"/>
      <c r="K57" s="29"/>
      <c r="L57" s="29"/>
      <c r="M57" s="29"/>
      <c r="N57" s="29"/>
      <c r="P57" s="4">
        <f t="shared" si="5"/>
        <v>2.6604780182768024E-2</v>
      </c>
      <c r="Q57" s="4">
        <f t="shared" si="5"/>
        <v>-4.1071469383075088E-3</v>
      </c>
      <c r="R57" s="4">
        <f t="shared" si="5"/>
        <v>-2.3649363000366675E-2</v>
      </c>
      <c r="S57" s="4">
        <f t="shared" si="5"/>
        <v>3.320426932909544E-2</v>
      </c>
      <c r="T57" s="4">
        <f t="shared" si="5"/>
        <v>2.5282275117519789E-2</v>
      </c>
      <c r="U57" s="35"/>
      <c r="V57" s="35"/>
      <c r="W57" s="35"/>
      <c r="X57" s="35"/>
    </row>
    <row r="58" spans="4:24" x14ac:dyDescent="0.3">
      <c r="D58" s="23">
        <v>39666</v>
      </c>
      <c r="E58" s="5">
        <v>95.251548999999997</v>
      </c>
      <c r="F58" s="28">
        <v>47.322780000000002</v>
      </c>
      <c r="G58" s="28">
        <v>86.64</v>
      </c>
      <c r="H58" s="28">
        <v>40.606099999999998</v>
      </c>
      <c r="I58" s="28">
        <v>48.046019999999999</v>
      </c>
      <c r="J58" s="29"/>
      <c r="K58" s="29"/>
      <c r="L58" s="29"/>
      <c r="M58" s="29"/>
      <c r="N58" s="29"/>
      <c r="P58" s="4">
        <f t="shared" si="5"/>
        <v>4.4310219326304688E-3</v>
      </c>
      <c r="Q58" s="4">
        <f t="shared" si="5"/>
        <v>-1.327442886925851E-3</v>
      </c>
      <c r="R58" s="4">
        <f t="shared" si="5"/>
        <v>6.4845062792609348E-3</v>
      </c>
      <c r="S58" s="4">
        <f t="shared" si="5"/>
        <v>1.5124851211535537E-2</v>
      </c>
      <c r="T58" s="4">
        <f t="shared" si="5"/>
        <v>1.2395802509676478E-3</v>
      </c>
      <c r="U58" s="35"/>
      <c r="V58" s="35"/>
      <c r="W58" s="35"/>
      <c r="X58" s="35"/>
    </row>
    <row r="59" spans="4:24" x14ac:dyDescent="0.3">
      <c r="D59" s="23">
        <v>39667</v>
      </c>
      <c r="E59" s="5">
        <v>93.833099000000004</v>
      </c>
      <c r="F59" s="28">
        <v>47.62462</v>
      </c>
      <c r="G59" s="28">
        <v>86.09</v>
      </c>
      <c r="H59" s="28">
        <v>40.292630000000003</v>
      </c>
      <c r="I59" s="28">
        <v>47.361460000000001</v>
      </c>
      <c r="J59" s="29"/>
      <c r="K59" s="29"/>
      <c r="L59" s="29"/>
      <c r="M59" s="29"/>
      <c r="N59" s="29"/>
      <c r="P59" s="4">
        <f t="shared" si="5"/>
        <v>-1.5003614768953897E-2</v>
      </c>
      <c r="Q59" s="4">
        <f t="shared" si="5"/>
        <v>6.3580680845090774E-3</v>
      </c>
      <c r="R59" s="4">
        <f t="shared" si="5"/>
        <v>-6.3683420228718198E-3</v>
      </c>
      <c r="S59" s="4">
        <f t="shared" si="5"/>
        <v>-7.7497278108290268E-3</v>
      </c>
      <c r="T59" s="4">
        <f t="shared" si="5"/>
        <v>-1.4350483797370977E-2</v>
      </c>
      <c r="U59" s="35"/>
      <c r="V59" s="35"/>
      <c r="W59" s="35"/>
      <c r="X59" s="35"/>
    </row>
    <row r="60" spans="4:24" x14ac:dyDescent="0.3">
      <c r="D60" s="23">
        <v>39668</v>
      </c>
      <c r="E60" s="5">
        <v>95.576614000000006</v>
      </c>
      <c r="F60" s="28">
        <v>47.605759999999997</v>
      </c>
      <c r="G60" s="28">
        <v>84.43</v>
      </c>
      <c r="H60" s="28">
        <v>41.206980000000001</v>
      </c>
      <c r="I60" s="28">
        <v>48.365969999999997</v>
      </c>
      <c r="J60" s="29"/>
      <c r="K60" s="29"/>
      <c r="L60" s="29"/>
      <c r="M60" s="29"/>
      <c r="N60" s="29"/>
      <c r="P60" s="4">
        <f t="shared" si="5"/>
        <v>1.8410505128386028E-2</v>
      </c>
      <c r="Q60" s="4">
        <f t="shared" si="5"/>
        <v>-3.9609209259859856E-4</v>
      </c>
      <c r="R60" s="4">
        <f t="shared" si="5"/>
        <v>-1.9470471988454707E-2</v>
      </c>
      <c r="S60" s="4">
        <f t="shared" si="5"/>
        <v>2.24390856652582E-2</v>
      </c>
      <c r="T60" s="4">
        <f t="shared" si="5"/>
        <v>2.098764945559951E-2</v>
      </c>
      <c r="U60" s="35"/>
      <c r="V60" s="35"/>
      <c r="W60" s="35"/>
      <c r="X60" s="35"/>
    </row>
    <row r="61" spans="4:24" x14ac:dyDescent="0.3">
      <c r="D61" s="23">
        <v>39671</v>
      </c>
      <c r="E61" s="5">
        <v>96.56662</v>
      </c>
      <c r="F61" s="28">
        <v>47.404510000000002</v>
      </c>
      <c r="G61" s="28">
        <v>81.13</v>
      </c>
      <c r="H61" s="28">
        <v>41.581429999999997</v>
      </c>
      <c r="I61" s="28">
        <v>48.849640000000001</v>
      </c>
      <c r="J61" s="29"/>
      <c r="K61" s="29"/>
      <c r="L61" s="29"/>
      <c r="M61" s="29"/>
      <c r="N61" s="29"/>
      <c r="P61" s="4">
        <f t="shared" si="5"/>
        <v>1.0304966147333504E-2</v>
      </c>
      <c r="Q61" s="4">
        <f t="shared" si="5"/>
        <v>-4.2363904657069821E-3</v>
      </c>
      <c r="R61" s="4">
        <f t="shared" si="5"/>
        <v>-3.9869982274435029E-2</v>
      </c>
      <c r="S61" s="4">
        <f t="shared" si="5"/>
        <v>9.0460138911940009E-3</v>
      </c>
      <c r="T61" s="4">
        <f t="shared" si="5"/>
        <v>9.9505417042837323E-3</v>
      </c>
      <c r="U61" s="35"/>
      <c r="V61" s="35"/>
      <c r="W61" s="35"/>
      <c r="X61" s="35"/>
    </row>
    <row r="62" spans="4:24" x14ac:dyDescent="0.3">
      <c r="D62" s="23">
        <v>39672</v>
      </c>
      <c r="E62" s="5">
        <v>95.561890000000005</v>
      </c>
      <c r="F62" s="28">
        <v>47.61833</v>
      </c>
      <c r="G62" s="28">
        <v>80.52</v>
      </c>
      <c r="H62" s="28">
        <v>41.624980000000001</v>
      </c>
      <c r="I62" s="28">
        <v>48.313890000000001</v>
      </c>
      <c r="J62" s="29"/>
      <c r="K62" s="29"/>
      <c r="L62" s="29"/>
      <c r="M62" s="29"/>
      <c r="N62" s="29"/>
      <c r="P62" s="4">
        <f t="shared" si="5"/>
        <v>-1.0459032436657674E-2</v>
      </c>
      <c r="Q62" s="4">
        <f t="shared" si="5"/>
        <v>4.5003992910581676E-3</v>
      </c>
      <c r="R62" s="4">
        <f t="shared" si="5"/>
        <v>-7.5472056353828544E-3</v>
      </c>
      <c r="S62" s="4">
        <f t="shared" si="5"/>
        <v>1.0467944471288929E-3</v>
      </c>
      <c r="T62" s="4">
        <f t="shared" si="5"/>
        <v>-1.102791200741712E-2</v>
      </c>
      <c r="U62" s="35"/>
      <c r="V62" s="35"/>
      <c r="W62" s="35"/>
      <c r="X62" s="35"/>
    </row>
    <row r="63" spans="4:24" x14ac:dyDescent="0.3">
      <c r="D63" s="23">
        <v>39673</v>
      </c>
      <c r="E63" s="5">
        <v>94.985596000000001</v>
      </c>
      <c r="F63" s="28">
        <v>47.49259</v>
      </c>
      <c r="G63" s="28">
        <v>81.56</v>
      </c>
      <c r="H63" s="28">
        <v>41.5379</v>
      </c>
      <c r="I63" s="28">
        <v>48.202269999999999</v>
      </c>
      <c r="J63" s="29"/>
      <c r="K63" s="29"/>
      <c r="L63" s="29"/>
      <c r="M63" s="29"/>
      <c r="N63" s="29"/>
      <c r="P63" s="4">
        <f t="shared" si="5"/>
        <v>-6.0488413596018354E-3</v>
      </c>
      <c r="Q63" s="4">
        <f t="shared" si="5"/>
        <v>-2.6440722738305606E-3</v>
      </c>
      <c r="R63" s="4">
        <f t="shared" si="5"/>
        <v>1.2833344934663666E-2</v>
      </c>
      <c r="S63" s="4">
        <f t="shared" si="5"/>
        <v>-2.0942043331231629E-3</v>
      </c>
      <c r="T63" s="4">
        <f t="shared" si="5"/>
        <v>-2.3129815724710566E-3</v>
      </c>
      <c r="U63" s="35"/>
      <c r="V63" s="35"/>
      <c r="W63" s="35"/>
      <c r="X63" s="35"/>
    </row>
    <row r="64" spans="4:24" x14ac:dyDescent="0.3">
      <c r="D64" s="23">
        <v>39674</v>
      </c>
      <c r="E64" s="5">
        <v>95.702217000000005</v>
      </c>
      <c r="F64" s="28">
        <v>47.612070000000003</v>
      </c>
      <c r="G64" s="28">
        <v>79.349999999999994</v>
      </c>
      <c r="H64" s="28">
        <v>42.016829999999999</v>
      </c>
      <c r="I64" s="28">
        <v>48.455260000000003</v>
      </c>
      <c r="J64" s="29"/>
      <c r="K64" s="29"/>
      <c r="L64" s="29"/>
      <c r="M64" s="29"/>
      <c r="N64" s="29"/>
      <c r="P64" s="4">
        <f t="shared" si="5"/>
        <v>7.5162052825028343E-3</v>
      </c>
      <c r="Q64" s="4">
        <f t="shared" si="5"/>
        <v>2.512601650814913E-3</v>
      </c>
      <c r="R64" s="4">
        <f t="shared" si="5"/>
        <v>-2.7470498733836481E-2</v>
      </c>
      <c r="S64" s="4">
        <f t="shared" si="5"/>
        <v>1.1463988817665699E-2</v>
      </c>
      <c r="T64" s="4">
        <f t="shared" si="5"/>
        <v>5.234782592156143E-3</v>
      </c>
      <c r="U64" s="35"/>
      <c r="V64" s="35"/>
      <c r="W64" s="35"/>
      <c r="X64" s="35"/>
    </row>
    <row r="65" spans="4:24" x14ac:dyDescent="0.3">
      <c r="D65" s="23">
        <v>39675</v>
      </c>
      <c r="E65" s="5">
        <v>96.167655999999994</v>
      </c>
      <c r="F65" s="28">
        <v>47.762979999999999</v>
      </c>
      <c r="G65" s="28">
        <v>77.63</v>
      </c>
      <c r="H65" s="28">
        <v>41.938459999999999</v>
      </c>
      <c r="I65" s="28">
        <v>48.738030000000002</v>
      </c>
      <c r="J65" s="29"/>
      <c r="K65" s="29"/>
      <c r="L65" s="29"/>
      <c r="M65" s="29"/>
      <c r="N65" s="29"/>
      <c r="P65" s="4">
        <f t="shared" si="5"/>
        <v>4.8516205873223063E-3</v>
      </c>
      <c r="Q65" s="4">
        <f t="shared" si="5"/>
        <v>3.1645619255781191E-3</v>
      </c>
      <c r="R65" s="4">
        <f t="shared" si="5"/>
        <v>-2.1914496554829063E-2</v>
      </c>
      <c r="S65" s="4">
        <f t="shared" si="5"/>
        <v>-1.8669466275001764E-3</v>
      </c>
      <c r="T65" s="4">
        <f t="shared" si="5"/>
        <v>5.8187308573741979E-3</v>
      </c>
      <c r="U65" s="35"/>
      <c r="V65" s="35"/>
      <c r="W65" s="35"/>
      <c r="X65" s="35"/>
    </row>
    <row r="66" spans="4:24" x14ac:dyDescent="0.3">
      <c r="D66" s="23">
        <v>39678</v>
      </c>
      <c r="E66" s="5">
        <v>94.852608000000004</v>
      </c>
      <c r="F66" s="28">
        <v>47.888759999999998</v>
      </c>
      <c r="G66" s="28">
        <v>78.8</v>
      </c>
      <c r="H66" s="28">
        <v>41.450789999999998</v>
      </c>
      <c r="I66" s="28">
        <v>48.023699999999998</v>
      </c>
      <c r="J66" s="29"/>
      <c r="K66" s="29"/>
      <c r="L66" s="29"/>
      <c r="M66" s="29"/>
      <c r="N66" s="29"/>
      <c r="P66" s="4">
        <f t="shared" si="5"/>
        <v>-1.3768892872697652E-2</v>
      </c>
      <c r="Q66" s="4">
        <f t="shared" si="5"/>
        <v>2.6299589008703323E-3</v>
      </c>
      <c r="R66" s="4">
        <f t="shared" si="5"/>
        <v>1.4959046446244396E-2</v>
      </c>
      <c r="S66" s="4">
        <f t="shared" si="5"/>
        <v>-1.16963651700146E-2</v>
      </c>
      <c r="T66" s="4">
        <f t="shared" si="5"/>
        <v>-1.4764989779346023E-2</v>
      </c>
      <c r="U66" s="35"/>
      <c r="V66" s="35"/>
      <c r="W66" s="35"/>
      <c r="X66" s="35"/>
    </row>
    <row r="67" spans="4:24" x14ac:dyDescent="0.3">
      <c r="D67" s="23">
        <v>39679</v>
      </c>
      <c r="E67" s="5">
        <v>93.818320999999997</v>
      </c>
      <c r="F67" s="28">
        <v>47.800759999999997</v>
      </c>
      <c r="G67" s="28">
        <v>80.430000000000007</v>
      </c>
      <c r="H67" s="28">
        <v>40.937019999999997</v>
      </c>
      <c r="I67" s="28">
        <v>47.517719999999997</v>
      </c>
      <c r="J67" s="29"/>
      <c r="K67" s="29"/>
      <c r="L67" s="29"/>
      <c r="M67" s="29"/>
      <c r="N67" s="29"/>
      <c r="P67" s="4">
        <f t="shared" si="5"/>
        <v>-1.0964035280234154E-2</v>
      </c>
      <c r="Q67" s="4">
        <f t="shared" si="5"/>
        <v>-1.8392823959901316E-3</v>
      </c>
      <c r="R67" s="4">
        <f t="shared" si="5"/>
        <v>2.0474244052144288E-2</v>
      </c>
      <c r="S67" s="4">
        <f t="shared" si="5"/>
        <v>-1.2472152371149342E-2</v>
      </c>
      <c r="T67" s="4">
        <f t="shared" si="5"/>
        <v>-1.0591944948126087E-2</v>
      </c>
      <c r="U67" s="35"/>
      <c r="V67" s="35"/>
      <c r="W67" s="35"/>
      <c r="X67" s="35"/>
    </row>
    <row r="68" spans="4:24" x14ac:dyDescent="0.3">
      <c r="D68" s="23">
        <v>39680</v>
      </c>
      <c r="E68" s="5">
        <v>94.254195999999993</v>
      </c>
      <c r="F68" s="28">
        <v>47.907629999999997</v>
      </c>
      <c r="G68" s="28">
        <v>80.06</v>
      </c>
      <c r="H68" s="28">
        <v>41.006689999999999</v>
      </c>
      <c r="I68" s="28">
        <v>47.688850000000002</v>
      </c>
      <c r="J68" s="29"/>
      <c r="K68" s="29"/>
      <c r="L68" s="29"/>
      <c r="M68" s="29"/>
      <c r="N68" s="29"/>
      <c r="P68" s="4">
        <f t="shared" si="5"/>
        <v>4.6351884618692921E-3</v>
      </c>
      <c r="Q68" s="4">
        <f t="shared" si="5"/>
        <v>2.2332429668228877E-3</v>
      </c>
      <c r="R68" s="4">
        <f t="shared" si="5"/>
        <v>-4.6108873515501581E-3</v>
      </c>
      <c r="S68" s="4">
        <f t="shared" si="5"/>
        <v>1.7004359892289565E-3</v>
      </c>
      <c r="T68" s="4">
        <f t="shared" si="5"/>
        <v>3.5949238440061604E-3</v>
      </c>
      <c r="U68" s="35"/>
      <c r="V68" s="35"/>
      <c r="W68" s="35"/>
      <c r="X68" s="35"/>
    </row>
    <row r="69" spans="4:24" x14ac:dyDescent="0.3">
      <c r="D69" s="23">
        <v>39681</v>
      </c>
      <c r="E69" s="5">
        <v>94.416747999999998</v>
      </c>
      <c r="F69" s="28">
        <v>47.895069999999997</v>
      </c>
      <c r="G69" s="28">
        <v>82.3</v>
      </c>
      <c r="H69" s="28">
        <v>40.815089999999998</v>
      </c>
      <c r="I69" s="28">
        <v>47.815339999999999</v>
      </c>
      <c r="J69" s="29"/>
      <c r="K69" s="29"/>
      <c r="L69" s="29"/>
      <c r="M69" s="29"/>
      <c r="N69" s="29"/>
      <c r="P69" s="4">
        <f t="shared" ref="P69:T84" si="6">LN(E69/E68)</f>
        <v>1.7231274384291544E-3</v>
      </c>
      <c r="Q69" s="4">
        <f t="shared" si="6"/>
        <v>-2.6220555520800799E-4</v>
      </c>
      <c r="R69" s="4">
        <f t="shared" si="6"/>
        <v>2.7594754118596496E-2</v>
      </c>
      <c r="S69" s="4">
        <f t="shared" si="6"/>
        <v>-4.6833581525662282E-3</v>
      </c>
      <c r="T69" s="4">
        <f t="shared" si="6"/>
        <v>2.6488905661840112E-3</v>
      </c>
      <c r="U69" s="35"/>
      <c r="V69" s="35"/>
      <c r="W69" s="35"/>
      <c r="X69" s="35"/>
    </row>
    <row r="70" spans="4:24" x14ac:dyDescent="0.3">
      <c r="D70" s="23">
        <v>39682</v>
      </c>
      <c r="E70" s="5">
        <v>95.783493000000007</v>
      </c>
      <c r="F70" s="28">
        <v>47.794400000000003</v>
      </c>
      <c r="G70" s="28">
        <v>81.08</v>
      </c>
      <c r="H70" s="28">
        <v>41.35501</v>
      </c>
      <c r="I70" s="28">
        <v>48.485039999999998</v>
      </c>
      <c r="J70" s="29"/>
      <c r="K70" s="29"/>
      <c r="L70" s="29"/>
      <c r="M70" s="29"/>
      <c r="N70" s="29"/>
      <c r="P70" s="4">
        <f t="shared" si="6"/>
        <v>1.4371890571457416E-2</v>
      </c>
      <c r="Q70" s="4">
        <f t="shared" si="6"/>
        <v>-2.1040985416842539E-3</v>
      </c>
      <c r="R70" s="4">
        <f t="shared" si="6"/>
        <v>-1.4934786099224802E-2</v>
      </c>
      <c r="S70" s="4">
        <f t="shared" si="6"/>
        <v>1.3141708980016844E-2</v>
      </c>
      <c r="T70" s="4">
        <f t="shared" si="6"/>
        <v>1.390878823805858E-2</v>
      </c>
      <c r="U70" s="35"/>
      <c r="V70" s="35"/>
      <c r="W70" s="35"/>
      <c r="X70" s="35"/>
    </row>
    <row r="71" spans="4:24" x14ac:dyDescent="0.3">
      <c r="D71" s="23">
        <v>39685</v>
      </c>
      <c r="E71" s="5">
        <v>93.840462000000002</v>
      </c>
      <c r="F71" s="28">
        <v>47.926479999999998</v>
      </c>
      <c r="G71" s="28">
        <v>80.930000000000007</v>
      </c>
      <c r="H71" s="28">
        <v>40.484189999999998</v>
      </c>
      <c r="I71" s="28">
        <v>47.465620000000001</v>
      </c>
      <c r="J71" s="29"/>
      <c r="K71" s="29"/>
      <c r="L71" s="29"/>
      <c r="M71" s="29"/>
      <c r="N71" s="29"/>
      <c r="P71" s="4">
        <f t="shared" si="6"/>
        <v>-2.049423563416649E-2</v>
      </c>
      <c r="Q71" s="4">
        <f t="shared" si="6"/>
        <v>2.7596922181591043E-3</v>
      </c>
      <c r="R71" s="4">
        <f t="shared" si="6"/>
        <v>-1.8517380761886746E-3</v>
      </c>
      <c r="S71" s="4">
        <f t="shared" si="6"/>
        <v>-2.1282047424795003E-2</v>
      </c>
      <c r="T71" s="4">
        <f t="shared" si="6"/>
        <v>-2.1249637248740284E-2</v>
      </c>
      <c r="U71" s="35"/>
      <c r="V71" s="35"/>
      <c r="W71" s="35"/>
      <c r="X71" s="35"/>
    </row>
    <row r="72" spans="4:24" x14ac:dyDescent="0.3">
      <c r="D72" s="23">
        <v>39686</v>
      </c>
      <c r="E72" s="5">
        <v>94.113831000000005</v>
      </c>
      <c r="F72" s="28">
        <v>47.989379999999997</v>
      </c>
      <c r="G72" s="28">
        <v>81.23</v>
      </c>
      <c r="H72" s="28">
        <v>40.431950000000001</v>
      </c>
      <c r="I72" s="28">
        <v>47.621879999999997</v>
      </c>
      <c r="J72" s="29"/>
      <c r="K72" s="29"/>
      <c r="L72" s="29"/>
      <c r="M72" s="29"/>
      <c r="N72" s="29"/>
      <c r="P72" s="4">
        <f t="shared" si="6"/>
        <v>2.9088901179024251E-3</v>
      </c>
      <c r="Q72" s="4">
        <f t="shared" si="6"/>
        <v>1.311566387805986E-3</v>
      </c>
      <c r="R72" s="4">
        <f t="shared" si="6"/>
        <v>3.7000535552519638E-3</v>
      </c>
      <c r="S72" s="4">
        <f t="shared" si="6"/>
        <v>-1.2912135269432157E-3</v>
      </c>
      <c r="T72" s="4">
        <f t="shared" si="6"/>
        <v>3.2866599849982192E-3</v>
      </c>
      <c r="U72" s="35"/>
      <c r="V72" s="35"/>
      <c r="W72" s="35"/>
      <c r="X72" s="35"/>
    </row>
    <row r="73" spans="4:24" x14ac:dyDescent="0.3">
      <c r="D73" s="23">
        <v>39687</v>
      </c>
      <c r="E73" s="5">
        <v>95.029921999999999</v>
      </c>
      <c r="F73" s="28">
        <v>48.001939999999998</v>
      </c>
      <c r="G73" s="28">
        <v>81.36</v>
      </c>
      <c r="H73" s="28">
        <v>40.693190000000001</v>
      </c>
      <c r="I73" s="28">
        <v>47.941830000000003</v>
      </c>
      <c r="J73" s="29"/>
      <c r="K73" s="29"/>
      <c r="L73" s="29"/>
      <c r="M73" s="29"/>
      <c r="N73" s="29"/>
      <c r="P73" s="4">
        <f t="shared" si="6"/>
        <v>9.6867927047929146E-3</v>
      </c>
      <c r="Q73" s="4">
        <f t="shared" si="6"/>
        <v>2.6169032932732861E-4</v>
      </c>
      <c r="R73" s="4">
        <f t="shared" si="6"/>
        <v>1.5991146774419539E-3</v>
      </c>
      <c r="S73" s="4">
        <f t="shared" si="6"/>
        <v>6.4404425805305431E-3</v>
      </c>
      <c r="T73" s="4">
        <f t="shared" si="6"/>
        <v>6.6960815037247542E-3</v>
      </c>
      <c r="U73" s="35"/>
      <c r="V73" s="35"/>
      <c r="W73" s="35"/>
      <c r="X73" s="35"/>
    </row>
    <row r="74" spans="4:24" x14ac:dyDescent="0.3">
      <c r="D74" s="23">
        <v>39688</v>
      </c>
      <c r="E74" s="5">
        <v>96.182441999999995</v>
      </c>
      <c r="F74" s="28">
        <v>48.045990000000003</v>
      </c>
      <c r="G74" s="28">
        <v>82.18</v>
      </c>
      <c r="H74" s="28">
        <v>41.02411</v>
      </c>
      <c r="I74" s="28">
        <v>48.723140000000001</v>
      </c>
      <c r="J74" s="29"/>
      <c r="K74" s="29"/>
      <c r="L74" s="29"/>
      <c r="M74" s="29"/>
      <c r="N74" s="29"/>
      <c r="P74" s="4">
        <f t="shared" si="6"/>
        <v>1.2055014991694009E-2</v>
      </c>
      <c r="Q74" s="4">
        <f t="shared" si="6"/>
        <v>9.1725044128385406E-4</v>
      </c>
      <c r="R74" s="4">
        <f t="shared" si="6"/>
        <v>1.0028211714959278E-2</v>
      </c>
      <c r="S74" s="4">
        <f t="shared" si="6"/>
        <v>8.0991860705022563E-3</v>
      </c>
      <c r="T74" s="4">
        <f t="shared" si="6"/>
        <v>1.6165670249159377E-2</v>
      </c>
      <c r="U74" s="35"/>
      <c r="V74" s="35"/>
      <c r="W74" s="35"/>
      <c r="X74" s="35"/>
    </row>
    <row r="75" spans="4:24" x14ac:dyDescent="0.3">
      <c r="D75" s="23">
        <v>39689</v>
      </c>
      <c r="E75" s="5">
        <v>95.148116999999999</v>
      </c>
      <c r="F75" s="28">
        <v>47.983089999999997</v>
      </c>
      <c r="G75" s="28">
        <v>81.709999999999994</v>
      </c>
      <c r="H75" s="28">
        <v>40.161999999999999</v>
      </c>
      <c r="I75" s="28">
        <v>48.08323</v>
      </c>
      <c r="J75" s="29"/>
      <c r="K75" s="29"/>
      <c r="L75" s="29"/>
      <c r="M75" s="29"/>
      <c r="N75" s="29"/>
      <c r="P75" s="4">
        <f t="shared" si="6"/>
        <v>-1.0812021680379947E-2</v>
      </c>
      <c r="Q75" s="4">
        <f t="shared" si="6"/>
        <v>-1.310020027173165E-3</v>
      </c>
      <c r="R75" s="4">
        <f t="shared" si="6"/>
        <v>-5.7355700586477322E-3</v>
      </c>
      <c r="S75" s="4">
        <f t="shared" si="6"/>
        <v>-2.1238667711596292E-2</v>
      </c>
      <c r="T75" s="4">
        <f t="shared" si="6"/>
        <v>-1.3220603571736829E-2</v>
      </c>
      <c r="U75" s="35"/>
      <c r="V75" s="35"/>
      <c r="W75" s="35"/>
      <c r="X75" s="35"/>
    </row>
    <row r="76" spans="4:24" x14ac:dyDescent="0.3">
      <c r="D76" s="23">
        <v>39693</v>
      </c>
      <c r="E76" s="5">
        <v>94.557113999999999</v>
      </c>
      <c r="F76" s="28">
        <v>48.139650000000003</v>
      </c>
      <c r="G76" s="28">
        <v>79.2</v>
      </c>
      <c r="H76" s="28">
        <v>39.66563</v>
      </c>
      <c r="I76" s="28">
        <v>47.882309999999997</v>
      </c>
      <c r="J76" s="29"/>
      <c r="K76" s="29"/>
      <c r="L76" s="29"/>
      <c r="M76" s="29"/>
      <c r="N76" s="29"/>
      <c r="P76" s="4">
        <f t="shared" si="6"/>
        <v>-6.2307708533020341E-3</v>
      </c>
      <c r="Q76" s="4">
        <f t="shared" si="6"/>
        <v>3.2575046954041458E-3</v>
      </c>
      <c r="R76" s="4">
        <f t="shared" si="6"/>
        <v>-3.1200094576235751E-2</v>
      </c>
      <c r="S76" s="4">
        <f t="shared" si="6"/>
        <v>-1.2436205292140621E-2</v>
      </c>
      <c r="T76" s="4">
        <f t="shared" si="6"/>
        <v>-4.1873425309710407E-3</v>
      </c>
      <c r="U76" s="35"/>
      <c r="V76" s="35"/>
      <c r="W76" s="35"/>
      <c r="X76" s="35"/>
    </row>
    <row r="77" spans="4:24" x14ac:dyDescent="0.3">
      <c r="D77" s="23">
        <v>39694</v>
      </c>
      <c r="E77" s="5">
        <v>94.475807000000003</v>
      </c>
      <c r="F77" s="28">
        <v>48.202770000000001</v>
      </c>
      <c r="G77" s="28">
        <v>78.89</v>
      </c>
      <c r="H77" s="28">
        <v>39.291179999999997</v>
      </c>
      <c r="I77" s="28">
        <v>47.793030000000002</v>
      </c>
      <c r="J77" s="29"/>
      <c r="K77" s="29"/>
      <c r="L77" s="29"/>
      <c r="M77" s="29"/>
      <c r="N77" s="29"/>
      <c r="P77" s="4">
        <f t="shared" si="6"/>
        <v>-8.6024174608222007E-4</v>
      </c>
      <c r="Q77" s="4">
        <f t="shared" si="6"/>
        <v>1.3103264176088192E-3</v>
      </c>
      <c r="R77" s="4">
        <f t="shared" si="6"/>
        <v>-3.921821713382E-3</v>
      </c>
      <c r="S77" s="4">
        <f t="shared" si="6"/>
        <v>-9.4850034414436686E-3</v>
      </c>
      <c r="T77" s="4">
        <f t="shared" si="6"/>
        <v>-1.8663121743683418E-3</v>
      </c>
      <c r="U77" s="35"/>
      <c r="V77" s="35"/>
      <c r="W77" s="35"/>
      <c r="X77" s="35"/>
    </row>
    <row r="78" spans="4:24" x14ac:dyDescent="0.3">
      <c r="D78" s="23">
        <v>39695</v>
      </c>
      <c r="E78" s="5">
        <v>91.631523000000001</v>
      </c>
      <c r="F78" s="28">
        <v>48.228029999999997</v>
      </c>
      <c r="G78" s="28">
        <v>78.39</v>
      </c>
      <c r="H78" s="28">
        <v>38.019799999999996</v>
      </c>
      <c r="I78" s="28">
        <v>46.327159999999999</v>
      </c>
      <c r="J78" s="29"/>
      <c r="K78" s="29"/>
      <c r="L78" s="29"/>
      <c r="M78" s="29"/>
      <c r="N78" s="29"/>
      <c r="P78" s="4">
        <f t="shared" si="6"/>
        <v>-3.0568441108459861E-2</v>
      </c>
      <c r="Q78" s="4">
        <f t="shared" si="6"/>
        <v>5.2389901520580177E-4</v>
      </c>
      <c r="R78" s="4">
        <f t="shared" si="6"/>
        <v>-6.3581089063674146E-3</v>
      </c>
      <c r="S78" s="4">
        <f t="shared" si="6"/>
        <v>-3.2892989549505439E-2</v>
      </c>
      <c r="T78" s="4">
        <f t="shared" si="6"/>
        <v>-3.1151414790038971E-2</v>
      </c>
      <c r="U78" s="35"/>
      <c r="V78" s="35"/>
      <c r="W78" s="35"/>
      <c r="X78" s="35"/>
    </row>
    <row r="79" spans="4:24" x14ac:dyDescent="0.3">
      <c r="D79" s="23">
        <v>39696</v>
      </c>
      <c r="E79" s="5">
        <v>91.919646999999998</v>
      </c>
      <c r="F79" s="28">
        <v>48.265909999999998</v>
      </c>
      <c r="G79" s="28">
        <v>78.98</v>
      </c>
      <c r="H79" s="28">
        <v>37.836919999999999</v>
      </c>
      <c r="I79" s="28">
        <v>46.60248</v>
      </c>
      <c r="J79" s="29"/>
      <c r="K79" s="29"/>
      <c r="L79" s="29"/>
      <c r="M79" s="29"/>
      <c r="N79" s="29"/>
      <c r="P79" s="4">
        <f t="shared" si="6"/>
        <v>3.1394432042933635E-3</v>
      </c>
      <c r="Q79" s="4">
        <f t="shared" si="6"/>
        <v>7.8512706488827991E-4</v>
      </c>
      <c r="R79" s="4">
        <f t="shared" si="6"/>
        <v>7.4982876578724884E-3</v>
      </c>
      <c r="S79" s="4">
        <f t="shared" si="6"/>
        <v>-4.8217311351191599E-3</v>
      </c>
      <c r="T79" s="4">
        <f t="shared" si="6"/>
        <v>5.9253604240278738E-3</v>
      </c>
      <c r="U79" s="35"/>
      <c r="V79" s="35"/>
      <c r="W79" s="35"/>
      <c r="X79" s="35"/>
    </row>
    <row r="80" spans="4:24" x14ac:dyDescent="0.3">
      <c r="D80" s="23">
        <v>39699</v>
      </c>
      <c r="E80" s="5">
        <v>93.818320999999997</v>
      </c>
      <c r="F80" s="28">
        <v>48.606769999999997</v>
      </c>
      <c r="G80" s="28">
        <v>78.86</v>
      </c>
      <c r="H80" s="28">
        <v>37.76726</v>
      </c>
      <c r="I80" s="28">
        <v>47.413530000000002</v>
      </c>
      <c r="J80" s="29"/>
      <c r="K80" s="29"/>
      <c r="L80" s="29"/>
      <c r="M80" s="29"/>
      <c r="N80" s="29"/>
      <c r="P80" s="4">
        <f t="shared" si="6"/>
        <v>2.0445363531952119E-2</v>
      </c>
      <c r="Q80" s="4">
        <f t="shared" si="6"/>
        <v>7.0373072515254658E-3</v>
      </c>
      <c r="R80" s="4">
        <f t="shared" si="6"/>
        <v>-1.520527409022277E-3</v>
      </c>
      <c r="S80" s="4">
        <f t="shared" si="6"/>
        <v>-1.8427557765277297E-3</v>
      </c>
      <c r="T80" s="4">
        <f t="shared" si="6"/>
        <v>1.7253872408246551E-2</v>
      </c>
      <c r="U80" s="35"/>
      <c r="V80" s="35"/>
      <c r="W80" s="35"/>
      <c r="X80" s="35"/>
    </row>
    <row r="81" spans="4:24" x14ac:dyDescent="0.3">
      <c r="D81" s="23">
        <v>39700</v>
      </c>
      <c r="E81" s="5">
        <v>91.033096</v>
      </c>
      <c r="F81" s="28">
        <v>48.695169999999997</v>
      </c>
      <c r="G81" s="28">
        <v>76.489999999999995</v>
      </c>
      <c r="H81" s="28">
        <v>36.96611</v>
      </c>
      <c r="I81" s="28">
        <v>45.769089999999998</v>
      </c>
      <c r="J81" s="29"/>
      <c r="K81" s="29"/>
      <c r="L81" s="29"/>
      <c r="M81" s="29"/>
      <c r="N81" s="29"/>
      <c r="P81" s="4">
        <f t="shared" si="6"/>
        <v>-3.013702406464272E-2</v>
      </c>
      <c r="Q81" s="4">
        <f t="shared" si="6"/>
        <v>1.8170249086840314E-3</v>
      </c>
      <c r="R81" s="4">
        <f t="shared" si="6"/>
        <v>-3.0514115115706498E-2</v>
      </c>
      <c r="S81" s="4">
        <f t="shared" si="6"/>
        <v>-2.1441042782063411E-2</v>
      </c>
      <c r="T81" s="4">
        <f t="shared" si="6"/>
        <v>-3.5298658558781171E-2</v>
      </c>
      <c r="U81" s="35"/>
      <c r="V81" s="35"/>
      <c r="W81" s="35"/>
      <c r="X81" s="35"/>
    </row>
    <row r="82" spans="4:24" x14ac:dyDescent="0.3">
      <c r="D82" s="23">
        <v>39701</v>
      </c>
      <c r="E82" s="5">
        <v>91.402503999999993</v>
      </c>
      <c r="F82" s="28">
        <v>48.695169999999997</v>
      </c>
      <c r="G82" s="28">
        <v>74.22</v>
      </c>
      <c r="H82" s="28">
        <v>37.270890000000001</v>
      </c>
      <c r="I82" s="28">
        <v>46.074170000000002</v>
      </c>
      <c r="J82" s="29"/>
      <c r="K82" s="29"/>
      <c r="L82" s="29"/>
      <c r="M82" s="29"/>
      <c r="N82" s="29"/>
      <c r="P82" s="4">
        <f t="shared" si="6"/>
        <v>4.0497414415820747E-3</v>
      </c>
      <c r="Q82" s="4">
        <f t="shared" si="6"/>
        <v>0</v>
      </c>
      <c r="R82" s="4">
        <f t="shared" si="6"/>
        <v>-3.0126357701323131E-2</v>
      </c>
      <c r="S82" s="4">
        <f t="shared" si="6"/>
        <v>8.2110460386637732E-3</v>
      </c>
      <c r="T82" s="4">
        <f t="shared" si="6"/>
        <v>6.6435168370864725E-3</v>
      </c>
      <c r="U82" s="35"/>
      <c r="V82" s="35"/>
      <c r="W82" s="35"/>
      <c r="X82" s="35"/>
    </row>
    <row r="83" spans="4:24" x14ac:dyDescent="0.3">
      <c r="D83" s="23">
        <v>39702</v>
      </c>
      <c r="E83" s="5">
        <v>92.724914999999996</v>
      </c>
      <c r="F83" s="28">
        <v>48.663589999999999</v>
      </c>
      <c r="G83" s="28">
        <v>73.08</v>
      </c>
      <c r="H83" s="28">
        <v>37.96754</v>
      </c>
      <c r="I83" s="28">
        <v>46.721539999999997</v>
      </c>
      <c r="J83" s="29"/>
      <c r="K83" s="29"/>
      <c r="L83" s="29"/>
      <c r="M83" s="29"/>
      <c r="N83" s="29"/>
      <c r="P83" s="4">
        <f t="shared" si="6"/>
        <v>1.4364332539991602E-2</v>
      </c>
      <c r="Q83" s="4">
        <f t="shared" si="6"/>
        <v>-6.487346615250809E-4</v>
      </c>
      <c r="R83" s="4">
        <f t="shared" si="6"/>
        <v>-1.5478924122645552E-2</v>
      </c>
      <c r="S83" s="4">
        <f t="shared" si="6"/>
        <v>1.8518991152227743E-2</v>
      </c>
      <c r="T83" s="4">
        <f t="shared" si="6"/>
        <v>1.3952811019295587E-2</v>
      </c>
      <c r="U83" s="35"/>
      <c r="V83" s="35"/>
      <c r="W83" s="35"/>
      <c r="X83" s="35"/>
    </row>
    <row r="84" spans="4:24" x14ac:dyDescent="0.3">
      <c r="D84" s="23">
        <v>39703</v>
      </c>
      <c r="E84" s="5">
        <v>93.153419</v>
      </c>
      <c r="F84" s="28">
        <v>48.505760000000002</v>
      </c>
      <c r="G84" s="28">
        <v>75.55</v>
      </c>
      <c r="H84" s="28">
        <v>37.819499999999998</v>
      </c>
      <c r="I84" s="28">
        <v>47.182879999999997</v>
      </c>
      <c r="J84" s="29"/>
      <c r="K84" s="29"/>
      <c r="L84" s="29"/>
      <c r="M84" s="29"/>
      <c r="N84" s="29"/>
      <c r="P84" s="4">
        <f t="shared" si="6"/>
        <v>4.6105939283858826E-3</v>
      </c>
      <c r="Q84" s="4">
        <f t="shared" si="6"/>
        <v>-3.248558085445827E-3</v>
      </c>
      <c r="R84" s="4">
        <f t="shared" si="6"/>
        <v>3.3239957208942683E-2</v>
      </c>
      <c r="S84" s="4">
        <f t="shared" si="6"/>
        <v>-3.9067415296843095E-3</v>
      </c>
      <c r="T84" s="4">
        <f t="shared" si="6"/>
        <v>9.8258146257511631E-3</v>
      </c>
      <c r="U84" s="35"/>
      <c r="V84" s="35"/>
      <c r="W84" s="35"/>
      <c r="X84" s="35"/>
    </row>
    <row r="85" spans="4:24" x14ac:dyDescent="0.3">
      <c r="D85" s="23">
        <v>39706</v>
      </c>
      <c r="E85" s="5">
        <v>88.720718000000005</v>
      </c>
      <c r="F85" s="28">
        <v>48.87191</v>
      </c>
      <c r="G85" s="28">
        <v>77.56</v>
      </c>
      <c r="H85" s="28">
        <v>36.643889999999999</v>
      </c>
      <c r="I85" s="28">
        <v>45.017569999999999</v>
      </c>
      <c r="J85" s="29"/>
      <c r="K85" s="29"/>
      <c r="L85" s="29"/>
      <c r="M85" s="29"/>
      <c r="N85" s="29"/>
      <c r="P85" s="4">
        <f t="shared" ref="P85:T100" si="7">LN(E85/E84)</f>
        <v>-4.8754364728655852E-2</v>
      </c>
      <c r="Q85" s="4">
        <f t="shared" si="7"/>
        <v>7.5202400222268108E-3</v>
      </c>
      <c r="R85" s="4">
        <f t="shared" si="7"/>
        <v>2.6257141655702525E-2</v>
      </c>
      <c r="S85" s="4">
        <f t="shared" si="7"/>
        <v>-3.1578140331911211E-2</v>
      </c>
      <c r="T85" s="4">
        <f t="shared" si="7"/>
        <v>-4.6978256920077142E-2</v>
      </c>
      <c r="U85" s="35"/>
      <c r="V85" s="35"/>
      <c r="W85" s="35"/>
      <c r="X85" s="35"/>
    </row>
    <row r="86" spans="4:24" x14ac:dyDescent="0.3">
      <c r="D86" s="23">
        <v>39707</v>
      </c>
      <c r="E86" s="5">
        <v>90.205665999999994</v>
      </c>
      <c r="F86" s="28">
        <v>48.398420000000002</v>
      </c>
      <c r="G86" s="28">
        <v>76.790000000000006</v>
      </c>
      <c r="H86" s="28">
        <v>36.931280000000001</v>
      </c>
      <c r="I86" s="28">
        <v>45.597969999999997</v>
      </c>
      <c r="J86" s="29"/>
      <c r="K86" s="29"/>
      <c r="L86" s="29"/>
      <c r="M86" s="29"/>
      <c r="N86" s="29"/>
      <c r="P86" s="4">
        <f t="shared" si="7"/>
        <v>1.6598805174431353E-2</v>
      </c>
      <c r="Q86" s="4">
        <f t="shared" si="7"/>
        <v>-9.7356252388696839E-3</v>
      </c>
      <c r="R86" s="4">
        <f t="shared" si="7"/>
        <v>-9.9774070319987914E-3</v>
      </c>
      <c r="S86" s="4">
        <f t="shared" si="7"/>
        <v>7.812186138943353E-3</v>
      </c>
      <c r="T86" s="4">
        <f t="shared" si="7"/>
        <v>1.2810339974378382E-2</v>
      </c>
      <c r="U86" s="35"/>
      <c r="V86" s="35"/>
      <c r="W86" s="35"/>
      <c r="X86" s="35"/>
    </row>
    <row r="87" spans="4:24" x14ac:dyDescent="0.3">
      <c r="D87" s="23">
        <v>39708</v>
      </c>
      <c r="E87" s="5">
        <v>86.149726999999999</v>
      </c>
      <c r="F87" s="28">
        <v>48.461579999999998</v>
      </c>
      <c r="G87" s="28">
        <v>85.46</v>
      </c>
      <c r="H87" s="28">
        <v>35.015479999999997</v>
      </c>
      <c r="I87" s="28">
        <v>43.559139999999999</v>
      </c>
      <c r="J87" s="29"/>
      <c r="K87" s="29"/>
      <c r="L87" s="29"/>
      <c r="M87" s="29"/>
      <c r="N87" s="29"/>
      <c r="P87" s="4">
        <f t="shared" si="7"/>
        <v>-4.600544698281181E-2</v>
      </c>
      <c r="Q87" s="4">
        <f t="shared" si="7"/>
        <v>1.3041505048919458E-3</v>
      </c>
      <c r="R87" s="4">
        <f t="shared" si="7"/>
        <v>0.10697400687342658</v>
      </c>
      <c r="S87" s="4">
        <f t="shared" si="7"/>
        <v>-5.326863900750467E-2</v>
      </c>
      <c r="T87" s="4">
        <f t="shared" si="7"/>
        <v>-4.5743642999058254E-2</v>
      </c>
      <c r="U87" s="35"/>
      <c r="V87" s="35"/>
      <c r="W87" s="35"/>
      <c r="X87" s="35"/>
    </row>
    <row r="88" spans="4:24" x14ac:dyDescent="0.3">
      <c r="D88" s="23">
        <v>39709</v>
      </c>
      <c r="E88" s="5">
        <v>88.705910000000003</v>
      </c>
      <c r="F88" s="28">
        <v>47.773499999999999</v>
      </c>
      <c r="G88" s="28">
        <v>82.8</v>
      </c>
      <c r="H88" s="28">
        <v>36.199779999999997</v>
      </c>
      <c r="I88" s="28">
        <v>45.017569999999999</v>
      </c>
      <c r="J88" s="29"/>
      <c r="K88" s="29"/>
      <c r="L88" s="29"/>
      <c r="M88" s="29"/>
      <c r="N88" s="29"/>
      <c r="P88" s="4">
        <f t="shared" si="7"/>
        <v>2.9239722105274982E-2</v>
      </c>
      <c r="Q88" s="4">
        <f t="shared" si="7"/>
        <v>-1.430022660735061E-2</v>
      </c>
      <c r="R88" s="4">
        <f t="shared" si="7"/>
        <v>-3.1620368824664839E-2</v>
      </c>
      <c r="S88" s="4">
        <f t="shared" si="7"/>
        <v>3.3262792040989225E-2</v>
      </c>
      <c r="T88" s="4">
        <f t="shared" si="7"/>
        <v>3.2933303024679887E-2</v>
      </c>
      <c r="U88" s="35"/>
      <c r="V88" s="35"/>
      <c r="W88" s="35"/>
      <c r="X88" s="35"/>
    </row>
    <row r="89" spans="4:24" x14ac:dyDescent="0.3">
      <c r="D89" s="23">
        <v>39710</v>
      </c>
      <c r="E89" s="5">
        <v>92.228790000000004</v>
      </c>
      <c r="F89" s="28">
        <v>48.360590000000002</v>
      </c>
      <c r="G89" s="28">
        <v>85.98</v>
      </c>
      <c r="H89" s="28">
        <v>37.383150000000001</v>
      </c>
      <c r="I89" s="28">
        <v>47.190309999999997</v>
      </c>
      <c r="J89" s="29"/>
      <c r="K89" s="29"/>
      <c r="L89" s="29"/>
      <c r="M89" s="29"/>
      <c r="N89" s="29"/>
      <c r="P89" s="4">
        <f t="shared" si="7"/>
        <v>3.8945821603369173E-2</v>
      </c>
      <c r="Q89" s="4">
        <f t="shared" si="7"/>
        <v>1.2214133378415626E-2</v>
      </c>
      <c r="R89" s="4">
        <f t="shared" si="7"/>
        <v>3.7686649676921508E-2</v>
      </c>
      <c r="S89" s="4">
        <f t="shared" si="7"/>
        <v>3.2167026674657741E-2</v>
      </c>
      <c r="T89" s="4">
        <f t="shared" si="7"/>
        <v>4.7135716893939444E-2</v>
      </c>
      <c r="U89" s="35"/>
      <c r="V89" s="35"/>
      <c r="W89" s="35"/>
      <c r="X89" s="35"/>
    </row>
    <row r="90" spans="4:24" x14ac:dyDescent="0.3">
      <c r="D90" s="23">
        <v>39713</v>
      </c>
      <c r="E90" s="5">
        <v>90.140761999999995</v>
      </c>
      <c r="F90" s="28">
        <v>48.234340000000003</v>
      </c>
      <c r="G90" s="28">
        <v>89.18</v>
      </c>
      <c r="H90" s="28">
        <v>35.622920000000001</v>
      </c>
      <c r="I90" s="28">
        <v>45.560749999999999</v>
      </c>
      <c r="J90" s="29"/>
      <c r="K90" s="29"/>
      <c r="L90" s="29"/>
      <c r="M90" s="29"/>
      <c r="N90" s="29"/>
      <c r="P90" s="4">
        <f t="shared" si="7"/>
        <v>-2.2899867042570271E-2</v>
      </c>
      <c r="Q90" s="4">
        <f t="shared" si="7"/>
        <v>-2.6140103189550576E-3</v>
      </c>
      <c r="R90" s="4">
        <f t="shared" si="7"/>
        <v>3.6542088131195201E-2</v>
      </c>
      <c r="S90" s="4">
        <f t="shared" si="7"/>
        <v>-4.8230817220474002E-2</v>
      </c>
      <c r="T90" s="4">
        <f t="shared" si="7"/>
        <v>-3.5141974653015051E-2</v>
      </c>
      <c r="U90" s="35"/>
      <c r="V90" s="35"/>
      <c r="W90" s="35"/>
      <c r="X90" s="35"/>
    </row>
    <row r="91" spans="4:24" x14ac:dyDescent="0.3">
      <c r="D91" s="23">
        <v>39714</v>
      </c>
      <c r="E91" s="5">
        <v>88.089911999999998</v>
      </c>
      <c r="F91" s="28">
        <v>48.385849999999998</v>
      </c>
      <c r="G91" s="28">
        <v>88.32</v>
      </c>
      <c r="H91" s="28">
        <v>35.352789999999999</v>
      </c>
      <c r="I91" s="28">
        <v>44.78689</v>
      </c>
      <c r="J91" s="29"/>
      <c r="K91" s="29"/>
      <c r="L91" s="29"/>
      <c r="M91" s="29"/>
      <c r="N91" s="29"/>
      <c r="P91" s="4">
        <f t="shared" si="7"/>
        <v>-2.3014450600635419E-2</v>
      </c>
      <c r="Q91" s="4">
        <f t="shared" si="7"/>
        <v>3.1362000878807196E-3</v>
      </c>
      <c r="R91" s="4">
        <f t="shared" si="7"/>
        <v>-9.6902166705456205E-3</v>
      </c>
      <c r="S91" s="4">
        <f t="shared" si="7"/>
        <v>-7.6119366558499045E-3</v>
      </c>
      <c r="T91" s="4">
        <f t="shared" si="7"/>
        <v>-1.7131137585386418E-2</v>
      </c>
      <c r="U91" s="35"/>
      <c r="V91" s="35"/>
      <c r="W91" s="35"/>
      <c r="X91" s="35"/>
    </row>
    <row r="92" spans="4:24" x14ac:dyDescent="0.3">
      <c r="D92" s="23">
        <v>39715</v>
      </c>
      <c r="E92" s="5">
        <v>88.372298999999998</v>
      </c>
      <c r="F92" s="28">
        <v>48.3795</v>
      </c>
      <c r="G92" s="28">
        <v>86.71</v>
      </c>
      <c r="H92" s="28">
        <v>35.596780000000003</v>
      </c>
      <c r="I92" s="28">
        <v>44.746510000000001</v>
      </c>
      <c r="J92" s="29"/>
      <c r="K92" s="29"/>
      <c r="L92" s="29"/>
      <c r="M92" s="29"/>
      <c r="N92" s="29"/>
      <c r="P92" s="4">
        <f t="shared" si="7"/>
        <v>3.2005406647843061E-3</v>
      </c>
      <c r="Q92" s="4">
        <f t="shared" si="7"/>
        <v>-1.3124532715709508E-4</v>
      </c>
      <c r="R92" s="4">
        <f t="shared" si="7"/>
        <v>-1.8397365139716057E-2</v>
      </c>
      <c r="S92" s="4">
        <f t="shared" si="7"/>
        <v>6.8778700654598332E-3</v>
      </c>
      <c r="T92" s="4">
        <f t="shared" si="7"/>
        <v>-9.0200981394291107E-4</v>
      </c>
      <c r="U92" s="35"/>
      <c r="V92" s="35"/>
      <c r="W92" s="35"/>
      <c r="X92" s="35"/>
    </row>
    <row r="93" spans="4:24" x14ac:dyDescent="0.3">
      <c r="D93" s="23">
        <v>39716</v>
      </c>
      <c r="E93" s="5">
        <v>89.754386999999994</v>
      </c>
      <c r="F93" s="28">
        <v>48.53734</v>
      </c>
      <c r="G93" s="28">
        <v>86.45</v>
      </c>
      <c r="H93" s="28">
        <v>36.16319</v>
      </c>
      <c r="I93" s="28">
        <v>45.546619999999997</v>
      </c>
      <c r="J93" s="29"/>
      <c r="K93" s="29"/>
      <c r="L93" s="29"/>
      <c r="M93" s="29"/>
      <c r="N93" s="29"/>
      <c r="P93" s="4">
        <f t="shared" si="7"/>
        <v>1.551834558895825E-2</v>
      </c>
      <c r="Q93" s="4">
        <f t="shared" si="7"/>
        <v>3.2572283526937956E-3</v>
      </c>
      <c r="R93" s="4">
        <f t="shared" si="7"/>
        <v>-3.0030052597694343E-3</v>
      </c>
      <c r="S93" s="4">
        <f t="shared" si="7"/>
        <v>1.5786566330469386E-2</v>
      </c>
      <c r="T93" s="4">
        <f t="shared" si="7"/>
        <v>1.7722963928699115E-2</v>
      </c>
      <c r="U93" s="35"/>
      <c r="V93" s="35"/>
      <c r="W93" s="35"/>
      <c r="X93" s="35"/>
    </row>
    <row r="94" spans="4:24" x14ac:dyDescent="0.3">
      <c r="D94" s="23">
        <v>39717</v>
      </c>
      <c r="E94" s="5">
        <v>89.798950000000005</v>
      </c>
      <c r="F94" s="28">
        <v>48.051270000000002</v>
      </c>
      <c r="G94" s="28">
        <v>86.64</v>
      </c>
      <c r="H94" s="28">
        <v>35.797190000000001</v>
      </c>
      <c r="I94" s="28">
        <v>45.509239999999998</v>
      </c>
      <c r="J94" s="29"/>
      <c r="K94" s="29"/>
      <c r="L94" s="29"/>
      <c r="M94" s="29"/>
      <c r="N94" s="29"/>
      <c r="P94" s="4">
        <f t="shared" si="7"/>
        <v>4.9637619283009237E-4</v>
      </c>
      <c r="Q94" s="4">
        <f t="shared" si="7"/>
        <v>-1.0064832763796104E-2</v>
      </c>
      <c r="R94" s="4">
        <f t="shared" si="7"/>
        <v>2.195390563435656E-3</v>
      </c>
      <c r="S94" s="4">
        <f t="shared" si="7"/>
        <v>-1.0172351953540486E-2</v>
      </c>
      <c r="T94" s="4">
        <f t="shared" si="7"/>
        <v>-8.2103451880660933E-4</v>
      </c>
      <c r="U94" s="35"/>
      <c r="V94" s="35"/>
      <c r="W94" s="35"/>
      <c r="X94" s="35"/>
    </row>
    <row r="95" spans="4:24" x14ac:dyDescent="0.3">
      <c r="D95" s="23">
        <v>39720</v>
      </c>
      <c r="E95" s="5">
        <v>82.762153999999995</v>
      </c>
      <c r="F95" s="28">
        <v>48.284869999999998</v>
      </c>
      <c r="G95" s="28">
        <v>89.57</v>
      </c>
      <c r="H95" s="28">
        <v>32.956429999999997</v>
      </c>
      <c r="I95" s="28">
        <v>42.510689999999997</v>
      </c>
      <c r="J95" s="29"/>
      <c r="K95" s="29"/>
      <c r="L95" s="29"/>
      <c r="M95" s="29"/>
      <c r="N95" s="29"/>
      <c r="P95" s="4">
        <f t="shared" si="7"/>
        <v>-8.1602402984600711E-2</v>
      </c>
      <c r="Q95" s="4">
        <f t="shared" si="7"/>
        <v>4.849695199474033E-3</v>
      </c>
      <c r="R95" s="4">
        <f t="shared" si="7"/>
        <v>3.325883979436859E-2</v>
      </c>
      <c r="S95" s="4">
        <f t="shared" si="7"/>
        <v>-8.2683012637727912E-2</v>
      </c>
      <c r="T95" s="4">
        <f t="shared" si="7"/>
        <v>-6.8159808548737724E-2</v>
      </c>
      <c r="U95" s="35"/>
      <c r="V95" s="35"/>
      <c r="W95" s="35"/>
      <c r="X95" s="35"/>
    </row>
    <row r="96" spans="4:24" x14ac:dyDescent="0.3">
      <c r="D96" s="23">
        <v>39721</v>
      </c>
      <c r="E96" s="5">
        <v>86.187683000000007</v>
      </c>
      <c r="F96" s="28">
        <v>47.735660000000003</v>
      </c>
      <c r="G96" s="28">
        <v>85.07</v>
      </c>
      <c r="H96" s="28">
        <v>33.906260000000003</v>
      </c>
      <c r="I96" s="28">
        <v>43.63982</v>
      </c>
      <c r="J96" s="29"/>
      <c r="K96" s="29"/>
      <c r="L96" s="29"/>
      <c r="M96" s="29"/>
      <c r="N96" s="29"/>
      <c r="P96" s="4">
        <f t="shared" si="7"/>
        <v>4.0556399224144404E-2</v>
      </c>
      <c r="Q96" s="4">
        <f t="shared" si="7"/>
        <v>-1.1439553380443694E-2</v>
      </c>
      <c r="R96" s="4">
        <f t="shared" si="7"/>
        <v>-5.1545995499310923E-2</v>
      </c>
      <c r="S96" s="4">
        <f t="shared" si="7"/>
        <v>2.8413272037478957E-2</v>
      </c>
      <c r="T96" s="4">
        <f t="shared" si="7"/>
        <v>2.6214462586168198E-2</v>
      </c>
      <c r="U96" s="35"/>
      <c r="V96" s="35"/>
      <c r="W96" s="35"/>
      <c r="X96" s="35"/>
    </row>
    <row r="97" spans="4:24" x14ac:dyDescent="0.3">
      <c r="D97" s="23">
        <v>39722</v>
      </c>
      <c r="E97" s="5">
        <v>86.239699999999999</v>
      </c>
      <c r="F97" s="28">
        <v>47.481619999999999</v>
      </c>
      <c r="G97" s="28">
        <v>85.97</v>
      </c>
      <c r="H97" s="28">
        <v>33.548990000000003</v>
      </c>
      <c r="I97" s="28">
        <v>43.58746</v>
      </c>
      <c r="J97" s="29"/>
      <c r="K97" s="29"/>
      <c r="L97" s="29"/>
      <c r="M97" s="29"/>
      <c r="N97" s="29"/>
      <c r="P97" s="4">
        <f t="shared" si="7"/>
        <v>6.033496614394697E-4</v>
      </c>
      <c r="Q97" s="4">
        <f t="shared" si="7"/>
        <v>-5.3360188985695249E-3</v>
      </c>
      <c r="R97" s="4">
        <f t="shared" si="7"/>
        <v>1.0523951198559797E-2</v>
      </c>
      <c r="S97" s="4">
        <f t="shared" si="7"/>
        <v>-1.0592899463026467E-2</v>
      </c>
      <c r="T97" s="4">
        <f t="shared" si="7"/>
        <v>-1.2005419930296551E-3</v>
      </c>
      <c r="U97" s="35"/>
      <c r="V97" s="35"/>
      <c r="W97" s="35"/>
      <c r="X97" s="35"/>
    </row>
    <row r="98" spans="4:24" x14ac:dyDescent="0.3">
      <c r="D98" s="23">
        <v>39723</v>
      </c>
      <c r="E98" s="5">
        <v>83.111427000000006</v>
      </c>
      <c r="F98" s="28">
        <v>48.406529999999997</v>
      </c>
      <c r="G98" s="28">
        <v>82.33</v>
      </c>
      <c r="H98" s="28">
        <v>32.024030000000003</v>
      </c>
      <c r="I98" s="28">
        <v>41.628309999999999</v>
      </c>
      <c r="J98" s="29"/>
      <c r="K98" s="29"/>
      <c r="L98" s="29"/>
      <c r="M98" s="29"/>
      <c r="N98" s="29"/>
      <c r="P98" s="4">
        <f t="shared" si="7"/>
        <v>-3.6948427057269521E-2</v>
      </c>
      <c r="Q98" s="4">
        <f t="shared" si="7"/>
        <v>1.9292033188706516E-2</v>
      </c>
      <c r="R98" s="4">
        <f t="shared" si="7"/>
        <v>-4.3262836876018049E-2</v>
      </c>
      <c r="S98" s="4">
        <f t="shared" si="7"/>
        <v>-4.6520200155403361E-2</v>
      </c>
      <c r="T98" s="4">
        <f t="shared" si="7"/>
        <v>-4.5989029648437409E-2</v>
      </c>
      <c r="U98" s="35"/>
      <c r="V98" s="35"/>
      <c r="W98" s="35"/>
      <c r="X98" s="35"/>
    </row>
    <row r="99" spans="4:24" x14ac:dyDescent="0.3">
      <c r="D99" s="23">
        <v>39724</v>
      </c>
      <c r="E99" s="5">
        <v>81.989388000000005</v>
      </c>
      <c r="F99" s="28">
        <v>48.140459999999997</v>
      </c>
      <c r="G99" s="28">
        <v>82.59</v>
      </c>
      <c r="H99" s="28">
        <v>31.527329999999999</v>
      </c>
      <c r="I99" s="28">
        <v>40.992710000000002</v>
      </c>
      <c r="J99" s="29"/>
      <c r="K99" s="29"/>
      <c r="L99" s="29"/>
      <c r="M99" s="29"/>
      <c r="N99" s="29"/>
      <c r="P99" s="4">
        <f t="shared" si="7"/>
        <v>-1.3592377177863438E-2</v>
      </c>
      <c r="Q99" s="4">
        <f t="shared" si="7"/>
        <v>-5.511734204925095E-3</v>
      </c>
      <c r="R99" s="4">
        <f t="shared" si="7"/>
        <v>3.1530465122910217E-3</v>
      </c>
      <c r="S99" s="4">
        <f t="shared" si="7"/>
        <v>-1.5631769771873031E-2</v>
      </c>
      <c r="T99" s="4">
        <f t="shared" si="7"/>
        <v>-1.538621864152029E-2</v>
      </c>
      <c r="U99" s="35"/>
      <c r="V99" s="35"/>
      <c r="W99" s="35"/>
      <c r="X99" s="35"/>
    </row>
    <row r="100" spans="4:24" x14ac:dyDescent="0.3">
      <c r="D100" s="23">
        <v>39727</v>
      </c>
      <c r="E100" s="5">
        <v>77.813354000000004</v>
      </c>
      <c r="F100" s="28">
        <v>47.75403</v>
      </c>
      <c r="G100" s="28">
        <v>84.28</v>
      </c>
      <c r="H100" s="28">
        <v>30.37707</v>
      </c>
      <c r="I100" s="28">
        <v>39.564459999999997</v>
      </c>
      <c r="J100" s="29"/>
      <c r="K100" s="29"/>
      <c r="L100" s="29"/>
      <c r="M100" s="29"/>
      <c r="N100" s="29"/>
      <c r="P100" s="4">
        <f t="shared" si="7"/>
        <v>-5.2276762556108115E-2</v>
      </c>
      <c r="Q100" s="4">
        <f t="shared" si="7"/>
        <v>-8.0595265013094081E-3</v>
      </c>
      <c r="R100" s="4">
        <f t="shared" si="7"/>
        <v>2.0255981113362683E-2</v>
      </c>
      <c r="S100" s="4">
        <f t="shared" si="7"/>
        <v>-3.7166741228481633E-2</v>
      </c>
      <c r="T100" s="4">
        <f t="shared" si="7"/>
        <v>-3.5463005475721468E-2</v>
      </c>
      <c r="U100" s="35"/>
      <c r="V100" s="35"/>
      <c r="W100" s="35"/>
      <c r="X100" s="35"/>
    </row>
    <row r="101" spans="4:24" x14ac:dyDescent="0.3">
      <c r="D101" s="23">
        <v>39728</v>
      </c>
      <c r="E101" s="5">
        <v>74.328406999999999</v>
      </c>
      <c r="F101" s="28">
        <v>47.893389999999997</v>
      </c>
      <c r="G101" s="28">
        <v>87.27</v>
      </c>
      <c r="H101" s="28">
        <v>28.451280000000001</v>
      </c>
      <c r="I101" s="28">
        <v>37.149169999999998</v>
      </c>
      <c r="J101" s="29"/>
      <c r="K101" s="29"/>
      <c r="L101" s="29"/>
      <c r="M101" s="29"/>
      <c r="N101" s="29"/>
      <c r="P101" s="4">
        <f t="shared" ref="P101:T116" si="8">LN(E101/E100)</f>
        <v>-4.5819854645982594E-2</v>
      </c>
      <c r="Q101" s="4">
        <f t="shared" si="8"/>
        <v>2.9140377987393992E-3</v>
      </c>
      <c r="R101" s="4">
        <f t="shared" si="8"/>
        <v>3.4862172239231604E-2</v>
      </c>
      <c r="S101" s="4">
        <f t="shared" si="8"/>
        <v>-6.5494896713961664E-2</v>
      </c>
      <c r="T101" s="4">
        <f t="shared" si="8"/>
        <v>-6.2989811484526245E-2</v>
      </c>
      <c r="U101" s="35"/>
      <c r="V101" s="35"/>
      <c r="W101" s="35"/>
      <c r="X101" s="35"/>
    </row>
    <row r="102" spans="4:24" x14ac:dyDescent="0.3">
      <c r="D102" s="23">
        <v>39729</v>
      </c>
      <c r="E102" s="5">
        <v>72.455933000000002</v>
      </c>
      <c r="F102" s="28">
        <v>47.183839999999996</v>
      </c>
      <c r="G102" s="28">
        <v>89.42</v>
      </c>
      <c r="H102" s="28">
        <v>28.224710000000002</v>
      </c>
      <c r="I102" s="28">
        <v>36.438789999999997</v>
      </c>
      <c r="J102" s="29"/>
      <c r="K102" s="29"/>
      <c r="L102" s="29"/>
      <c r="M102" s="29"/>
      <c r="N102" s="29"/>
      <c r="P102" s="4">
        <f t="shared" si="8"/>
        <v>-2.5514650680127725E-2</v>
      </c>
      <c r="Q102" s="4">
        <f t="shared" si="8"/>
        <v>-1.4926037982757259E-2</v>
      </c>
      <c r="R102" s="4">
        <f t="shared" si="8"/>
        <v>2.4337609630614779E-2</v>
      </c>
      <c r="S102" s="4">
        <f t="shared" si="8"/>
        <v>-7.9953153692512366E-3</v>
      </c>
      <c r="T102" s="4">
        <f t="shared" si="8"/>
        <v>-1.9307562485334873E-2</v>
      </c>
      <c r="U102" s="35"/>
      <c r="V102" s="35"/>
      <c r="W102" s="35"/>
      <c r="X102" s="35"/>
    </row>
    <row r="103" spans="4:24" x14ac:dyDescent="0.3">
      <c r="D103" s="23">
        <v>39730</v>
      </c>
      <c r="E103" s="5">
        <v>67.395652999999996</v>
      </c>
      <c r="F103" s="28">
        <v>45.714100000000002</v>
      </c>
      <c r="G103" s="28">
        <v>89.9</v>
      </c>
      <c r="H103" s="28">
        <v>27.4666</v>
      </c>
      <c r="I103" s="28">
        <v>34.150620000000004</v>
      </c>
      <c r="J103" s="29"/>
      <c r="K103" s="29"/>
      <c r="L103" s="29"/>
      <c r="M103" s="29"/>
      <c r="N103" s="29"/>
      <c r="P103" s="4">
        <f t="shared" si="8"/>
        <v>-7.2398036083719572E-2</v>
      </c>
      <c r="Q103" s="4">
        <f t="shared" si="8"/>
        <v>-3.1644676856970734E-2</v>
      </c>
      <c r="R103" s="4">
        <f t="shared" si="8"/>
        <v>5.3535706717400362E-3</v>
      </c>
      <c r="S103" s="4">
        <f t="shared" si="8"/>
        <v>-2.7227114343763573E-2</v>
      </c>
      <c r="T103" s="4">
        <f t="shared" si="8"/>
        <v>-6.4853125521862134E-2</v>
      </c>
      <c r="U103" s="35"/>
      <c r="V103" s="35"/>
      <c r="W103" s="35"/>
      <c r="X103" s="35"/>
    </row>
    <row r="104" spans="4:24" x14ac:dyDescent="0.3">
      <c r="D104" s="23">
        <v>39731</v>
      </c>
      <c r="E104" s="5">
        <v>65.760947999999999</v>
      </c>
      <c r="F104" s="28">
        <v>44.320369999999997</v>
      </c>
      <c r="G104" s="28">
        <v>83.22</v>
      </c>
      <c r="H104" s="28">
        <v>27.29232</v>
      </c>
      <c r="I104" s="28">
        <v>33.16357</v>
      </c>
      <c r="J104" s="29"/>
      <c r="K104" s="29"/>
      <c r="L104" s="29"/>
      <c r="M104" s="29"/>
      <c r="N104" s="29"/>
      <c r="P104" s="4">
        <f t="shared" si="8"/>
        <v>-2.4554353586964294E-2</v>
      </c>
      <c r="Q104" s="4">
        <f t="shared" si="8"/>
        <v>-3.0962393450574902E-2</v>
      </c>
      <c r="R104" s="4">
        <f t="shared" si="8"/>
        <v>-7.7210237922779479E-2</v>
      </c>
      <c r="S104" s="4">
        <f t="shared" si="8"/>
        <v>-6.3653771278323378E-3</v>
      </c>
      <c r="T104" s="4">
        <f t="shared" si="8"/>
        <v>-2.9328756746340588E-2</v>
      </c>
      <c r="U104" s="35"/>
      <c r="V104" s="35"/>
      <c r="W104" s="35"/>
      <c r="X104" s="35"/>
    </row>
    <row r="105" spans="4:24" x14ac:dyDescent="0.3">
      <c r="D105" s="23">
        <v>39734</v>
      </c>
      <c r="E105" s="5">
        <v>75.309258</v>
      </c>
      <c r="F105" s="28">
        <v>46.163919999999997</v>
      </c>
      <c r="G105" s="28">
        <v>81.99</v>
      </c>
      <c r="H105" s="28">
        <v>30.612369999999999</v>
      </c>
      <c r="I105" s="28">
        <v>37.418370000000003</v>
      </c>
      <c r="J105" s="29"/>
      <c r="K105" s="29"/>
      <c r="L105" s="29"/>
      <c r="M105" s="29"/>
      <c r="N105" s="29"/>
      <c r="P105" s="4">
        <f t="shared" si="8"/>
        <v>0.13557690875309966</v>
      </c>
      <c r="Q105" s="4">
        <f t="shared" si="8"/>
        <v>4.0754149824940765E-2</v>
      </c>
      <c r="R105" s="4">
        <f t="shared" si="8"/>
        <v>-1.4890414946708969E-2</v>
      </c>
      <c r="S105" s="4">
        <f t="shared" si="8"/>
        <v>0.11479883170591869</v>
      </c>
      <c r="T105" s="4">
        <f t="shared" si="8"/>
        <v>0.12070977600008446</v>
      </c>
      <c r="U105" s="35"/>
      <c r="V105" s="35"/>
      <c r="W105" s="35"/>
      <c r="X105" s="35"/>
    </row>
    <row r="106" spans="4:24" x14ac:dyDescent="0.3">
      <c r="D106" s="23">
        <v>39735</v>
      </c>
      <c r="E106" s="5">
        <v>74.194671999999997</v>
      </c>
      <c r="F106" s="28">
        <v>46.753050000000002</v>
      </c>
      <c r="G106" s="28">
        <v>82.2</v>
      </c>
      <c r="H106" s="28">
        <v>29.287839999999999</v>
      </c>
      <c r="I106" s="28">
        <v>37.09684</v>
      </c>
      <c r="J106" s="29"/>
      <c r="K106" s="29"/>
      <c r="L106" s="29"/>
      <c r="M106" s="29"/>
      <c r="N106" s="29"/>
      <c r="P106" s="4">
        <f t="shared" si="8"/>
        <v>-1.4910733790261392E-2</v>
      </c>
      <c r="Q106" s="4">
        <f t="shared" si="8"/>
        <v>1.2680953643756336E-2</v>
      </c>
      <c r="R106" s="4">
        <f t="shared" si="8"/>
        <v>2.5580134540480848E-3</v>
      </c>
      <c r="S106" s="4">
        <f t="shared" si="8"/>
        <v>-4.423176282323274E-2</v>
      </c>
      <c r="T106" s="4">
        <f t="shared" si="8"/>
        <v>-8.6299695197772554E-3</v>
      </c>
      <c r="U106" s="35"/>
      <c r="V106" s="35"/>
      <c r="W106" s="35"/>
      <c r="X106" s="35"/>
    </row>
    <row r="107" spans="4:24" x14ac:dyDescent="0.3">
      <c r="D107" s="23">
        <v>39736</v>
      </c>
      <c r="E107" s="5">
        <v>66.890388000000002</v>
      </c>
      <c r="F107" s="28">
        <v>46.467979999999997</v>
      </c>
      <c r="G107" s="28">
        <v>83.31</v>
      </c>
      <c r="H107" s="28">
        <v>26.664909999999999</v>
      </c>
      <c r="I107" s="28">
        <v>33.627189999999999</v>
      </c>
      <c r="J107" s="29"/>
      <c r="K107" s="29"/>
      <c r="L107" s="29"/>
      <c r="M107" s="29"/>
      <c r="N107" s="29"/>
      <c r="P107" s="4">
        <f t="shared" si="8"/>
        <v>-0.10363706198365599</v>
      </c>
      <c r="Q107" s="4">
        <f t="shared" si="8"/>
        <v>-6.1160210009121915E-3</v>
      </c>
      <c r="R107" s="4">
        <f t="shared" si="8"/>
        <v>1.3413287924683617E-2</v>
      </c>
      <c r="S107" s="4">
        <f t="shared" si="8"/>
        <v>-9.3823943978839502E-2</v>
      </c>
      <c r="T107" s="4">
        <f t="shared" si="8"/>
        <v>-9.8196824870965871E-2</v>
      </c>
      <c r="U107" s="35"/>
      <c r="V107" s="35"/>
      <c r="W107" s="35"/>
      <c r="X107" s="35"/>
    </row>
    <row r="108" spans="4:24" x14ac:dyDescent="0.3">
      <c r="D108" s="23">
        <v>39737</v>
      </c>
      <c r="E108" s="5">
        <v>69.676865000000006</v>
      </c>
      <c r="F108" s="28">
        <v>46.461640000000003</v>
      </c>
      <c r="G108" s="28">
        <v>79.290000000000006</v>
      </c>
      <c r="H108" s="28">
        <v>28.111440000000002</v>
      </c>
      <c r="I108" s="28">
        <v>35.175080000000001</v>
      </c>
      <c r="J108" s="29"/>
      <c r="K108" s="29"/>
      <c r="L108" s="29"/>
      <c r="M108" s="29"/>
      <c r="N108" s="29"/>
      <c r="P108" s="4">
        <f t="shared" si="8"/>
        <v>4.0813060461306318E-2</v>
      </c>
      <c r="Q108" s="4">
        <f t="shared" si="8"/>
        <v>-1.3644734606322657E-4</v>
      </c>
      <c r="R108" s="4">
        <f t="shared" si="8"/>
        <v>-4.9456572702510262E-2</v>
      </c>
      <c r="S108" s="4">
        <f t="shared" si="8"/>
        <v>5.2828142091685307E-2</v>
      </c>
      <c r="T108" s="4">
        <f t="shared" si="8"/>
        <v>4.5002911427785654E-2</v>
      </c>
      <c r="U108" s="35"/>
      <c r="V108" s="35"/>
      <c r="W108" s="35"/>
      <c r="X108" s="35"/>
    </row>
    <row r="109" spans="4:24" x14ac:dyDescent="0.3">
      <c r="D109" s="23">
        <v>39738</v>
      </c>
      <c r="E109" s="5">
        <v>69.260750000000002</v>
      </c>
      <c r="F109" s="28">
        <v>46.715029999999999</v>
      </c>
      <c r="G109" s="28">
        <v>77.209999999999994</v>
      </c>
      <c r="H109" s="28">
        <v>28.14629</v>
      </c>
      <c r="I109" s="28">
        <v>34.846049999999998</v>
      </c>
      <c r="J109" s="29"/>
      <c r="K109" s="29"/>
      <c r="L109" s="29"/>
      <c r="M109" s="29"/>
      <c r="N109" s="29"/>
      <c r="P109" s="4">
        <f t="shared" si="8"/>
        <v>-5.9899724660616794E-3</v>
      </c>
      <c r="Q109" s="4">
        <f t="shared" si="8"/>
        <v>5.4389285353744071E-3</v>
      </c>
      <c r="R109" s="4">
        <f t="shared" si="8"/>
        <v>-2.6583034963583316E-2</v>
      </c>
      <c r="S109" s="4">
        <f t="shared" si="8"/>
        <v>1.2389410115844503E-3</v>
      </c>
      <c r="T109" s="4">
        <f t="shared" si="8"/>
        <v>-9.3980894558330225E-3</v>
      </c>
      <c r="U109" s="35"/>
      <c r="V109" s="35"/>
      <c r="W109" s="35"/>
      <c r="X109" s="35"/>
    </row>
    <row r="110" spans="4:24" x14ac:dyDescent="0.3">
      <c r="D110" s="23">
        <v>39741</v>
      </c>
      <c r="E110" s="5">
        <v>73.421867000000006</v>
      </c>
      <c r="F110" s="28">
        <v>46.69605</v>
      </c>
      <c r="G110" s="28">
        <v>78.5</v>
      </c>
      <c r="H110" s="28">
        <v>28.930569999999999</v>
      </c>
      <c r="I110" s="28">
        <v>36.633220000000001</v>
      </c>
      <c r="J110" s="29"/>
      <c r="K110" s="29"/>
      <c r="L110" s="29"/>
      <c r="M110" s="29"/>
      <c r="N110" s="29"/>
      <c r="P110" s="4">
        <f t="shared" si="8"/>
        <v>5.8343439106949821E-2</v>
      </c>
      <c r="Q110" s="4">
        <f t="shared" si="8"/>
        <v>-4.0637578028637848E-4</v>
      </c>
      <c r="R110" s="4">
        <f t="shared" si="8"/>
        <v>1.6569642467638458E-2</v>
      </c>
      <c r="S110" s="4">
        <f t="shared" si="8"/>
        <v>2.7483269585488232E-2</v>
      </c>
      <c r="T110" s="4">
        <f t="shared" si="8"/>
        <v>5.0015691130509E-2</v>
      </c>
      <c r="U110" s="35"/>
      <c r="V110" s="35"/>
      <c r="W110" s="35"/>
      <c r="X110" s="35"/>
    </row>
    <row r="111" spans="4:24" x14ac:dyDescent="0.3">
      <c r="D111" s="23">
        <v>39742</v>
      </c>
      <c r="E111" s="5">
        <v>71.229843000000002</v>
      </c>
      <c r="F111" s="28">
        <v>47.494259999999997</v>
      </c>
      <c r="G111" s="28">
        <v>76.03</v>
      </c>
      <c r="H111" s="28">
        <v>27.431740000000001</v>
      </c>
      <c r="I111" s="28">
        <v>35.526539999999997</v>
      </c>
      <c r="J111" s="29"/>
      <c r="K111" s="29"/>
      <c r="L111" s="29"/>
      <c r="M111" s="29"/>
      <c r="N111" s="29"/>
      <c r="P111" s="4">
        <f t="shared" si="8"/>
        <v>-3.0309932923425979E-2</v>
      </c>
      <c r="Q111" s="4">
        <f t="shared" si="8"/>
        <v>1.6949282976895082E-2</v>
      </c>
      <c r="R111" s="4">
        <f t="shared" si="8"/>
        <v>-3.1970625548017488E-2</v>
      </c>
      <c r="S111" s="4">
        <f t="shared" si="8"/>
        <v>-5.3198084390892783E-2</v>
      </c>
      <c r="T111" s="4">
        <f t="shared" si="8"/>
        <v>-3.0675456217829997E-2</v>
      </c>
      <c r="U111" s="35"/>
      <c r="V111" s="35"/>
      <c r="W111" s="35"/>
      <c r="X111" s="35"/>
    </row>
    <row r="112" spans="4:24" x14ac:dyDescent="0.3">
      <c r="D112" s="23">
        <v>39743</v>
      </c>
      <c r="E112" s="5">
        <v>67.351096999999996</v>
      </c>
      <c r="F112" s="28">
        <v>47.709650000000003</v>
      </c>
      <c r="G112" s="28">
        <v>71.709999999999994</v>
      </c>
      <c r="H112" s="28">
        <v>26.67362</v>
      </c>
      <c r="I112" s="28">
        <v>33.544919999999998</v>
      </c>
      <c r="J112" s="29"/>
      <c r="K112" s="29"/>
      <c r="L112" s="29"/>
      <c r="M112" s="29"/>
      <c r="N112" s="29"/>
      <c r="P112" s="4">
        <f t="shared" si="8"/>
        <v>-5.599268308912192E-2</v>
      </c>
      <c r="Q112" s="4">
        <f t="shared" si="8"/>
        <v>4.5248218795080454E-3</v>
      </c>
      <c r="R112" s="4">
        <f t="shared" si="8"/>
        <v>-5.8497791345861909E-2</v>
      </c>
      <c r="S112" s="4">
        <f t="shared" si="8"/>
        <v>-2.8025675117384997E-2</v>
      </c>
      <c r="T112" s="4">
        <f t="shared" si="8"/>
        <v>-5.7394586641441286E-2</v>
      </c>
      <c r="U112" s="35"/>
      <c r="V112" s="35"/>
      <c r="W112" s="35"/>
      <c r="X112" s="35"/>
    </row>
    <row r="113" spans="4:24" x14ac:dyDescent="0.3">
      <c r="D113" s="23">
        <v>39744</v>
      </c>
      <c r="E113" s="5">
        <v>68.131287</v>
      </c>
      <c r="F113" s="28">
        <v>47.487909999999999</v>
      </c>
      <c r="G113" s="28">
        <v>70.650000000000006</v>
      </c>
      <c r="H113" s="28">
        <v>26.569050000000001</v>
      </c>
      <c r="I113" s="28">
        <v>33.963679999999997</v>
      </c>
      <c r="J113" s="29"/>
      <c r="K113" s="29"/>
      <c r="L113" s="29"/>
      <c r="M113" s="29"/>
      <c r="N113" s="29"/>
      <c r="P113" s="4">
        <f t="shared" si="8"/>
        <v>1.1517344192590163E-2</v>
      </c>
      <c r="Q113" s="4">
        <f t="shared" si="8"/>
        <v>-4.6585311853589266E-3</v>
      </c>
      <c r="R113" s="4">
        <f t="shared" si="8"/>
        <v>-1.4892098763946883E-2</v>
      </c>
      <c r="S113" s="4">
        <f t="shared" si="8"/>
        <v>-3.9280574943511238E-3</v>
      </c>
      <c r="T113" s="4">
        <f t="shared" si="8"/>
        <v>1.2406282196221275E-2</v>
      </c>
      <c r="U113" s="35"/>
      <c r="V113" s="35"/>
      <c r="W113" s="35"/>
      <c r="X113" s="35"/>
    </row>
    <row r="114" spans="4:24" x14ac:dyDescent="0.3">
      <c r="D114" s="23">
        <v>39745</v>
      </c>
      <c r="E114" s="5">
        <v>64.676063999999997</v>
      </c>
      <c r="F114" s="28">
        <v>46.943109999999997</v>
      </c>
      <c r="G114" s="28">
        <v>72.209999999999994</v>
      </c>
      <c r="H114" s="28">
        <v>25.715070000000001</v>
      </c>
      <c r="I114" s="28">
        <v>32.333550000000002</v>
      </c>
      <c r="J114" s="29"/>
      <c r="K114" s="29"/>
      <c r="L114" s="29"/>
      <c r="M114" s="29"/>
      <c r="N114" s="29"/>
      <c r="P114" s="4">
        <f t="shared" si="8"/>
        <v>-5.2045355538848481E-2</v>
      </c>
      <c r="Q114" s="4">
        <f t="shared" si="8"/>
        <v>-1.1538709306007158E-2</v>
      </c>
      <c r="R114" s="4">
        <f t="shared" si="8"/>
        <v>2.1840431332553607E-2</v>
      </c>
      <c r="S114" s="4">
        <f t="shared" si="8"/>
        <v>-3.2669803152266322E-2</v>
      </c>
      <c r="T114" s="4">
        <f t="shared" si="8"/>
        <v>-4.9186327508316169E-2</v>
      </c>
      <c r="U114" s="35"/>
      <c r="V114" s="35"/>
      <c r="W114" s="35"/>
      <c r="X114" s="35"/>
    </row>
    <row r="115" spans="4:24" x14ac:dyDescent="0.3">
      <c r="D115" s="23">
        <v>39748</v>
      </c>
      <c r="E115" s="5">
        <v>62.379986000000002</v>
      </c>
      <c r="F115" s="28">
        <v>46.68967</v>
      </c>
      <c r="G115" s="28">
        <v>72.180000000000007</v>
      </c>
      <c r="H115" s="28">
        <v>25.000520000000002</v>
      </c>
      <c r="I115" s="28">
        <v>31.286660000000001</v>
      </c>
      <c r="J115" s="29"/>
      <c r="K115" s="29"/>
      <c r="L115" s="29"/>
      <c r="M115" s="29"/>
      <c r="N115" s="29"/>
      <c r="P115" s="4">
        <f t="shared" si="8"/>
        <v>-3.6146692676254102E-2</v>
      </c>
      <c r="Q115" s="4">
        <f t="shared" si="8"/>
        <v>-5.4135019582349031E-3</v>
      </c>
      <c r="R115" s="4">
        <f t="shared" si="8"/>
        <v>-4.1554124844758148E-4</v>
      </c>
      <c r="S115" s="4">
        <f t="shared" si="8"/>
        <v>-2.8180576717897726E-2</v>
      </c>
      <c r="T115" s="4">
        <f t="shared" si="8"/>
        <v>-3.291358222892557E-2</v>
      </c>
      <c r="U115" s="35"/>
      <c r="V115" s="35"/>
      <c r="W115" s="35"/>
      <c r="X115" s="35"/>
    </row>
    <row r="116" spans="4:24" x14ac:dyDescent="0.3">
      <c r="D116" s="23">
        <v>39749</v>
      </c>
      <c r="E116" s="5">
        <v>69.669441000000006</v>
      </c>
      <c r="F116" s="28">
        <v>46.328620000000001</v>
      </c>
      <c r="G116" s="28">
        <v>73.790000000000006</v>
      </c>
      <c r="H116" s="28">
        <v>27.762869999999999</v>
      </c>
      <c r="I116" s="28">
        <v>34.427309999999999</v>
      </c>
      <c r="J116" s="29"/>
      <c r="K116" s="29"/>
      <c r="L116" s="29"/>
      <c r="M116" s="29"/>
      <c r="N116" s="29"/>
      <c r="P116" s="4">
        <f t="shared" si="8"/>
        <v>0.11051729872157053</v>
      </c>
      <c r="Q116" s="4">
        <f t="shared" si="8"/>
        <v>-7.7630283938702046E-3</v>
      </c>
      <c r="R116" s="4">
        <f t="shared" si="8"/>
        <v>2.2060221855632788E-2</v>
      </c>
      <c r="S116" s="4">
        <f t="shared" si="8"/>
        <v>0.10480289180988545</v>
      </c>
      <c r="T116" s="4">
        <f t="shared" si="8"/>
        <v>9.5658336145143838E-2</v>
      </c>
      <c r="U116" s="35"/>
      <c r="V116" s="35"/>
      <c r="W116" s="35"/>
      <c r="X116" s="35"/>
    </row>
    <row r="117" spans="4:24" x14ac:dyDescent="0.3">
      <c r="D117" s="23">
        <v>39750</v>
      </c>
      <c r="E117" s="5">
        <v>69.164139000000006</v>
      </c>
      <c r="F117" s="28">
        <v>46.664389999999997</v>
      </c>
      <c r="G117" s="28">
        <v>74</v>
      </c>
      <c r="H117" s="28">
        <v>27.693159999999999</v>
      </c>
      <c r="I117" s="28">
        <v>34.083320000000001</v>
      </c>
      <c r="J117" s="29"/>
      <c r="K117" s="29"/>
      <c r="L117" s="29"/>
      <c r="M117" s="29"/>
      <c r="N117" s="29"/>
      <c r="P117" s="4">
        <f t="shared" ref="P117:T132" si="9">LN(E117/E116)</f>
        <v>-7.279279713734545E-3</v>
      </c>
      <c r="Q117" s="4">
        <f t="shared" si="9"/>
        <v>7.2214343674734663E-3</v>
      </c>
      <c r="R117" s="4">
        <f t="shared" si="9"/>
        <v>2.8418721338943779E-3</v>
      </c>
      <c r="S117" s="4">
        <f t="shared" si="9"/>
        <v>-2.5140651689986933E-3</v>
      </c>
      <c r="T117" s="4">
        <f t="shared" si="9"/>
        <v>-1.0042029703286642E-2</v>
      </c>
      <c r="U117" s="35"/>
      <c r="V117" s="35"/>
      <c r="W117" s="35"/>
      <c r="X117" s="35"/>
    </row>
    <row r="118" spans="4:24" x14ac:dyDescent="0.3">
      <c r="D118" s="23">
        <v>39751</v>
      </c>
      <c r="E118" s="5">
        <v>71.556808000000004</v>
      </c>
      <c r="F118" s="28">
        <v>46.353949999999998</v>
      </c>
      <c r="G118" s="28">
        <v>72.709999999999994</v>
      </c>
      <c r="H118" s="28">
        <v>28.616849999999999</v>
      </c>
      <c r="I118" s="28">
        <v>35.234900000000003</v>
      </c>
      <c r="J118" s="29"/>
      <c r="K118" s="29"/>
      <c r="L118" s="29"/>
      <c r="M118" s="29"/>
      <c r="N118" s="29"/>
      <c r="P118" s="4">
        <f t="shared" si="9"/>
        <v>3.4009145963986007E-2</v>
      </c>
      <c r="Q118" s="4">
        <f t="shared" si="9"/>
        <v>-6.6748375126248552E-3</v>
      </c>
      <c r="R118" s="4">
        <f t="shared" si="9"/>
        <v>-1.7586166542204393E-2</v>
      </c>
      <c r="S118" s="4">
        <f t="shared" si="9"/>
        <v>3.2810253885087799E-2</v>
      </c>
      <c r="T118" s="4">
        <f t="shared" si="9"/>
        <v>3.3228953631148334E-2</v>
      </c>
      <c r="U118" s="35"/>
      <c r="V118" s="35"/>
      <c r="W118" s="35"/>
      <c r="X118" s="35"/>
    </row>
    <row r="119" spans="4:24" x14ac:dyDescent="0.3">
      <c r="D119" s="23">
        <v>39752</v>
      </c>
      <c r="E119" s="5">
        <v>71.950630000000004</v>
      </c>
      <c r="F119" s="28">
        <v>46.328620000000001</v>
      </c>
      <c r="G119" s="28">
        <v>71.34</v>
      </c>
      <c r="H119" s="28">
        <v>28.660419999999998</v>
      </c>
      <c r="I119" s="28">
        <v>36.012569999999997</v>
      </c>
      <c r="J119" s="29"/>
      <c r="K119" s="29"/>
      <c r="L119" s="29"/>
      <c r="M119" s="29"/>
      <c r="N119" s="29"/>
      <c r="P119" s="4">
        <f t="shared" si="9"/>
        <v>5.4885376551072904E-3</v>
      </c>
      <c r="Q119" s="4">
        <f t="shared" si="9"/>
        <v>-5.465968548486657E-4</v>
      </c>
      <c r="R119" s="4">
        <f t="shared" si="9"/>
        <v>-1.9021746731219886E-2</v>
      </c>
      <c r="S119" s="4">
        <f t="shared" si="9"/>
        <v>1.5213716856205528E-3</v>
      </c>
      <c r="T119" s="4">
        <f t="shared" si="9"/>
        <v>2.1830975490452917E-2</v>
      </c>
      <c r="U119" s="35"/>
      <c r="V119" s="35"/>
      <c r="W119" s="35"/>
      <c r="X119" s="35"/>
    </row>
    <row r="120" spans="4:24" x14ac:dyDescent="0.3">
      <c r="D120" s="23">
        <v>39755</v>
      </c>
      <c r="E120" s="5">
        <v>72.158698999999999</v>
      </c>
      <c r="F120" s="28">
        <v>46.691189999999999</v>
      </c>
      <c r="G120" s="28">
        <v>71.099999999999994</v>
      </c>
      <c r="H120" s="28">
        <v>28.599419999999999</v>
      </c>
      <c r="I120" s="28">
        <v>35.89293</v>
      </c>
      <c r="J120" s="29"/>
      <c r="K120" s="29"/>
      <c r="L120" s="29"/>
      <c r="M120" s="29"/>
      <c r="N120" s="29"/>
      <c r="P120" s="4">
        <f t="shared" si="9"/>
        <v>2.8876568370254868E-3</v>
      </c>
      <c r="Q120" s="4">
        <f t="shared" si="9"/>
        <v>7.7955832450490948E-3</v>
      </c>
      <c r="R120" s="4">
        <f t="shared" si="9"/>
        <v>-3.3698431215504351E-3</v>
      </c>
      <c r="S120" s="4">
        <f t="shared" si="9"/>
        <v>-2.1306389635881284E-3</v>
      </c>
      <c r="T120" s="4">
        <f t="shared" si="9"/>
        <v>-3.3277040116237782E-3</v>
      </c>
      <c r="U120" s="35"/>
      <c r="V120" s="35"/>
      <c r="W120" s="35"/>
      <c r="X120" s="35"/>
    </row>
    <row r="121" spans="4:24" x14ac:dyDescent="0.3">
      <c r="D121" s="23">
        <v>39756</v>
      </c>
      <c r="E121" s="5">
        <v>74.610793999999999</v>
      </c>
      <c r="F121" s="28">
        <v>47.161929999999998</v>
      </c>
      <c r="G121" s="28">
        <v>75.48</v>
      </c>
      <c r="H121" s="28">
        <v>29.409829999999999</v>
      </c>
      <c r="I121" s="28">
        <v>37.186570000000003</v>
      </c>
      <c r="J121" s="29"/>
      <c r="K121" s="29"/>
      <c r="L121" s="29"/>
      <c r="M121" s="29"/>
      <c r="N121" s="29"/>
      <c r="P121" s="4">
        <f t="shared" si="9"/>
        <v>3.3417342219210784E-2</v>
      </c>
      <c r="Q121" s="4">
        <f t="shared" si="9"/>
        <v>1.0031503429660782E-2</v>
      </c>
      <c r="R121" s="4">
        <f t="shared" si="9"/>
        <v>5.9780383691154446E-2</v>
      </c>
      <c r="S121" s="4">
        <f t="shared" si="9"/>
        <v>2.7942534302485708E-2</v>
      </c>
      <c r="T121" s="4">
        <f t="shared" si="9"/>
        <v>3.5407334423113522E-2</v>
      </c>
      <c r="U121" s="35"/>
      <c r="V121" s="35"/>
      <c r="W121" s="35"/>
      <c r="X121" s="35"/>
    </row>
    <row r="122" spans="4:24" x14ac:dyDescent="0.3">
      <c r="D122" s="23">
        <v>39757</v>
      </c>
      <c r="E122" s="5">
        <v>71.475104999999999</v>
      </c>
      <c r="F122" s="28">
        <v>47.518189999999997</v>
      </c>
      <c r="G122" s="28">
        <v>72.8</v>
      </c>
      <c r="H122" s="28">
        <v>27.876159999999999</v>
      </c>
      <c r="I122" s="28">
        <v>35.347050000000003</v>
      </c>
      <c r="J122" s="29"/>
      <c r="K122" s="29"/>
      <c r="L122" s="29"/>
      <c r="M122" s="29"/>
      <c r="N122" s="29"/>
      <c r="P122" s="4">
        <f t="shared" si="9"/>
        <v>-4.2935981179473323E-2</v>
      </c>
      <c r="Q122" s="4">
        <f t="shared" si="9"/>
        <v>7.5255857593034383E-3</v>
      </c>
      <c r="R122" s="4">
        <f t="shared" si="9"/>
        <v>-3.6151765297709262E-2</v>
      </c>
      <c r="S122" s="4">
        <f t="shared" si="9"/>
        <v>-5.3557128938171043E-2</v>
      </c>
      <c r="T122" s="4">
        <f t="shared" si="9"/>
        <v>-5.073273693169849E-2</v>
      </c>
      <c r="U122" s="35"/>
      <c r="V122" s="35"/>
      <c r="W122" s="35"/>
      <c r="X122" s="35"/>
    </row>
    <row r="123" spans="4:24" x14ac:dyDescent="0.3">
      <c r="D123" s="23">
        <v>39758</v>
      </c>
      <c r="E123" s="5">
        <v>67.514526000000004</v>
      </c>
      <c r="F123" s="28">
        <v>47.556319999999999</v>
      </c>
      <c r="G123" s="28">
        <v>72.22</v>
      </c>
      <c r="H123" s="28">
        <v>26.630050000000001</v>
      </c>
      <c r="I123" s="28">
        <v>33.612250000000003</v>
      </c>
      <c r="J123" s="29"/>
      <c r="K123" s="29"/>
      <c r="L123" s="29"/>
      <c r="M123" s="29"/>
      <c r="N123" s="29"/>
      <c r="P123" s="4">
        <f t="shared" si="9"/>
        <v>-5.7006432526131405E-2</v>
      </c>
      <c r="Q123" s="4">
        <f t="shared" si="9"/>
        <v>8.0210777934767627E-4</v>
      </c>
      <c r="R123" s="4">
        <f t="shared" si="9"/>
        <v>-7.9989393533285678E-3</v>
      </c>
      <c r="S123" s="4">
        <f t="shared" si="9"/>
        <v>-4.5731565858452519E-2</v>
      </c>
      <c r="T123" s="4">
        <f t="shared" si="9"/>
        <v>-5.0324353799935814E-2</v>
      </c>
      <c r="U123" s="35"/>
      <c r="V123" s="35"/>
      <c r="W123" s="35"/>
      <c r="X123" s="35"/>
    </row>
    <row r="124" spans="4:24" x14ac:dyDescent="0.3">
      <c r="D124" s="23">
        <v>39759</v>
      </c>
      <c r="E124" s="5">
        <v>69.743752000000001</v>
      </c>
      <c r="F124" s="28">
        <v>47.454529999999998</v>
      </c>
      <c r="G124" s="28">
        <v>72.5</v>
      </c>
      <c r="H124" s="28">
        <v>27.179030000000001</v>
      </c>
      <c r="I124" s="28">
        <v>34.47963</v>
      </c>
      <c r="J124" s="29"/>
      <c r="K124" s="29"/>
      <c r="L124" s="29"/>
      <c r="M124" s="29"/>
      <c r="N124" s="29"/>
      <c r="P124" s="4">
        <f t="shared" si="9"/>
        <v>3.2485064901992801E-2</v>
      </c>
      <c r="Q124" s="4">
        <f t="shared" si="9"/>
        <v>-2.1427034690178876E-3</v>
      </c>
      <c r="R124" s="4">
        <f t="shared" si="9"/>
        <v>3.8695460113174693E-3</v>
      </c>
      <c r="S124" s="4">
        <f t="shared" si="9"/>
        <v>2.0405442674526011E-2</v>
      </c>
      <c r="T124" s="4">
        <f t="shared" si="9"/>
        <v>2.5478131021309941E-2</v>
      </c>
      <c r="U124" s="35"/>
      <c r="V124" s="35"/>
      <c r="W124" s="35"/>
      <c r="X124" s="35"/>
    </row>
    <row r="125" spans="4:24" x14ac:dyDescent="0.3">
      <c r="D125" s="23">
        <v>39762</v>
      </c>
      <c r="E125" s="5">
        <v>68.829764999999995</v>
      </c>
      <c r="F125" s="28">
        <v>47.454529999999998</v>
      </c>
      <c r="G125" s="28">
        <v>73.58</v>
      </c>
      <c r="H125" s="28">
        <v>26.813040000000001</v>
      </c>
      <c r="I125" s="28">
        <v>34.098300000000002</v>
      </c>
      <c r="J125" s="29"/>
      <c r="K125" s="29"/>
      <c r="L125" s="29"/>
      <c r="M125" s="29"/>
      <c r="N125" s="29"/>
      <c r="P125" s="4">
        <f t="shared" si="9"/>
        <v>-1.3191557432754819E-2</v>
      </c>
      <c r="Q125" s="4">
        <f t="shared" si="9"/>
        <v>0</v>
      </c>
      <c r="R125" s="4">
        <f t="shared" si="9"/>
        <v>1.478668781599923E-2</v>
      </c>
      <c r="S125" s="4">
        <f t="shared" si="9"/>
        <v>-1.3557383734707613E-2</v>
      </c>
      <c r="T125" s="4">
        <f t="shared" si="9"/>
        <v>-1.1121185205131084E-2</v>
      </c>
      <c r="U125" s="35"/>
      <c r="V125" s="35"/>
      <c r="W125" s="35"/>
      <c r="X125" s="35"/>
    </row>
    <row r="126" spans="4:24" x14ac:dyDescent="0.3">
      <c r="D126" s="23">
        <v>39763</v>
      </c>
      <c r="E126" s="5">
        <v>66.704620000000006</v>
      </c>
      <c r="F126" s="28">
        <v>47.575389999999999</v>
      </c>
      <c r="G126" s="28">
        <v>72.05</v>
      </c>
      <c r="H126" s="28">
        <v>26.229199999999999</v>
      </c>
      <c r="I126" s="28">
        <v>33.320599999999999</v>
      </c>
      <c r="J126" s="29"/>
      <c r="K126" s="29"/>
      <c r="L126" s="29"/>
      <c r="M126" s="29"/>
      <c r="N126" s="29"/>
      <c r="P126" s="4">
        <f t="shared" si="9"/>
        <v>-3.1362066305364172E-2</v>
      </c>
      <c r="Q126" s="4">
        <f t="shared" si="9"/>
        <v>2.5436213176602517E-3</v>
      </c>
      <c r="R126" s="4">
        <f t="shared" si="9"/>
        <v>-2.1012927231097281E-2</v>
      </c>
      <c r="S126" s="4">
        <f t="shared" si="9"/>
        <v>-2.2015042360041835E-2</v>
      </c>
      <c r="T126" s="4">
        <f t="shared" si="9"/>
        <v>-2.3071705334921127E-2</v>
      </c>
      <c r="U126" s="35"/>
      <c r="V126" s="35"/>
      <c r="W126" s="35"/>
      <c r="X126" s="35"/>
    </row>
    <row r="127" spans="4:24" x14ac:dyDescent="0.3">
      <c r="D127" s="23">
        <v>39764</v>
      </c>
      <c r="E127" s="5">
        <v>63.769534999999998</v>
      </c>
      <c r="F127" s="28">
        <v>47.422730000000001</v>
      </c>
      <c r="G127" s="28">
        <v>70</v>
      </c>
      <c r="H127" s="28">
        <v>25.017949999999999</v>
      </c>
      <c r="I127" s="28">
        <v>31.615690000000001</v>
      </c>
      <c r="J127" s="29"/>
      <c r="K127" s="29"/>
      <c r="L127" s="29"/>
      <c r="M127" s="29"/>
      <c r="N127" s="29"/>
      <c r="P127" s="4">
        <f t="shared" si="9"/>
        <v>-4.4998647419579076E-2</v>
      </c>
      <c r="Q127" s="4">
        <f t="shared" si="9"/>
        <v>-3.213961105946463E-3</v>
      </c>
      <c r="R127" s="4">
        <f t="shared" si="9"/>
        <v>-2.8865080396172124E-2</v>
      </c>
      <c r="S127" s="4">
        <f t="shared" si="9"/>
        <v>-4.7279726756013156E-2</v>
      </c>
      <c r="T127" s="4">
        <f t="shared" si="9"/>
        <v>-5.2522307983952285E-2</v>
      </c>
      <c r="U127" s="35"/>
      <c r="V127" s="35"/>
      <c r="W127" s="35"/>
      <c r="X127" s="35"/>
    </row>
    <row r="128" spans="4:24" x14ac:dyDescent="0.3">
      <c r="D128" s="23">
        <v>39765</v>
      </c>
      <c r="E128" s="5">
        <v>67.744926000000007</v>
      </c>
      <c r="F128" s="28">
        <v>47.422730000000001</v>
      </c>
      <c r="G128" s="28">
        <v>72.150000000000006</v>
      </c>
      <c r="H128" s="28">
        <v>26.542919999999999</v>
      </c>
      <c r="I128" s="28">
        <v>33.701949999999997</v>
      </c>
      <c r="J128" s="29"/>
      <c r="K128" s="29"/>
      <c r="L128" s="29"/>
      <c r="M128" s="29"/>
      <c r="N128" s="29"/>
      <c r="P128" s="4">
        <f t="shared" si="9"/>
        <v>6.0473995495679993E-2</v>
      </c>
      <c r="Q128" s="4">
        <f t="shared" si="9"/>
        <v>0</v>
      </c>
      <c r="R128" s="4">
        <f t="shared" si="9"/>
        <v>3.0252043170520871E-2</v>
      </c>
      <c r="S128" s="4">
        <f t="shared" si="9"/>
        <v>5.916947822988692E-2</v>
      </c>
      <c r="T128" s="4">
        <f t="shared" si="9"/>
        <v>6.3902182830328738E-2</v>
      </c>
      <c r="U128" s="35"/>
      <c r="V128" s="35"/>
      <c r="W128" s="35"/>
      <c r="X128" s="35"/>
    </row>
    <row r="129" spans="4:24" x14ac:dyDescent="0.3">
      <c r="D129" s="23">
        <v>39766</v>
      </c>
      <c r="E129" s="5">
        <v>64.363975999999994</v>
      </c>
      <c r="F129" s="28">
        <v>47.58813</v>
      </c>
      <c r="G129" s="28">
        <v>73.3</v>
      </c>
      <c r="H129" s="28">
        <v>25.253240000000002</v>
      </c>
      <c r="I129" s="28">
        <v>32.266260000000003</v>
      </c>
      <c r="J129" s="29"/>
      <c r="K129" s="29"/>
      <c r="L129" s="29"/>
      <c r="M129" s="29"/>
      <c r="N129" s="29"/>
      <c r="P129" s="4">
        <f t="shared" si="9"/>
        <v>-5.1195466248675756E-2</v>
      </c>
      <c r="Q129" s="4">
        <f t="shared" si="9"/>
        <v>3.48171076623886E-3</v>
      </c>
      <c r="R129" s="4">
        <f t="shared" si="9"/>
        <v>1.5813323672725803E-2</v>
      </c>
      <c r="S129" s="4">
        <f t="shared" si="9"/>
        <v>-4.9808581138251762E-2</v>
      </c>
      <c r="T129" s="4">
        <f t="shared" si="9"/>
        <v>-4.3533596956557542E-2</v>
      </c>
      <c r="U129" s="35"/>
      <c r="V129" s="35"/>
      <c r="W129" s="35"/>
      <c r="X129" s="35"/>
    </row>
    <row r="130" spans="4:24" x14ac:dyDescent="0.3">
      <c r="D130" s="23">
        <v>39769</v>
      </c>
      <c r="E130" s="5">
        <v>63.509467999999998</v>
      </c>
      <c r="F130" s="28">
        <v>47.46725</v>
      </c>
      <c r="G130" s="28">
        <v>72.650000000000006</v>
      </c>
      <c r="H130" s="28">
        <v>24.721679999999999</v>
      </c>
      <c r="I130" s="28">
        <v>31.42127</v>
      </c>
      <c r="J130" s="29"/>
      <c r="K130" s="29"/>
      <c r="L130" s="29"/>
      <c r="M130" s="29"/>
      <c r="N130" s="29"/>
      <c r="P130" s="4">
        <f t="shared" si="9"/>
        <v>-1.3365100571386644E-2</v>
      </c>
      <c r="Q130" s="4">
        <f t="shared" si="9"/>
        <v>-2.5433608315742701E-3</v>
      </c>
      <c r="R130" s="4">
        <f t="shared" si="9"/>
        <v>-8.9072188763138025E-3</v>
      </c>
      <c r="S130" s="4">
        <f t="shared" si="9"/>
        <v>-2.1273872875868426E-2</v>
      </c>
      <c r="T130" s="4">
        <f t="shared" si="9"/>
        <v>-2.6537050104033254E-2</v>
      </c>
      <c r="U130" s="35"/>
      <c r="V130" s="35"/>
      <c r="W130" s="35"/>
      <c r="X130" s="35"/>
    </row>
    <row r="131" spans="4:24" x14ac:dyDescent="0.3">
      <c r="D131" s="23">
        <v>39770</v>
      </c>
      <c r="E131" s="5">
        <v>64.705780000000004</v>
      </c>
      <c r="F131" s="28">
        <v>47.499079999999999</v>
      </c>
      <c r="G131" s="28">
        <v>72.510000000000005</v>
      </c>
      <c r="H131" s="28">
        <v>24.695530000000002</v>
      </c>
      <c r="I131" s="28">
        <v>31.712900000000001</v>
      </c>
      <c r="J131" s="29"/>
      <c r="K131" s="29"/>
      <c r="L131" s="29"/>
      <c r="M131" s="29"/>
      <c r="N131" s="29"/>
      <c r="P131" s="4">
        <f t="shared" si="9"/>
        <v>1.8661535764614826E-2</v>
      </c>
      <c r="Q131" s="4">
        <f t="shared" si="9"/>
        <v>6.7034287187726807E-4</v>
      </c>
      <c r="R131" s="4">
        <f t="shared" si="9"/>
        <v>-1.928906632790535E-3</v>
      </c>
      <c r="S131" s="4">
        <f t="shared" si="9"/>
        <v>-1.0583358486174056E-3</v>
      </c>
      <c r="T131" s="4">
        <f t="shared" si="9"/>
        <v>9.238486043494306E-3</v>
      </c>
      <c r="U131" s="35"/>
      <c r="V131" s="35"/>
      <c r="W131" s="35"/>
      <c r="X131" s="35"/>
    </row>
    <row r="132" spans="4:24" x14ac:dyDescent="0.3">
      <c r="D132" s="23">
        <v>39771</v>
      </c>
      <c r="E132" s="5">
        <v>60.559494000000001</v>
      </c>
      <c r="F132" s="28">
        <v>47.664470000000001</v>
      </c>
      <c r="G132" s="28">
        <v>72.260000000000005</v>
      </c>
      <c r="H132" s="28">
        <v>23.405860000000001</v>
      </c>
      <c r="I132" s="28">
        <v>29.791129999999999</v>
      </c>
      <c r="J132" s="29"/>
      <c r="K132" s="29"/>
      <c r="L132" s="29"/>
      <c r="M132" s="29"/>
      <c r="N132" s="29"/>
      <c r="P132" s="4">
        <f t="shared" si="9"/>
        <v>-6.6224279166591779E-2</v>
      </c>
      <c r="Q132" s="4">
        <f t="shared" si="9"/>
        <v>3.4759141818448808E-3</v>
      </c>
      <c r="R132" s="4">
        <f t="shared" si="9"/>
        <v>-3.4537576640071548E-3</v>
      </c>
      <c r="S132" s="4">
        <f t="shared" si="9"/>
        <v>-5.363583723427745E-2</v>
      </c>
      <c r="T132" s="4">
        <f t="shared" si="9"/>
        <v>-6.2512839970880987E-2</v>
      </c>
      <c r="U132" s="35"/>
      <c r="V132" s="35"/>
      <c r="W132" s="35"/>
      <c r="X132" s="35"/>
    </row>
    <row r="133" spans="4:24" x14ac:dyDescent="0.3">
      <c r="D133" s="23">
        <v>39772</v>
      </c>
      <c r="E133" s="5">
        <v>56.063972</v>
      </c>
      <c r="F133" s="28">
        <v>47.626289999999997</v>
      </c>
      <c r="G133" s="28">
        <v>73.45</v>
      </c>
      <c r="H133" s="28">
        <v>22.273029999999999</v>
      </c>
      <c r="I133" s="28">
        <v>27.802060000000001</v>
      </c>
      <c r="J133" s="29"/>
      <c r="K133" s="29"/>
      <c r="L133" s="29"/>
      <c r="M133" s="29"/>
      <c r="N133" s="29"/>
      <c r="P133" s="4">
        <f t="shared" ref="P133:T148" si="10">LN(E133/E132)</f>
        <v>-7.7132857859643342E-2</v>
      </c>
      <c r="Q133" s="4">
        <f t="shared" si="10"/>
        <v>-8.0133691961488916E-4</v>
      </c>
      <c r="R133" s="4">
        <f t="shared" si="10"/>
        <v>1.6334176900392093E-2</v>
      </c>
      <c r="S133" s="4">
        <f t="shared" si="10"/>
        <v>-4.9609888871665425E-2</v>
      </c>
      <c r="T133" s="4">
        <f t="shared" si="10"/>
        <v>-6.910057952710108E-2</v>
      </c>
      <c r="U133" s="35"/>
      <c r="V133" s="35"/>
      <c r="W133" s="35"/>
      <c r="X133" s="35"/>
    </row>
    <row r="134" spans="4:24" x14ac:dyDescent="0.3">
      <c r="D134" s="23">
        <v>39773</v>
      </c>
      <c r="E134" s="5">
        <v>59.088222999999999</v>
      </c>
      <c r="F134" s="28">
        <v>47.39096</v>
      </c>
      <c r="G134" s="28">
        <v>78.849999999999994</v>
      </c>
      <c r="H134" s="28">
        <v>23.240290000000002</v>
      </c>
      <c r="I134" s="28">
        <v>29.379860000000001</v>
      </c>
      <c r="J134" s="29"/>
      <c r="K134" s="29"/>
      <c r="L134" s="29"/>
      <c r="M134" s="29"/>
      <c r="N134" s="29"/>
      <c r="P134" s="4">
        <f t="shared" si="10"/>
        <v>5.2538236250460404E-2</v>
      </c>
      <c r="Q134" s="4">
        <f t="shared" si="10"/>
        <v>-4.9534264816066109E-3</v>
      </c>
      <c r="R134" s="4">
        <f t="shared" si="10"/>
        <v>7.0942410789160928E-2</v>
      </c>
      <c r="S134" s="4">
        <f t="shared" si="10"/>
        <v>4.2510880900502028E-2</v>
      </c>
      <c r="T134" s="4">
        <f t="shared" si="10"/>
        <v>5.5199286917326749E-2</v>
      </c>
      <c r="U134" s="35"/>
      <c r="V134" s="35"/>
      <c r="W134" s="35"/>
      <c r="X134" s="35"/>
    </row>
    <row r="135" spans="4:24" x14ac:dyDescent="0.3">
      <c r="D135" s="23">
        <v>39776</v>
      </c>
      <c r="E135" s="5">
        <v>63.182490999999999</v>
      </c>
      <c r="F135" s="28">
        <v>47.187370000000001</v>
      </c>
      <c r="G135" s="28">
        <v>80.91</v>
      </c>
      <c r="H135" s="28">
        <v>24.660679999999999</v>
      </c>
      <c r="I135" s="28">
        <v>31.129639999999998</v>
      </c>
      <c r="J135" s="29"/>
      <c r="K135" s="29"/>
      <c r="L135" s="29"/>
      <c r="M135" s="29"/>
      <c r="N135" s="29"/>
      <c r="P135" s="4">
        <f t="shared" si="10"/>
        <v>6.69955894955475E-2</v>
      </c>
      <c r="Q135" s="4">
        <f t="shared" si="10"/>
        <v>-4.3052211740347741E-3</v>
      </c>
      <c r="R135" s="4">
        <f t="shared" si="10"/>
        <v>2.5790112410700908E-2</v>
      </c>
      <c r="S135" s="4">
        <f t="shared" si="10"/>
        <v>5.9322661985065181E-2</v>
      </c>
      <c r="T135" s="4">
        <f t="shared" si="10"/>
        <v>5.785101439130446E-2</v>
      </c>
      <c r="U135" s="35"/>
      <c r="V135" s="35"/>
      <c r="W135" s="35"/>
      <c r="X135" s="35"/>
    </row>
    <row r="136" spans="4:24" x14ac:dyDescent="0.3">
      <c r="D136" s="23">
        <v>39777</v>
      </c>
      <c r="E136" s="5">
        <v>63.650664999999996</v>
      </c>
      <c r="F136" s="28">
        <v>48.001600000000003</v>
      </c>
      <c r="G136" s="28">
        <v>80.87</v>
      </c>
      <c r="H136" s="28">
        <v>24.5474</v>
      </c>
      <c r="I136" s="28">
        <v>31.563330000000001</v>
      </c>
      <c r="J136" s="29"/>
      <c r="K136" s="29"/>
      <c r="L136" s="29"/>
      <c r="M136" s="29"/>
      <c r="N136" s="29"/>
      <c r="P136" s="4">
        <f t="shared" si="10"/>
        <v>7.382551079446598E-3</v>
      </c>
      <c r="Q136" s="4">
        <f t="shared" si="10"/>
        <v>1.7108071647120027E-2</v>
      </c>
      <c r="R136" s="4">
        <f t="shared" si="10"/>
        <v>-4.9449871201739839E-4</v>
      </c>
      <c r="S136" s="4">
        <f t="shared" si="10"/>
        <v>-4.6041300578757369E-3</v>
      </c>
      <c r="T136" s="4">
        <f t="shared" si="10"/>
        <v>1.38355837401965E-2</v>
      </c>
      <c r="U136" s="35"/>
      <c r="V136" s="35"/>
      <c r="W136" s="35"/>
      <c r="X136" s="35"/>
    </row>
    <row r="137" spans="4:24" x14ac:dyDescent="0.3">
      <c r="D137" s="23">
        <v>39778</v>
      </c>
      <c r="E137" s="5">
        <v>66.110184000000004</v>
      </c>
      <c r="F137" s="28">
        <v>48.30057</v>
      </c>
      <c r="G137" s="28">
        <v>80.38</v>
      </c>
      <c r="H137" s="28">
        <v>25.57565</v>
      </c>
      <c r="I137" s="28">
        <v>32.729869999999998</v>
      </c>
      <c r="J137" s="29"/>
      <c r="K137" s="29"/>
      <c r="L137" s="29"/>
      <c r="M137" s="29"/>
      <c r="N137" s="29"/>
      <c r="P137" s="4">
        <f t="shared" si="10"/>
        <v>3.7913031871635972E-2</v>
      </c>
      <c r="Q137" s="4">
        <f t="shared" si="10"/>
        <v>6.2090181454477426E-3</v>
      </c>
      <c r="R137" s="4">
        <f t="shared" si="10"/>
        <v>-6.0775380866758882E-3</v>
      </c>
      <c r="S137" s="4">
        <f t="shared" si="10"/>
        <v>4.1034784641079208E-2</v>
      </c>
      <c r="T137" s="4">
        <f t="shared" si="10"/>
        <v>3.6292112894449065E-2</v>
      </c>
      <c r="U137" s="35"/>
      <c r="V137" s="35"/>
      <c r="W137" s="35"/>
      <c r="X137" s="35"/>
    </row>
    <row r="138" spans="4:24" x14ac:dyDescent="0.3">
      <c r="D138" s="23">
        <v>39780</v>
      </c>
      <c r="E138" s="5">
        <v>66.942390000000003</v>
      </c>
      <c r="F138" s="28">
        <v>48.147910000000003</v>
      </c>
      <c r="G138" s="28">
        <v>80.31</v>
      </c>
      <c r="H138" s="28">
        <v>25.375229999999998</v>
      </c>
      <c r="I138" s="28">
        <v>33.126179999999998</v>
      </c>
      <c r="J138" s="29"/>
      <c r="K138" s="29"/>
      <c r="L138" s="29"/>
      <c r="M138" s="29"/>
      <c r="N138" s="29"/>
      <c r="P138" s="4">
        <f t="shared" si="10"/>
        <v>1.2509594179331488E-2</v>
      </c>
      <c r="Q138" s="4">
        <f t="shared" si="10"/>
        <v>-3.1656305519081958E-3</v>
      </c>
      <c r="R138" s="4">
        <f t="shared" si="10"/>
        <v>-8.7124282068411945E-4</v>
      </c>
      <c r="S138" s="4">
        <f t="shared" si="10"/>
        <v>-7.8672255992114238E-3</v>
      </c>
      <c r="T138" s="4">
        <f t="shared" si="10"/>
        <v>1.2035789699454643E-2</v>
      </c>
      <c r="U138" s="35"/>
      <c r="V138" s="35"/>
      <c r="W138" s="35"/>
      <c r="X138" s="35"/>
    </row>
    <row r="139" spans="4:24" x14ac:dyDescent="0.3">
      <c r="D139" s="23">
        <v>39783</v>
      </c>
      <c r="E139" s="5">
        <v>61.012787000000003</v>
      </c>
      <c r="F139" s="28">
        <v>48.432729999999999</v>
      </c>
      <c r="G139" s="28">
        <v>75.650000000000006</v>
      </c>
      <c r="H139" s="28">
        <v>23.46686</v>
      </c>
      <c r="I139" s="28">
        <v>30.165019999999998</v>
      </c>
      <c r="J139" s="29"/>
      <c r="K139" s="29"/>
      <c r="L139" s="29"/>
      <c r="M139" s="29"/>
      <c r="N139" s="29"/>
      <c r="P139" s="4">
        <f t="shared" si="10"/>
        <v>-9.2748933604689374E-2</v>
      </c>
      <c r="Q139" s="4">
        <f t="shared" si="10"/>
        <v>5.898093565770709E-3</v>
      </c>
      <c r="R139" s="4">
        <f t="shared" si="10"/>
        <v>-5.9776705966005809E-2</v>
      </c>
      <c r="S139" s="4">
        <f t="shared" si="10"/>
        <v>-7.8184288261968701E-2</v>
      </c>
      <c r="T139" s="4">
        <f t="shared" si="10"/>
        <v>-9.3640931400862895E-2</v>
      </c>
      <c r="U139" s="35"/>
      <c r="V139" s="35"/>
      <c r="W139" s="35"/>
      <c r="X139" s="35"/>
    </row>
    <row r="140" spans="4:24" x14ac:dyDescent="0.3">
      <c r="D140" s="23">
        <v>39784</v>
      </c>
      <c r="E140" s="5">
        <v>63.360840000000003</v>
      </c>
      <c r="F140" s="28">
        <v>48.726509999999998</v>
      </c>
      <c r="G140" s="28">
        <v>76.95</v>
      </c>
      <c r="H140" s="28">
        <v>24.25112</v>
      </c>
      <c r="I140" s="28">
        <v>31.35397</v>
      </c>
      <c r="J140" s="29"/>
      <c r="K140" s="29"/>
      <c r="L140" s="29"/>
      <c r="M140" s="29"/>
      <c r="N140" s="29"/>
      <c r="P140" s="4">
        <f t="shared" si="10"/>
        <v>3.7762539837736954E-2</v>
      </c>
      <c r="Q140" s="4">
        <f t="shared" si="10"/>
        <v>6.0474103198559625E-3</v>
      </c>
      <c r="R140" s="4">
        <f t="shared" si="10"/>
        <v>1.7038420050523168E-2</v>
      </c>
      <c r="S140" s="4">
        <f t="shared" si="10"/>
        <v>3.2873588785668803E-2</v>
      </c>
      <c r="T140" s="4">
        <f t="shared" si="10"/>
        <v>3.8657918917602695E-2</v>
      </c>
      <c r="U140" s="35"/>
      <c r="V140" s="35"/>
      <c r="W140" s="35"/>
      <c r="X140" s="35"/>
    </row>
    <row r="141" spans="4:24" x14ac:dyDescent="0.3">
      <c r="D141" s="23">
        <v>39785</v>
      </c>
      <c r="E141" s="5">
        <v>64.884124999999997</v>
      </c>
      <c r="F141" s="28">
        <v>48.496609999999997</v>
      </c>
      <c r="G141" s="28">
        <v>76.180000000000007</v>
      </c>
      <c r="H141" s="28">
        <v>24.939530000000001</v>
      </c>
      <c r="I141" s="28">
        <v>32.161549999999998</v>
      </c>
      <c r="J141" s="29"/>
      <c r="K141" s="29"/>
      <c r="L141" s="29"/>
      <c r="M141" s="29"/>
      <c r="N141" s="29"/>
      <c r="P141" s="4">
        <f t="shared" si="10"/>
        <v>2.3756981706976554E-2</v>
      </c>
      <c r="Q141" s="4">
        <f t="shared" si="10"/>
        <v>-4.7293365715292014E-3</v>
      </c>
      <c r="R141" s="4">
        <f t="shared" si="10"/>
        <v>-1.0056899234430147E-2</v>
      </c>
      <c r="S141" s="4">
        <f t="shared" si="10"/>
        <v>2.7991292961786374E-2</v>
      </c>
      <c r="T141" s="4">
        <f t="shared" si="10"/>
        <v>2.5430745836599419E-2</v>
      </c>
      <c r="U141" s="35"/>
      <c r="V141" s="35"/>
      <c r="W141" s="35"/>
      <c r="X141" s="35"/>
    </row>
    <row r="142" spans="4:24" x14ac:dyDescent="0.3">
      <c r="D142" s="23">
        <v>39786</v>
      </c>
      <c r="E142" s="5">
        <v>63.383141000000002</v>
      </c>
      <c r="F142" s="28">
        <v>48.707360000000001</v>
      </c>
      <c r="G142" s="28">
        <v>75.5</v>
      </c>
      <c r="H142" s="28">
        <v>24.233699999999999</v>
      </c>
      <c r="I142" s="28">
        <v>31.2044</v>
      </c>
      <c r="J142" s="29"/>
      <c r="K142" s="29"/>
      <c r="L142" s="29"/>
      <c r="M142" s="29"/>
      <c r="N142" s="29"/>
      <c r="P142" s="4">
        <f t="shared" si="10"/>
        <v>-2.3405075445958243E-2</v>
      </c>
      <c r="Q142" s="4">
        <f t="shared" si="10"/>
        <v>4.3362494397837228E-3</v>
      </c>
      <c r="R142" s="4">
        <f t="shared" si="10"/>
        <v>-8.9663047954790642E-3</v>
      </c>
      <c r="S142" s="4">
        <f t="shared" si="10"/>
        <v>-2.8709868414869152E-2</v>
      </c>
      <c r="T142" s="4">
        <f t="shared" si="10"/>
        <v>-3.0212529153482246E-2</v>
      </c>
      <c r="U142" s="35"/>
      <c r="V142" s="35"/>
      <c r="W142" s="35"/>
      <c r="X142" s="35"/>
    </row>
    <row r="143" spans="4:24" x14ac:dyDescent="0.3">
      <c r="D143" s="23">
        <v>39787</v>
      </c>
      <c r="E143" s="5">
        <v>65.337395000000001</v>
      </c>
      <c r="F143" s="28">
        <v>48.349719999999998</v>
      </c>
      <c r="G143" s="28">
        <v>74.52</v>
      </c>
      <c r="H143" s="28">
        <v>25.21837</v>
      </c>
      <c r="I143" s="28">
        <v>32.311109999999999</v>
      </c>
      <c r="J143" s="29"/>
      <c r="K143" s="29"/>
      <c r="L143" s="29"/>
      <c r="M143" s="29"/>
      <c r="N143" s="29"/>
      <c r="P143" s="4">
        <f t="shared" si="10"/>
        <v>3.0366625742316272E-2</v>
      </c>
      <c r="Q143" s="4">
        <f t="shared" si="10"/>
        <v>-7.3697172570823151E-3</v>
      </c>
      <c r="R143" s="4">
        <f t="shared" si="10"/>
        <v>-1.3065110521591325E-2</v>
      </c>
      <c r="S143" s="4">
        <f t="shared" si="10"/>
        <v>3.9828470772141862E-2</v>
      </c>
      <c r="T143" s="4">
        <f t="shared" si="10"/>
        <v>3.4852023421967533E-2</v>
      </c>
      <c r="U143" s="35"/>
      <c r="V143" s="35"/>
      <c r="W143" s="35"/>
      <c r="X143" s="35"/>
    </row>
    <row r="144" spans="4:24" x14ac:dyDescent="0.3">
      <c r="D144" s="23">
        <v>39790</v>
      </c>
      <c r="E144" s="5">
        <v>67.618561</v>
      </c>
      <c r="F144" s="28">
        <v>48.13899</v>
      </c>
      <c r="G144" s="28">
        <v>76.2</v>
      </c>
      <c r="H144" s="28">
        <v>26.211780000000001</v>
      </c>
      <c r="I144" s="28">
        <v>33.544919999999998</v>
      </c>
      <c r="J144" s="29"/>
      <c r="K144" s="29"/>
      <c r="L144" s="29"/>
      <c r="M144" s="29"/>
      <c r="N144" s="29"/>
      <c r="P144" s="4">
        <f t="shared" si="10"/>
        <v>3.4317979369733749E-2</v>
      </c>
      <c r="Q144" s="4">
        <f t="shared" si="10"/>
        <v>-4.3679791148056799E-3</v>
      </c>
      <c r="R144" s="4">
        <f t="shared" si="10"/>
        <v>2.229391695921298E-2</v>
      </c>
      <c r="S144" s="4">
        <f t="shared" si="10"/>
        <v>3.8636230836591373E-2</v>
      </c>
      <c r="T144" s="4">
        <f t="shared" si="10"/>
        <v>3.7474302220595244E-2</v>
      </c>
      <c r="U144" s="35"/>
      <c r="V144" s="35"/>
      <c r="W144" s="35"/>
      <c r="X144" s="35"/>
    </row>
    <row r="145" spans="4:24" x14ac:dyDescent="0.3">
      <c r="D145" s="23">
        <v>39791</v>
      </c>
      <c r="E145" s="5">
        <v>66.504020999999995</v>
      </c>
      <c r="F145" s="28">
        <v>48.394440000000003</v>
      </c>
      <c r="G145" s="28">
        <v>76.33</v>
      </c>
      <c r="H145" s="28">
        <v>26.150780000000001</v>
      </c>
      <c r="I145" s="28">
        <v>32.931750000000001</v>
      </c>
      <c r="J145" s="29"/>
      <c r="K145" s="29"/>
      <c r="L145" s="29"/>
      <c r="M145" s="29"/>
      <c r="N145" s="29"/>
      <c r="P145" s="4">
        <f t="shared" si="10"/>
        <v>-1.6620104367898327E-2</v>
      </c>
      <c r="Q145" s="4">
        <f t="shared" si="10"/>
        <v>5.2924794295572345E-3</v>
      </c>
      <c r="R145" s="4">
        <f t="shared" si="10"/>
        <v>1.7045831177782945E-3</v>
      </c>
      <c r="S145" s="4">
        <f t="shared" si="10"/>
        <v>-2.3299100576738389E-3</v>
      </c>
      <c r="T145" s="4">
        <f t="shared" si="10"/>
        <v>-1.8448198148940928E-2</v>
      </c>
      <c r="U145" s="35"/>
      <c r="V145" s="35"/>
      <c r="W145" s="35"/>
      <c r="X145" s="35"/>
    </row>
    <row r="146" spans="4:24" x14ac:dyDescent="0.3">
      <c r="D146" s="23">
        <v>39792</v>
      </c>
      <c r="E146" s="5">
        <v>66.957290999999998</v>
      </c>
      <c r="F146" s="28">
        <v>48.311390000000003</v>
      </c>
      <c r="G146" s="28">
        <v>79.75</v>
      </c>
      <c r="H146" s="28">
        <v>26.063639999999999</v>
      </c>
      <c r="I146" s="28">
        <v>33.30565</v>
      </c>
      <c r="J146" s="29"/>
      <c r="K146" s="29"/>
      <c r="L146" s="29"/>
      <c r="M146" s="29"/>
      <c r="N146" s="29"/>
      <c r="P146" s="4">
        <f t="shared" si="10"/>
        <v>6.7925563743494125E-3</v>
      </c>
      <c r="Q146" s="4">
        <f t="shared" si="10"/>
        <v>-1.7175804275094092E-3</v>
      </c>
      <c r="R146" s="4">
        <f t="shared" si="10"/>
        <v>4.3830695854574962E-2</v>
      </c>
      <c r="S146" s="4">
        <f t="shared" si="10"/>
        <v>-3.3377783723540495E-3</v>
      </c>
      <c r="T146" s="4">
        <f t="shared" si="10"/>
        <v>1.1289814256894027E-2</v>
      </c>
      <c r="U146" s="35"/>
      <c r="V146" s="35"/>
      <c r="W146" s="35"/>
      <c r="X146" s="35"/>
    </row>
    <row r="147" spans="4:24" x14ac:dyDescent="0.3">
      <c r="D147" s="23">
        <v>39793</v>
      </c>
      <c r="E147" s="5">
        <v>65.344818000000004</v>
      </c>
      <c r="F147" s="28">
        <v>48.828679999999999</v>
      </c>
      <c r="G147" s="28">
        <v>80.650000000000006</v>
      </c>
      <c r="H147" s="28">
        <v>25.34909</v>
      </c>
      <c r="I147" s="28">
        <v>32.370939999999997</v>
      </c>
      <c r="J147" s="29"/>
      <c r="K147" s="29"/>
      <c r="L147" s="29"/>
      <c r="M147" s="29"/>
      <c r="N147" s="29"/>
      <c r="P147" s="4">
        <f t="shared" si="10"/>
        <v>-2.4376827545371488E-2</v>
      </c>
      <c r="Q147" s="4">
        <f t="shared" si="10"/>
        <v>1.0650494482970965E-2</v>
      </c>
      <c r="R147" s="4">
        <f t="shared" si="10"/>
        <v>1.1222062906264018E-2</v>
      </c>
      <c r="S147" s="4">
        <f t="shared" si="10"/>
        <v>-2.7798407652638121E-2</v>
      </c>
      <c r="T147" s="4">
        <f t="shared" si="10"/>
        <v>-2.8465945513416354E-2</v>
      </c>
      <c r="U147" s="35"/>
      <c r="V147" s="35"/>
      <c r="W147" s="35"/>
      <c r="X147" s="35"/>
    </row>
    <row r="148" spans="4:24" x14ac:dyDescent="0.3">
      <c r="D148" s="23">
        <v>39794</v>
      </c>
      <c r="E148" s="5">
        <v>66.125031000000007</v>
      </c>
      <c r="F148" s="28">
        <v>48.573219999999999</v>
      </c>
      <c r="G148" s="28">
        <v>80.81</v>
      </c>
      <c r="H148" s="28">
        <v>25.863219999999998</v>
      </c>
      <c r="I148" s="28">
        <v>32.692480000000003</v>
      </c>
      <c r="J148" s="29"/>
      <c r="K148" s="29"/>
      <c r="L148" s="29"/>
      <c r="M148" s="29"/>
      <c r="N148" s="29"/>
      <c r="P148" s="4">
        <f t="shared" si="10"/>
        <v>1.1869218159232463E-2</v>
      </c>
      <c r="Q148" s="4">
        <f t="shared" si="10"/>
        <v>-5.2454949185352677E-3</v>
      </c>
      <c r="R148" s="4">
        <f t="shared" si="10"/>
        <v>1.9819156741384004E-3</v>
      </c>
      <c r="S148" s="4">
        <f t="shared" si="10"/>
        <v>2.0079050263189957E-2</v>
      </c>
      <c r="T148" s="4">
        <f t="shared" si="10"/>
        <v>9.88397528684507E-3</v>
      </c>
      <c r="U148" s="35"/>
      <c r="V148" s="35"/>
      <c r="W148" s="35"/>
      <c r="X148" s="35"/>
    </row>
    <row r="149" spans="4:24" x14ac:dyDescent="0.3">
      <c r="D149" s="23">
        <v>39797</v>
      </c>
      <c r="E149" s="5">
        <v>65.203650999999994</v>
      </c>
      <c r="F149" s="28">
        <v>49.084139999999998</v>
      </c>
      <c r="G149" s="28">
        <v>82.6</v>
      </c>
      <c r="H149" s="28">
        <v>25.41009</v>
      </c>
      <c r="I149" s="28">
        <v>32.15408</v>
      </c>
      <c r="J149" s="29"/>
      <c r="K149" s="29"/>
      <c r="L149" s="29"/>
      <c r="M149" s="29"/>
      <c r="N149" s="29"/>
      <c r="P149" s="4">
        <f t="shared" ref="P149:T164" si="11">LN(E149/E148)</f>
        <v>-1.403189469007461E-2</v>
      </c>
      <c r="Q149" s="4">
        <f t="shared" si="11"/>
        <v>1.0463618135816161E-2</v>
      </c>
      <c r="R149" s="4">
        <f t="shared" si="11"/>
        <v>2.1908960281575927E-2</v>
      </c>
      <c r="S149" s="4">
        <f t="shared" si="11"/>
        <v>-1.7675542981723448E-2</v>
      </c>
      <c r="T149" s="4">
        <f t="shared" si="11"/>
        <v>-1.6605734273179875E-2</v>
      </c>
      <c r="U149" s="35"/>
      <c r="V149" s="35"/>
      <c r="W149" s="35"/>
      <c r="X149" s="35"/>
    </row>
    <row r="150" spans="4:24" x14ac:dyDescent="0.3">
      <c r="D150" s="23">
        <v>39798</v>
      </c>
      <c r="E150" s="5">
        <v>68.272507000000004</v>
      </c>
      <c r="F150" s="28">
        <v>49.492829999999998</v>
      </c>
      <c r="G150" s="28">
        <v>84.46</v>
      </c>
      <c r="H150" s="28">
        <v>26.630050000000001</v>
      </c>
      <c r="I150" s="28">
        <v>33.844029999999997</v>
      </c>
      <c r="J150" s="29"/>
      <c r="K150" s="29"/>
      <c r="L150" s="29"/>
      <c r="M150" s="29"/>
      <c r="N150" s="29"/>
      <c r="P150" s="4">
        <f t="shared" si="11"/>
        <v>4.5991688298359791E-2</v>
      </c>
      <c r="Q150" s="4">
        <f t="shared" si="11"/>
        <v>8.2918422347274794E-3</v>
      </c>
      <c r="R150" s="4">
        <f t="shared" si="11"/>
        <v>2.2268368978865083E-2</v>
      </c>
      <c r="S150" s="4">
        <f t="shared" si="11"/>
        <v>4.6893938167320064E-2</v>
      </c>
      <c r="T150" s="4">
        <f t="shared" si="11"/>
        <v>5.1223269717860294E-2</v>
      </c>
      <c r="U150" s="35"/>
      <c r="V150" s="35"/>
      <c r="W150" s="35"/>
      <c r="X150" s="35"/>
    </row>
    <row r="151" spans="4:24" x14ac:dyDescent="0.3">
      <c r="D151" s="23">
        <v>39799</v>
      </c>
      <c r="E151" s="5">
        <v>67.611168000000006</v>
      </c>
      <c r="F151" s="28">
        <v>49.50562</v>
      </c>
      <c r="G151" s="28">
        <v>85.43</v>
      </c>
      <c r="H151" s="28">
        <v>26.307639999999999</v>
      </c>
      <c r="I151" s="28">
        <v>33.597279999999998</v>
      </c>
      <c r="J151" s="29"/>
      <c r="K151" s="29"/>
      <c r="L151" s="29"/>
      <c r="M151" s="29"/>
      <c r="N151" s="29"/>
      <c r="P151" s="4">
        <f t="shared" si="11"/>
        <v>-9.7339760913927077E-3</v>
      </c>
      <c r="Q151" s="4">
        <f t="shared" si="11"/>
        <v>2.5838788528839278E-4</v>
      </c>
      <c r="R151" s="4">
        <f t="shared" si="11"/>
        <v>1.1419277657730022E-2</v>
      </c>
      <c r="S151" s="4">
        <f t="shared" si="11"/>
        <v>-1.2180886110754843E-2</v>
      </c>
      <c r="T151" s="4">
        <f t="shared" si="11"/>
        <v>-7.3175061705211247E-3</v>
      </c>
      <c r="U151" s="35"/>
      <c r="V151" s="35"/>
      <c r="W151" s="35"/>
      <c r="X151" s="35"/>
    </row>
    <row r="152" spans="4:24" x14ac:dyDescent="0.3">
      <c r="D152" s="23">
        <v>39800</v>
      </c>
      <c r="E152" s="5">
        <v>66.347945999999993</v>
      </c>
      <c r="F152" s="28">
        <v>49.856850000000001</v>
      </c>
      <c r="G152" s="28">
        <v>83.87</v>
      </c>
      <c r="H152" s="28">
        <v>25.845790000000001</v>
      </c>
      <c r="I152" s="28">
        <v>33.014020000000002</v>
      </c>
      <c r="J152" s="29"/>
      <c r="K152" s="29"/>
      <c r="L152" s="29"/>
      <c r="M152" s="29"/>
      <c r="N152" s="29"/>
      <c r="P152" s="4">
        <f t="shared" si="11"/>
        <v>-1.8860373251251228E-2</v>
      </c>
      <c r="Q152" s="4">
        <f t="shared" si="11"/>
        <v>7.0697007208312592E-3</v>
      </c>
      <c r="R152" s="4">
        <f t="shared" si="11"/>
        <v>-1.8429346167207143E-2</v>
      </c>
      <c r="S152" s="4">
        <f t="shared" si="11"/>
        <v>-1.7711666273370286E-2</v>
      </c>
      <c r="T152" s="4">
        <f t="shared" si="11"/>
        <v>-1.7512791582621E-2</v>
      </c>
      <c r="U152" s="35"/>
      <c r="V152" s="35"/>
      <c r="W152" s="35"/>
      <c r="X152" s="35"/>
    </row>
    <row r="153" spans="4:24" x14ac:dyDescent="0.3">
      <c r="D153" s="23">
        <v>39801</v>
      </c>
      <c r="E153" s="5">
        <v>66.062552999999994</v>
      </c>
      <c r="F153" s="28">
        <v>49.537559999999999</v>
      </c>
      <c r="G153" s="28">
        <v>82.63</v>
      </c>
      <c r="H153" s="28">
        <v>26.057849999999998</v>
      </c>
      <c r="I153" s="28">
        <v>32.984099999999998</v>
      </c>
      <c r="J153" s="29"/>
      <c r="K153" s="29"/>
      <c r="L153" s="29"/>
      <c r="M153" s="29"/>
      <c r="N153" s="29"/>
      <c r="P153" s="4">
        <f t="shared" si="11"/>
        <v>-4.3107373523571923E-3</v>
      </c>
      <c r="Q153" s="4">
        <f t="shared" si="11"/>
        <v>-6.4247294849073874E-3</v>
      </c>
      <c r="R153" s="4">
        <f t="shared" si="11"/>
        <v>-1.4895170283227316E-2</v>
      </c>
      <c r="S153" s="4">
        <f t="shared" si="11"/>
        <v>8.1713413529512606E-3</v>
      </c>
      <c r="T153" s="4">
        <f t="shared" si="11"/>
        <v>-9.0669255578044896E-4</v>
      </c>
      <c r="U153" s="35"/>
      <c r="V153" s="35"/>
      <c r="W153" s="35"/>
      <c r="X153" s="35"/>
    </row>
    <row r="154" spans="4:24" x14ac:dyDescent="0.3">
      <c r="D154" s="23">
        <v>39804</v>
      </c>
      <c r="E154" s="5">
        <v>65.216064000000003</v>
      </c>
      <c r="F154" s="28">
        <v>49.965429999999998</v>
      </c>
      <c r="G154" s="28">
        <v>83.46</v>
      </c>
      <c r="H154" s="28">
        <v>25.49061</v>
      </c>
      <c r="I154" s="28">
        <v>32.520710000000001</v>
      </c>
      <c r="J154" s="29"/>
      <c r="K154" s="29"/>
      <c r="L154" s="29"/>
      <c r="M154" s="29"/>
      <c r="N154" s="29"/>
      <c r="P154" s="4">
        <f t="shared" si="11"/>
        <v>-1.2896246946664603E-2</v>
      </c>
      <c r="Q154" s="4">
        <f t="shared" si="11"/>
        <v>8.6001965814845576E-3</v>
      </c>
      <c r="R154" s="4">
        <f t="shared" si="11"/>
        <v>9.9946644503136183E-3</v>
      </c>
      <c r="S154" s="4">
        <f t="shared" si="11"/>
        <v>-2.2008917319580774E-2</v>
      </c>
      <c r="T154" s="4">
        <f t="shared" si="11"/>
        <v>-1.4148510013377073E-2</v>
      </c>
      <c r="U154" s="35"/>
      <c r="V154" s="35"/>
      <c r="W154" s="35"/>
      <c r="X154" s="35"/>
    </row>
    <row r="155" spans="4:24" x14ac:dyDescent="0.3">
      <c r="D155" s="23">
        <v>39805</v>
      </c>
      <c r="E155" s="5">
        <v>64.541884999999994</v>
      </c>
      <c r="F155" s="28">
        <v>50.150599999999997</v>
      </c>
      <c r="G155" s="28">
        <v>82.63</v>
      </c>
      <c r="H155" s="28">
        <v>25.35971</v>
      </c>
      <c r="I155" s="28">
        <v>32.174100000000003</v>
      </c>
      <c r="J155" s="29"/>
      <c r="K155" s="29"/>
      <c r="L155" s="29"/>
      <c r="M155" s="29"/>
      <c r="N155" s="29"/>
      <c r="P155" s="4">
        <f t="shared" si="11"/>
        <v>-1.0391426063215152E-2</v>
      </c>
      <c r="Q155" s="4">
        <f t="shared" si="11"/>
        <v>3.6991121431141868E-3</v>
      </c>
      <c r="R155" s="4">
        <f t="shared" si="11"/>
        <v>-9.9946644503135472E-3</v>
      </c>
      <c r="S155" s="4">
        <f t="shared" si="11"/>
        <v>-5.1484548825874287E-3</v>
      </c>
      <c r="T155" s="4">
        <f t="shared" si="11"/>
        <v>-1.0715336096612734E-2</v>
      </c>
      <c r="U155" s="35"/>
      <c r="V155" s="35"/>
      <c r="W155" s="35"/>
      <c r="X155" s="35"/>
    </row>
    <row r="156" spans="4:24" x14ac:dyDescent="0.3">
      <c r="D156" s="23">
        <v>39806</v>
      </c>
      <c r="E156" s="5">
        <v>64.916420000000002</v>
      </c>
      <c r="F156" s="28">
        <v>50.108319999999999</v>
      </c>
      <c r="G156" s="28">
        <v>83.46</v>
      </c>
      <c r="H156" s="28">
        <v>25.42953</v>
      </c>
      <c r="I156" s="28">
        <v>32.30218</v>
      </c>
      <c r="J156" s="29"/>
      <c r="K156" s="29"/>
      <c r="L156" s="29"/>
      <c r="M156" s="29"/>
      <c r="N156" s="29"/>
      <c r="P156" s="4">
        <f t="shared" si="11"/>
        <v>5.7862034414364206E-3</v>
      </c>
      <c r="Q156" s="4">
        <f t="shared" si="11"/>
        <v>-8.4341627670283257E-4</v>
      </c>
      <c r="R156" s="4">
        <f t="shared" si="11"/>
        <v>9.9946644503136183E-3</v>
      </c>
      <c r="S156" s="4">
        <f t="shared" si="11"/>
        <v>2.7494029830742702E-3</v>
      </c>
      <c r="T156" s="4">
        <f t="shared" si="11"/>
        <v>3.9729391481786681E-3</v>
      </c>
      <c r="U156" s="35"/>
      <c r="V156" s="35"/>
      <c r="W156" s="35"/>
      <c r="X156" s="35"/>
    </row>
    <row r="157" spans="4:24" x14ac:dyDescent="0.3">
      <c r="D157" s="23">
        <v>39808</v>
      </c>
      <c r="E157" s="5">
        <v>65.290976999999998</v>
      </c>
      <c r="F157" s="28">
        <v>50.14676</v>
      </c>
      <c r="G157" s="28">
        <v>85.6</v>
      </c>
      <c r="H157" s="28">
        <v>25.4208</v>
      </c>
      <c r="I157" s="28">
        <v>32.641249999999999</v>
      </c>
      <c r="J157" s="29"/>
      <c r="K157" s="29"/>
      <c r="L157" s="29"/>
      <c r="M157" s="29"/>
      <c r="N157" s="29"/>
      <c r="P157" s="4">
        <f t="shared" si="11"/>
        <v>5.7532527610533154E-3</v>
      </c>
      <c r="Q157" s="4">
        <f t="shared" si="11"/>
        <v>7.6684397207040043E-4</v>
      </c>
      <c r="R157" s="4">
        <f t="shared" si="11"/>
        <v>2.5317807984289786E-2</v>
      </c>
      <c r="S157" s="4">
        <f t="shared" si="11"/>
        <v>-3.4336060693289442E-4</v>
      </c>
      <c r="T157" s="4">
        <f t="shared" si="11"/>
        <v>1.0442105720066187E-2</v>
      </c>
      <c r="U157" s="35"/>
      <c r="V157" s="35"/>
      <c r="W157" s="35"/>
      <c r="X157" s="35"/>
    </row>
    <row r="158" spans="4:24" x14ac:dyDescent="0.3">
      <c r="D158" s="23">
        <v>39811</v>
      </c>
      <c r="E158" s="5">
        <v>65.103729000000001</v>
      </c>
      <c r="F158" s="28">
        <v>50.460880000000003</v>
      </c>
      <c r="G158" s="28">
        <v>86.35</v>
      </c>
      <c r="H158" s="28">
        <v>25.211359999999999</v>
      </c>
      <c r="I158" s="28">
        <v>32.392609999999998</v>
      </c>
      <c r="J158" s="29"/>
      <c r="K158" s="29"/>
      <c r="L158" s="29"/>
      <c r="M158" s="29"/>
      <c r="N158" s="29"/>
      <c r="P158" s="4">
        <f t="shared" si="11"/>
        <v>-2.8720204133071375E-3</v>
      </c>
      <c r="Q158" s="4">
        <f t="shared" si="11"/>
        <v>6.2444764775088082E-3</v>
      </c>
      <c r="R158" s="4">
        <f t="shared" si="11"/>
        <v>8.7235214449911027E-3</v>
      </c>
      <c r="S158" s="4">
        <f t="shared" si="11"/>
        <v>-8.2730499573132575E-3</v>
      </c>
      <c r="T158" s="4">
        <f t="shared" si="11"/>
        <v>-7.6465155683716314E-3</v>
      </c>
      <c r="U158" s="35"/>
      <c r="V158" s="35"/>
      <c r="W158" s="35"/>
      <c r="X158" s="35"/>
    </row>
    <row r="159" spans="4:24" x14ac:dyDescent="0.3">
      <c r="D159" s="23">
        <v>39812</v>
      </c>
      <c r="E159" s="5">
        <v>66.646866000000003</v>
      </c>
      <c r="F159" s="28">
        <v>50.557000000000002</v>
      </c>
      <c r="G159" s="28">
        <v>85.9</v>
      </c>
      <c r="H159" s="28">
        <v>25.734960000000001</v>
      </c>
      <c r="I159" s="28">
        <v>33.244059999999998</v>
      </c>
      <c r="J159" s="29"/>
      <c r="K159" s="29"/>
      <c r="L159" s="29"/>
      <c r="M159" s="29"/>
      <c r="N159" s="29"/>
      <c r="P159" s="4">
        <f t="shared" si="11"/>
        <v>2.3426195083707069E-2</v>
      </c>
      <c r="Q159" s="4">
        <f t="shared" si="11"/>
        <v>1.9030300182184589E-3</v>
      </c>
      <c r="R159" s="4">
        <f t="shared" si="11"/>
        <v>-5.2249756024777367E-3</v>
      </c>
      <c r="S159" s="4">
        <f t="shared" si="11"/>
        <v>2.055569220879299E-2</v>
      </c>
      <c r="T159" s="4">
        <f t="shared" si="11"/>
        <v>2.594579416324708E-2</v>
      </c>
      <c r="U159" s="35"/>
      <c r="V159" s="35"/>
      <c r="W159" s="35"/>
      <c r="X159" s="35"/>
    </row>
    <row r="160" spans="4:24" x14ac:dyDescent="0.3">
      <c r="D160" s="23">
        <v>39813</v>
      </c>
      <c r="E160" s="5">
        <v>67.598190000000002</v>
      </c>
      <c r="F160" s="28">
        <v>50.621119999999998</v>
      </c>
      <c r="G160" s="28">
        <v>86.52</v>
      </c>
      <c r="H160" s="28">
        <v>25.953119999999998</v>
      </c>
      <c r="I160" s="28">
        <v>33.711219999999997</v>
      </c>
      <c r="J160" s="29"/>
      <c r="K160" s="29"/>
      <c r="L160" s="29"/>
      <c r="M160" s="29"/>
      <c r="N160" s="29"/>
      <c r="P160" s="4">
        <f t="shared" si="11"/>
        <v>1.4173183778807337E-2</v>
      </c>
      <c r="Q160" s="4">
        <f t="shared" si="11"/>
        <v>1.2674678791011434E-3</v>
      </c>
      <c r="R160" s="4">
        <f t="shared" si="11"/>
        <v>7.1917720946481781E-3</v>
      </c>
      <c r="S160" s="4">
        <f t="shared" si="11"/>
        <v>8.4414547985450245E-3</v>
      </c>
      <c r="T160" s="4">
        <f t="shared" si="11"/>
        <v>1.3954615106209141E-2</v>
      </c>
      <c r="U160" s="35"/>
      <c r="V160" s="35"/>
      <c r="W160" s="35"/>
      <c r="X160" s="35"/>
    </row>
    <row r="161" spans="4:24" x14ac:dyDescent="0.3">
      <c r="D161" s="23">
        <v>39815</v>
      </c>
      <c r="E161" s="5">
        <v>69.635727000000003</v>
      </c>
      <c r="F161" s="28">
        <v>50.435220000000001</v>
      </c>
      <c r="G161" s="28">
        <v>86.23</v>
      </c>
      <c r="H161" s="28">
        <v>27.078869999999998</v>
      </c>
      <c r="I161" s="28">
        <v>34.683219999999999</v>
      </c>
      <c r="J161" s="29"/>
      <c r="K161" s="29"/>
      <c r="L161" s="29"/>
      <c r="M161" s="29"/>
      <c r="N161" s="29"/>
      <c r="P161" s="4">
        <f t="shared" si="11"/>
        <v>2.9696547060250891E-2</v>
      </c>
      <c r="Q161" s="4">
        <f t="shared" si="11"/>
        <v>-3.6791399667996634E-3</v>
      </c>
      <c r="R161" s="4">
        <f t="shared" si="11"/>
        <v>-3.3574561206248642E-3</v>
      </c>
      <c r="S161" s="4">
        <f t="shared" si="11"/>
        <v>4.2461885362147712E-2</v>
      </c>
      <c r="T161" s="4">
        <f t="shared" si="11"/>
        <v>2.8425276874092562E-2</v>
      </c>
      <c r="U161" s="35"/>
      <c r="V161" s="35"/>
      <c r="W161" s="35"/>
      <c r="X161" s="35"/>
    </row>
    <row r="162" spans="4:24" x14ac:dyDescent="0.3">
      <c r="D162" s="23">
        <v>39818</v>
      </c>
      <c r="E162" s="5">
        <v>69.553321999999994</v>
      </c>
      <c r="F162" s="28">
        <v>50.223689999999998</v>
      </c>
      <c r="G162" s="28">
        <v>84.48</v>
      </c>
      <c r="H162" s="28">
        <v>27.070150000000002</v>
      </c>
      <c r="I162" s="28">
        <v>34.675690000000003</v>
      </c>
      <c r="J162" s="29"/>
      <c r="K162" s="29"/>
      <c r="L162" s="29"/>
      <c r="M162" s="29"/>
      <c r="N162" s="29"/>
      <c r="P162" s="4">
        <f t="shared" si="11"/>
        <v>-1.1840731755824248E-3</v>
      </c>
      <c r="Q162" s="4">
        <f t="shared" si="11"/>
        <v>-4.2029128147814078E-3</v>
      </c>
      <c r="R162" s="4">
        <f t="shared" si="11"/>
        <v>-2.050332500628179E-2</v>
      </c>
      <c r="S162" s="4">
        <f t="shared" si="11"/>
        <v>-3.2207416035880262E-4</v>
      </c>
      <c r="T162" s="4">
        <f t="shared" si="11"/>
        <v>-2.1713144077895665E-4</v>
      </c>
      <c r="U162" s="35"/>
      <c r="V162" s="35"/>
      <c r="W162" s="35"/>
      <c r="X162" s="35"/>
    </row>
    <row r="163" spans="4:24" x14ac:dyDescent="0.3">
      <c r="D163" s="23">
        <v>39819</v>
      </c>
      <c r="E163" s="5">
        <v>70.017737999999994</v>
      </c>
      <c r="F163" s="28">
        <v>49.903170000000003</v>
      </c>
      <c r="G163" s="28">
        <v>85.13</v>
      </c>
      <c r="H163" s="28">
        <v>27.34066</v>
      </c>
      <c r="I163" s="28">
        <v>34.962029999999999</v>
      </c>
      <c r="J163" s="29"/>
      <c r="K163" s="29"/>
      <c r="L163" s="29"/>
      <c r="M163" s="29"/>
      <c r="N163" s="29"/>
      <c r="P163" s="4">
        <f t="shared" si="11"/>
        <v>6.6549285218042735E-3</v>
      </c>
      <c r="Q163" s="4">
        <f t="shared" si="11"/>
        <v>-6.4022999388437625E-3</v>
      </c>
      <c r="R163" s="4">
        <f t="shared" si="11"/>
        <v>7.6646799380142233E-3</v>
      </c>
      <c r="S163" s="4">
        <f t="shared" si="11"/>
        <v>9.9433266576090251E-3</v>
      </c>
      <c r="T163" s="4">
        <f t="shared" si="11"/>
        <v>8.2237503974679303E-3</v>
      </c>
      <c r="U163" s="35"/>
      <c r="V163" s="35"/>
      <c r="W163" s="35"/>
      <c r="X163" s="35"/>
    </row>
    <row r="164" spans="4:24" x14ac:dyDescent="0.3">
      <c r="D164" s="23">
        <v>39820</v>
      </c>
      <c r="E164" s="5">
        <v>67.920310999999998</v>
      </c>
      <c r="F164" s="28">
        <v>50.057009999999998</v>
      </c>
      <c r="G164" s="28">
        <v>82.75</v>
      </c>
      <c r="H164" s="28">
        <v>26.56399</v>
      </c>
      <c r="I164" s="28">
        <v>33.982480000000002</v>
      </c>
      <c r="J164" s="29"/>
      <c r="K164" s="29"/>
      <c r="L164" s="29"/>
      <c r="M164" s="29"/>
      <c r="N164" s="29"/>
      <c r="P164" s="4">
        <f t="shared" si="11"/>
        <v>-3.0413489040020728E-2</v>
      </c>
      <c r="Q164" s="4">
        <f t="shared" si="11"/>
        <v>3.0780280999883514E-3</v>
      </c>
      <c r="R164" s="4">
        <f t="shared" si="11"/>
        <v>-2.8355485638793327E-2</v>
      </c>
      <c r="S164" s="4">
        <f t="shared" si="11"/>
        <v>-2.8818432228908855E-2</v>
      </c>
      <c r="T164" s="4">
        <f t="shared" si="11"/>
        <v>-2.841751777423027E-2</v>
      </c>
      <c r="U164" s="35"/>
      <c r="V164" s="35"/>
      <c r="W164" s="35"/>
      <c r="X164" s="35"/>
    </row>
    <row r="165" spans="4:24" x14ac:dyDescent="0.3">
      <c r="D165" s="23">
        <v>39821</v>
      </c>
      <c r="E165" s="5">
        <v>68.197456000000003</v>
      </c>
      <c r="F165" s="28">
        <v>49.973700000000001</v>
      </c>
      <c r="G165" s="28">
        <v>84.46</v>
      </c>
      <c r="H165" s="28">
        <v>26.843250000000001</v>
      </c>
      <c r="I165" s="28">
        <v>34.133180000000003</v>
      </c>
      <c r="J165" s="29"/>
      <c r="K165" s="29"/>
      <c r="L165" s="29"/>
      <c r="M165" s="29"/>
      <c r="N165" s="29"/>
      <c r="P165" s="4">
        <f t="shared" ref="P165:T180" si="12">LN(E165/E164)</f>
        <v>4.0721411919107725E-3</v>
      </c>
      <c r="Q165" s="4">
        <f t="shared" si="12"/>
        <v>-1.6656888521954479E-3</v>
      </c>
      <c r="R165" s="4">
        <f t="shared" si="12"/>
        <v>2.0454035248625078E-2</v>
      </c>
      <c r="S165" s="4">
        <f t="shared" si="12"/>
        <v>1.0457853472328098E-2</v>
      </c>
      <c r="T165" s="4">
        <f t="shared" si="12"/>
        <v>4.4248340508333686E-3</v>
      </c>
      <c r="U165" s="35"/>
      <c r="V165" s="35"/>
      <c r="W165" s="35"/>
      <c r="X165" s="35"/>
    </row>
    <row r="166" spans="4:24" x14ac:dyDescent="0.3">
      <c r="D166" s="23">
        <v>39822</v>
      </c>
      <c r="E166" s="5">
        <v>66.736716999999999</v>
      </c>
      <c r="F166" s="28">
        <v>50.15316</v>
      </c>
      <c r="G166" s="28">
        <v>83.92</v>
      </c>
      <c r="H166" s="28">
        <v>26.241109999999999</v>
      </c>
      <c r="I166" s="28">
        <v>33.296799999999998</v>
      </c>
      <c r="J166" s="29"/>
      <c r="K166" s="29"/>
      <c r="L166" s="29"/>
      <c r="M166" s="29"/>
      <c r="N166" s="29"/>
      <c r="P166" s="4">
        <f t="shared" si="12"/>
        <v>-2.1651980877596254E-2</v>
      </c>
      <c r="Q166" s="4">
        <f t="shared" si="12"/>
        <v>3.5846563483192973E-3</v>
      </c>
      <c r="R166" s="4">
        <f t="shared" si="12"/>
        <v>-6.4140854177556442E-3</v>
      </c>
      <c r="S166" s="4">
        <f t="shared" si="12"/>
        <v>-2.2687127690935258E-2</v>
      </c>
      <c r="T166" s="4">
        <f t="shared" si="12"/>
        <v>-2.4808635466931565E-2</v>
      </c>
      <c r="U166" s="35"/>
      <c r="V166" s="35"/>
      <c r="W166" s="35"/>
      <c r="X166" s="35"/>
    </row>
    <row r="167" spans="4:24" x14ac:dyDescent="0.3">
      <c r="D167" s="23">
        <v>39825</v>
      </c>
      <c r="E167" s="5">
        <v>65.133667000000003</v>
      </c>
      <c r="F167" s="28">
        <v>49.954479999999997</v>
      </c>
      <c r="G167" s="28">
        <v>80.760000000000005</v>
      </c>
      <c r="H167" s="28">
        <v>25.761140000000001</v>
      </c>
      <c r="I167" s="28">
        <v>32.565910000000002</v>
      </c>
      <c r="J167" s="29"/>
      <c r="K167" s="29"/>
      <c r="L167" s="29"/>
      <c r="M167" s="29"/>
      <c r="N167" s="29"/>
      <c r="P167" s="4">
        <f t="shared" si="12"/>
        <v>-2.4313707470869989E-2</v>
      </c>
      <c r="Q167" s="4">
        <f t="shared" si="12"/>
        <v>-3.9693326275632348E-3</v>
      </c>
      <c r="R167" s="4">
        <f t="shared" si="12"/>
        <v>-3.8382170643404968E-2</v>
      </c>
      <c r="S167" s="4">
        <f t="shared" si="12"/>
        <v>-1.8460110095129958E-2</v>
      </c>
      <c r="T167" s="4">
        <f t="shared" si="12"/>
        <v>-2.2195260553064335E-2</v>
      </c>
      <c r="U167" s="35"/>
      <c r="V167" s="35"/>
      <c r="W167" s="35"/>
      <c r="X167" s="35"/>
    </row>
    <row r="168" spans="4:24" x14ac:dyDescent="0.3">
      <c r="D168" s="23">
        <v>39826</v>
      </c>
      <c r="E168" s="5">
        <v>65.253524999999996</v>
      </c>
      <c r="F168" s="28">
        <v>50.223689999999998</v>
      </c>
      <c r="G168" s="28">
        <v>80.88</v>
      </c>
      <c r="H168" s="28">
        <v>25.769870000000001</v>
      </c>
      <c r="I168" s="28">
        <v>32.611130000000003</v>
      </c>
      <c r="J168" s="29"/>
      <c r="K168" s="29"/>
      <c r="L168" s="29"/>
      <c r="M168" s="29"/>
      <c r="N168" s="29"/>
      <c r="P168" s="4">
        <f t="shared" si="12"/>
        <v>1.8384939796939426E-3</v>
      </c>
      <c r="Q168" s="4">
        <f t="shared" si="12"/>
        <v>5.3746369702947702E-3</v>
      </c>
      <c r="R168" s="4">
        <f t="shared" si="12"/>
        <v>1.4847812675790023E-3</v>
      </c>
      <c r="S168" s="4">
        <f t="shared" si="12"/>
        <v>3.388251106865075E-4</v>
      </c>
      <c r="T168" s="4">
        <f t="shared" si="12"/>
        <v>1.3876054284064424E-3</v>
      </c>
      <c r="U168" s="35"/>
      <c r="V168" s="35"/>
      <c r="W168" s="35"/>
      <c r="X168" s="35"/>
    </row>
    <row r="169" spans="4:24" x14ac:dyDescent="0.3">
      <c r="D169" s="23">
        <v>39827</v>
      </c>
      <c r="E169" s="5">
        <v>63.201019000000002</v>
      </c>
      <c r="F169" s="28">
        <v>50.409610000000001</v>
      </c>
      <c r="G169" s="28">
        <v>79.790000000000006</v>
      </c>
      <c r="H169" s="28">
        <v>24.984470000000002</v>
      </c>
      <c r="I169" s="28">
        <v>31.54871</v>
      </c>
      <c r="J169" s="29"/>
      <c r="K169" s="29"/>
      <c r="L169" s="29"/>
      <c r="M169" s="29"/>
      <c r="N169" s="29"/>
      <c r="P169" s="4">
        <f t="shared" si="12"/>
        <v>-3.1959643291566961E-2</v>
      </c>
      <c r="Q169" s="4">
        <f t="shared" si="12"/>
        <v>3.6950037717386904E-3</v>
      </c>
      <c r="R169" s="4">
        <f t="shared" si="12"/>
        <v>-1.356839139202622E-2</v>
      </c>
      <c r="S169" s="4">
        <f t="shared" si="12"/>
        <v>-3.0951548182477286E-2</v>
      </c>
      <c r="T169" s="4">
        <f t="shared" si="12"/>
        <v>-3.3120940477002259E-2</v>
      </c>
      <c r="U169" s="35"/>
      <c r="V169" s="35"/>
      <c r="W169" s="35"/>
      <c r="X169" s="35"/>
    </row>
    <row r="170" spans="4:24" x14ac:dyDescent="0.3">
      <c r="D170" s="23">
        <v>39828</v>
      </c>
      <c r="E170" s="5">
        <v>63.223492</v>
      </c>
      <c r="F170" s="28">
        <v>50.19164</v>
      </c>
      <c r="G170" s="28">
        <v>80.39</v>
      </c>
      <c r="H170" s="28">
        <v>25.39462</v>
      </c>
      <c r="I170" s="28">
        <v>31.661729999999999</v>
      </c>
      <c r="J170" s="29"/>
      <c r="K170" s="29"/>
      <c r="L170" s="29"/>
      <c r="M170" s="29"/>
      <c r="N170" s="29"/>
      <c r="P170" s="4">
        <f t="shared" si="12"/>
        <v>3.5551650639486425E-4</v>
      </c>
      <c r="Q170" s="4">
        <f t="shared" si="12"/>
        <v>-4.3333525395679098E-3</v>
      </c>
      <c r="R170" s="4">
        <f t="shared" si="12"/>
        <v>7.491607019679763E-3</v>
      </c>
      <c r="S170" s="4">
        <f t="shared" si="12"/>
        <v>1.6282908722207088E-2</v>
      </c>
      <c r="T170" s="4">
        <f t="shared" si="12"/>
        <v>3.5759953716251935E-3</v>
      </c>
      <c r="U170" s="35"/>
      <c r="V170" s="35"/>
      <c r="W170" s="35"/>
      <c r="X170" s="35"/>
    </row>
    <row r="171" spans="4:24" x14ac:dyDescent="0.3">
      <c r="D171" s="23">
        <v>39829</v>
      </c>
      <c r="E171" s="5">
        <v>63.717906999999997</v>
      </c>
      <c r="F171" s="28">
        <v>50.268549999999998</v>
      </c>
      <c r="G171" s="28">
        <v>82.71</v>
      </c>
      <c r="H171" s="28">
        <v>25.673870000000001</v>
      </c>
      <c r="I171" s="28">
        <v>31.895299999999999</v>
      </c>
      <c r="J171" s="29"/>
      <c r="K171" s="29"/>
      <c r="L171" s="29"/>
      <c r="M171" s="29"/>
      <c r="N171" s="29"/>
      <c r="P171" s="4">
        <f t="shared" si="12"/>
        <v>7.789696725550777E-3</v>
      </c>
      <c r="Q171" s="4">
        <f t="shared" si="12"/>
        <v>1.5311540825447593E-3</v>
      </c>
      <c r="R171" s="4">
        <f t="shared" si="12"/>
        <v>2.8450723363945576E-2</v>
      </c>
      <c r="S171" s="4">
        <f t="shared" si="12"/>
        <v>1.0936402595815376E-2</v>
      </c>
      <c r="T171" s="4">
        <f t="shared" si="12"/>
        <v>7.3499674699302525E-3</v>
      </c>
      <c r="U171" s="35"/>
      <c r="V171" s="35"/>
      <c r="W171" s="35"/>
      <c r="X171" s="35"/>
    </row>
    <row r="172" spans="4:24" x14ac:dyDescent="0.3">
      <c r="D172" s="23">
        <v>39833</v>
      </c>
      <c r="E172" s="5">
        <v>60.354458000000001</v>
      </c>
      <c r="F172" s="28">
        <v>50.050620000000002</v>
      </c>
      <c r="G172" s="28">
        <v>84.52</v>
      </c>
      <c r="H172" s="28">
        <v>24.39978</v>
      </c>
      <c r="I172" s="28">
        <v>30.237629999999999</v>
      </c>
      <c r="J172" s="29"/>
      <c r="K172" s="29"/>
      <c r="L172" s="29"/>
      <c r="M172" s="29"/>
      <c r="N172" s="29"/>
      <c r="P172" s="4">
        <f t="shared" si="12"/>
        <v>-5.4230823760210337E-2</v>
      </c>
      <c r="Q172" s="4">
        <f t="shared" si="12"/>
        <v>-4.344739750491231E-3</v>
      </c>
      <c r="R172" s="4">
        <f t="shared" si="12"/>
        <v>2.1647679044040996E-2</v>
      </c>
      <c r="S172" s="4">
        <f t="shared" si="12"/>
        <v>-5.0899627296495678E-2</v>
      </c>
      <c r="T172" s="4">
        <f t="shared" si="12"/>
        <v>-5.3371488288537779E-2</v>
      </c>
      <c r="U172" s="35"/>
      <c r="V172" s="35"/>
      <c r="W172" s="35"/>
      <c r="X172" s="35"/>
    </row>
    <row r="173" spans="4:24" x14ac:dyDescent="0.3">
      <c r="D173" s="23">
        <v>39834</v>
      </c>
      <c r="E173" s="5">
        <v>62.961288000000003</v>
      </c>
      <c r="F173" s="28">
        <v>49.704479999999997</v>
      </c>
      <c r="G173" s="28">
        <v>84.15</v>
      </c>
      <c r="H173" s="28">
        <v>25.43825</v>
      </c>
      <c r="I173" s="28">
        <v>31.47336</v>
      </c>
      <c r="J173" s="29"/>
      <c r="K173" s="29"/>
      <c r="L173" s="29"/>
      <c r="M173" s="29"/>
      <c r="N173" s="29"/>
      <c r="P173" s="4">
        <f t="shared" si="12"/>
        <v>4.2285247420900694E-2</v>
      </c>
      <c r="Q173" s="4">
        <f t="shared" si="12"/>
        <v>-6.9398234116798407E-3</v>
      </c>
      <c r="R173" s="4">
        <f t="shared" si="12"/>
        <v>-4.3872721110407983E-3</v>
      </c>
      <c r="S173" s="4">
        <f t="shared" si="12"/>
        <v>4.1679830932586683E-2</v>
      </c>
      <c r="T173" s="4">
        <f t="shared" si="12"/>
        <v>4.0054298503657056E-2</v>
      </c>
      <c r="U173" s="35"/>
      <c r="V173" s="35"/>
      <c r="W173" s="35"/>
      <c r="X173" s="35"/>
    </row>
    <row r="174" spans="4:24" x14ac:dyDescent="0.3">
      <c r="D174" s="23">
        <v>39835</v>
      </c>
      <c r="E174" s="5">
        <v>61.987456999999999</v>
      </c>
      <c r="F174" s="28">
        <v>49.81344</v>
      </c>
      <c r="G174" s="28">
        <v>84.58</v>
      </c>
      <c r="H174" s="28">
        <v>25.097909999999999</v>
      </c>
      <c r="I174" s="28">
        <v>30.93085</v>
      </c>
      <c r="J174" s="29"/>
      <c r="K174" s="29"/>
      <c r="L174" s="29"/>
      <c r="M174" s="29"/>
      <c r="N174" s="29"/>
      <c r="P174" s="4">
        <f t="shared" si="12"/>
        <v>-1.5588003206420363E-2</v>
      </c>
      <c r="Q174" s="4">
        <f t="shared" si="12"/>
        <v>2.1897572525417758E-3</v>
      </c>
      <c r="R174" s="4">
        <f t="shared" si="12"/>
        <v>5.0969114075274501E-3</v>
      </c>
      <c r="S174" s="4">
        <f t="shared" si="12"/>
        <v>-1.3469371059068536E-2</v>
      </c>
      <c r="T174" s="4">
        <f t="shared" si="12"/>
        <v>-1.7387405998785167E-2</v>
      </c>
      <c r="U174" s="35"/>
      <c r="V174" s="35"/>
      <c r="W174" s="35"/>
      <c r="X174" s="35"/>
    </row>
    <row r="175" spans="4:24" x14ac:dyDescent="0.3">
      <c r="D175" s="23">
        <v>39836</v>
      </c>
      <c r="E175" s="5">
        <v>62.257145000000001</v>
      </c>
      <c r="F175" s="28">
        <v>49.717289999999998</v>
      </c>
      <c r="G175" s="28">
        <v>88.53</v>
      </c>
      <c r="H175" s="28">
        <v>25.220079999999999</v>
      </c>
      <c r="I175" s="28">
        <v>31.119219999999999</v>
      </c>
      <c r="J175" s="29"/>
      <c r="K175" s="29"/>
      <c r="L175" s="29"/>
      <c r="M175" s="29"/>
      <c r="N175" s="29"/>
      <c r="P175" s="4">
        <f t="shared" si="12"/>
        <v>4.3412497478960534E-3</v>
      </c>
      <c r="Q175" s="4">
        <f t="shared" si="12"/>
        <v>-1.9320672099908999E-3</v>
      </c>
      <c r="R175" s="4">
        <f t="shared" si="12"/>
        <v>4.5643645578615305E-2</v>
      </c>
      <c r="S175" s="4">
        <f t="shared" si="12"/>
        <v>4.8559268788049533E-3</v>
      </c>
      <c r="T175" s="4">
        <f t="shared" si="12"/>
        <v>6.0715669997186798E-3</v>
      </c>
      <c r="U175" s="35"/>
      <c r="V175" s="35"/>
      <c r="W175" s="35"/>
      <c r="X175" s="35"/>
    </row>
    <row r="176" spans="4:24" x14ac:dyDescent="0.3">
      <c r="D176" s="23">
        <v>39839</v>
      </c>
      <c r="E176" s="5">
        <v>62.684128000000001</v>
      </c>
      <c r="F176" s="28">
        <v>49.550640000000001</v>
      </c>
      <c r="G176" s="28">
        <v>88.95</v>
      </c>
      <c r="H176" s="28">
        <v>25.40334</v>
      </c>
      <c r="I176" s="28">
        <v>31.29251</v>
      </c>
      <c r="J176" s="29"/>
      <c r="K176" s="29"/>
      <c r="L176" s="29"/>
      <c r="M176" s="29"/>
      <c r="N176" s="29"/>
      <c r="P176" s="4">
        <f t="shared" si="12"/>
        <v>6.83496577260676E-3</v>
      </c>
      <c r="Q176" s="4">
        <f t="shared" si="12"/>
        <v>-3.3575829889633895E-3</v>
      </c>
      <c r="R176" s="4">
        <f t="shared" si="12"/>
        <v>4.7329364888864184E-3</v>
      </c>
      <c r="S176" s="4">
        <f t="shared" si="12"/>
        <v>7.240158825244921E-3</v>
      </c>
      <c r="T176" s="4">
        <f t="shared" si="12"/>
        <v>5.5531370566567918E-3</v>
      </c>
      <c r="U176" s="35"/>
      <c r="V176" s="35"/>
      <c r="W176" s="35"/>
      <c r="X176" s="35"/>
    </row>
    <row r="177" spans="4:24" x14ac:dyDescent="0.3">
      <c r="D177" s="23">
        <v>39840</v>
      </c>
      <c r="E177" s="5">
        <v>63.320830999999998</v>
      </c>
      <c r="F177" s="28">
        <v>49.851909999999997</v>
      </c>
      <c r="G177" s="28">
        <v>88.38</v>
      </c>
      <c r="H177" s="28">
        <v>25.586600000000001</v>
      </c>
      <c r="I177" s="28">
        <v>31.661729999999999</v>
      </c>
      <c r="J177" s="29"/>
      <c r="K177" s="29"/>
      <c r="L177" s="29"/>
      <c r="M177" s="29"/>
      <c r="N177" s="29"/>
      <c r="P177" s="4">
        <f t="shared" si="12"/>
        <v>1.0106085094964013E-2</v>
      </c>
      <c r="Q177" s="4">
        <f t="shared" si="12"/>
        <v>6.0616336798840461E-3</v>
      </c>
      <c r="R177" s="4">
        <f t="shared" si="12"/>
        <v>-6.4287144092503136E-3</v>
      </c>
      <c r="S177" s="4">
        <f t="shared" si="12"/>
        <v>7.1881155016513413E-3</v>
      </c>
      <c r="T177" s="4">
        <f t="shared" si="12"/>
        <v>1.1729924257359928E-2</v>
      </c>
      <c r="U177" s="35"/>
      <c r="V177" s="35"/>
      <c r="W177" s="35"/>
      <c r="X177" s="35"/>
    </row>
    <row r="178" spans="4:24" x14ac:dyDescent="0.3">
      <c r="D178" s="23">
        <v>39841</v>
      </c>
      <c r="E178" s="5">
        <v>65.463302999999996</v>
      </c>
      <c r="F178" s="28">
        <v>49.87753</v>
      </c>
      <c r="G178" s="28">
        <v>87.42</v>
      </c>
      <c r="H178" s="28">
        <v>26.48546</v>
      </c>
      <c r="I178" s="28">
        <v>32.754280000000001</v>
      </c>
      <c r="J178" s="29"/>
      <c r="K178" s="29"/>
      <c r="L178" s="29"/>
      <c r="M178" s="29"/>
      <c r="N178" s="29"/>
      <c r="P178" s="4">
        <f t="shared" si="12"/>
        <v>3.3275367352964491E-2</v>
      </c>
      <c r="Q178" s="4">
        <f t="shared" si="12"/>
        <v>5.1379012182561326E-4</v>
      </c>
      <c r="R178" s="4">
        <f t="shared" si="12"/>
        <v>-1.0921610267425313E-2</v>
      </c>
      <c r="S178" s="4">
        <f t="shared" si="12"/>
        <v>3.4527126223069214E-2</v>
      </c>
      <c r="T178" s="4">
        <f t="shared" si="12"/>
        <v>3.3924944522615151E-2</v>
      </c>
      <c r="U178" s="35"/>
      <c r="V178" s="35"/>
      <c r="W178" s="35"/>
      <c r="X178" s="35"/>
    </row>
    <row r="179" spans="4:24" x14ac:dyDescent="0.3">
      <c r="D179" s="23">
        <v>39842</v>
      </c>
      <c r="E179" s="5">
        <v>63.335835000000003</v>
      </c>
      <c r="F179" s="28">
        <v>49.54421</v>
      </c>
      <c r="G179" s="28">
        <v>89.5</v>
      </c>
      <c r="H179" s="28">
        <v>25.813490000000002</v>
      </c>
      <c r="I179" s="28">
        <v>31.67679</v>
      </c>
      <c r="J179" s="29"/>
      <c r="K179" s="29"/>
      <c r="L179" s="29"/>
      <c r="M179" s="29"/>
      <c r="N179" s="29"/>
      <c r="P179" s="4">
        <f t="shared" si="12"/>
        <v>-3.3038443382927489E-2</v>
      </c>
      <c r="Q179" s="4">
        <f t="shared" si="12"/>
        <v>-6.70519845718426E-3</v>
      </c>
      <c r="R179" s="4">
        <f t="shared" si="12"/>
        <v>2.351453584564115E-2</v>
      </c>
      <c r="S179" s="4">
        <f t="shared" si="12"/>
        <v>-2.5698679670683625E-2</v>
      </c>
      <c r="T179" s="4">
        <f t="shared" si="12"/>
        <v>-3.3449404510508693E-2</v>
      </c>
      <c r="U179" s="35"/>
      <c r="V179" s="35"/>
      <c r="W179" s="35"/>
      <c r="X179" s="35"/>
    </row>
    <row r="180" spans="4:24" x14ac:dyDescent="0.3">
      <c r="D180" s="23">
        <v>39843</v>
      </c>
      <c r="E180" s="5">
        <v>62.047386000000003</v>
      </c>
      <c r="F180" s="28">
        <v>49.569859999999998</v>
      </c>
      <c r="G180" s="28">
        <v>91.31</v>
      </c>
      <c r="H180" s="28">
        <v>25.35971</v>
      </c>
      <c r="I180" s="28">
        <v>30.998640000000002</v>
      </c>
      <c r="J180" s="29"/>
      <c r="K180" s="29"/>
      <c r="L180" s="29"/>
      <c r="M180" s="29"/>
      <c r="N180" s="29"/>
      <c r="P180" s="4">
        <f t="shared" si="12"/>
        <v>-2.055289926571624E-2</v>
      </c>
      <c r="Q180" s="4">
        <f t="shared" si="12"/>
        <v>5.175854562852704E-4</v>
      </c>
      <c r="R180" s="4">
        <f t="shared" si="12"/>
        <v>2.0021685347438992E-2</v>
      </c>
      <c r="S180" s="4">
        <f t="shared" si="12"/>
        <v>-1.7735529324259366E-2</v>
      </c>
      <c r="T180" s="4">
        <f t="shared" si="12"/>
        <v>-2.1640903499802692E-2</v>
      </c>
      <c r="U180" s="35"/>
      <c r="V180" s="35"/>
      <c r="W180" s="35"/>
      <c r="X180" s="35"/>
    </row>
    <row r="181" spans="4:24" x14ac:dyDescent="0.3">
      <c r="D181" s="23">
        <v>39846</v>
      </c>
      <c r="E181" s="5">
        <v>61.860134000000002</v>
      </c>
      <c r="F181" s="28">
        <v>49.736519999999999</v>
      </c>
      <c r="G181" s="28">
        <v>88.84</v>
      </c>
      <c r="H181" s="28">
        <v>25.665150000000001</v>
      </c>
      <c r="I181" s="28">
        <v>30.945910000000001</v>
      </c>
      <c r="J181" s="29"/>
      <c r="K181" s="29"/>
      <c r="L181" s="29"/>
      <c r="M181" s="29"/>
      <c r="N181" s="29"/>
      <c r="P181" s="4">
        <f t="shared" ref="P181:T196" si="13">LN(E181/E180)</f>
        <v>-3.0224500102778076E-3</v>
      </c>
      <c r="Q181" s="4">
        <f t="shared" si="13"/>
        <v>3.3564843762456382E-3</v>
      </c>
      <c r="R181" s="4">
        <f t="shared" si="13"/>
        <v>-2.742331160202206E-2</v>
      </c>
      <c r="S181" s="4">
        <f t="shared" si="13"/>
        <v>1.1972346358135731E-2</v>
      </c>
      <c r="T181" s="4">
        <f t="shared" si="13"/>
        <v>-1.7024907836567236E-3</v>
      </c>
      <c r="U181" s="35"/>
      <c r="V181" s="35"/>
      <c r="W181" s="35"/>
      <c r="X181" s="35"/>
    </row>
    <row r="182" spans="4:24" x14ac:dyDescent="0.3">
      <c r="D182" s="23">
        <v>39847</v>
      </c>
      <c r="E182" s="5">
        <v>62.729098999999998</v>
      </c>
      <c r="F182" s="28">
        <v>49.22175</v>
      </c>
      <c r="G182" s="28">
        <v>88.47</v>
      </c>
      <c r="H182" s="28">
        <v>26.066579999999998</v>
      </c>
      <c r="I182" s="28">
        <v>31.382930000000002</v>
      </c>
      <c r="J182" s="29"/>
      <c r="K182" s="29"/>
      <c r="L182" s="29"/>
      <c r="M182" s="29"/>
      <c r="N182" s="29"/>
      <c r="P182" s="4">
        <f t="shared" si="13"/>
        <v>1.3949505425591511E-2</v>
      </c>
      <c r="Q182" s="4">
        <f t="shared" si="13"/>
        <v>-1.0403873132417047E-2</v>
      </c>
      <c r="R182" s="4">
        <f t="shared" si="13"/>
        <v>-4.173487530932162E-3</v>
      </c>
      <c r="S182" s="4">
        <f t="shared" si="13"/>
        <v>1.5519993538897497E-2</v>
      </c>
      <c r="T182" s="4">
        <f t="shared" si="13"/>
        <v>1.4023272748894935E-2</v>
      </c>
      <c r="U182" s="35"/>
      <c r="V182" s="35"/>
      <c r="W182" s="35"/>
      <c r="X182" s="35"/>
    </row>
    <row r="183" spans="4:24" x14ac:dyDescent="0.3">
      <c r="D183" s="23">
        <v>39848</v>
      </c>
      <c r="E183" s="5">
        <v>62.421917000000001</v>
      </c>
      <c r="F183" s="28">
        <v>49.311839999999997</v>
      </c>
      <c r="G183" s="28">
        <v>89.18</v>
      </c>
      <c r="H183" s="28">
        <v>26.101479999999999</v>
      </c>
      <c r="I183" s="28">
        <v>31.21716</v>
      </c>
      <c r="J183" s="29"/>
      <c r="K183" s="29"/>
      <c r="L183" s="29"/>
      <c r="M183" s="29"/>
      <c r="N183" s="29"/>
      <c r="P183" s="4">
        <f t="shared" si="13"/>
        <v>-4.9089911803413015E-3</v>
      </c>
      <c r="Q183" s="4">
        <f t="shared" si="13"/>
        <v>1.8286155026694506E-3</v>
      </c>
      <c r="R183" s="4">
        <f t="shared" si="13"/>
        <v>7.9932877040361176E-3</v>
      </c>
      <c r="S183" s="4">
        <f t="shared" si="13"/>
        <v>1.3379836323795897E-3</v>
      </c>
      <c r="T183" s="4">
        <f t="shared" si="13"/>
        <v>-5.2961708994114188E-3</v>
      </c>
      <c r="U183" s="35"/>
      <c r="V183" s="35"/>
      <c r="W183" s="35"/>
      <c r="X183" s="35"/>
    </row>
    <row r="184" spans="4:24" x14ac:dyDescent="0.3">
      <c r="D184" s="23">
        <v>39849</v>
      </c>
      <c r="E184" s="5">
        <v>63.350848999999997</v>
      </c>
      <c r="F184" s="28">
        <v>49.421219999999998</v>
      </c>
      <c r="G184" s="28">
        <v>90.12</v>
      </c>
      <c r="H184" s="28">
        <v>26.677440000000001</v>
      </c>
      <c r="I184" s="28">
        <v>31.714479999999998</v>
      </c>
      <c r="J184" s="29"/>
      <c r="K184" s="29"/>
      <c r="L184" s="29"/>
      <c r="M184" s="29"/>
      <c r="N184" s="29"/>
      <c r="P184" s="4">
        <f t="shared" si="13"/>
        <v>1.47718607322026E-2</v>
      </c>
      <c r="Q184" s="4">
        <f t="shared" si="13"/>
        <v>2.2156721314497592E-3</v>
      </c>
      <c r="R184" s="4">
        <f t="shared" si="13"/>
        <v>1.0485316364712989E-2</v>
      </c>
      <c r="S184" s="4">
        <f t="shared" si="13"/>
        <v>2.1826246717921188E-2</v>
      </c>
      <c r="T184" s="4">
        <f t="shared" si="13"/>
        <v>1.5805415303455486E-2</v>
      </c>
      <c r="U184" s="35"/>
      <c r="V184" s="35"/>
      <c r="W184" s="35"/>
      <c r="X184" s="35"/>
    </row>
    <row r="185" spans="4:24" x14ac:dyDescent="0.3">
      <c r="D185" s="23">
        <v>39850</v>
      </c>
      <c r="E185" s="5">
        <v>65.156136000000004</v>
      </c>
      <c r="F185" s="28">
        <v>49.414810000000003</v>
      </c>
      <c r="G185" s="28">
        <v>89.59</v>
      </c>
      <c r="H185" s="28">
        <v>27.37557</v>
      </c>
      <c r="I185" s="28">
        <v>32.62621</v>
      </c>
      <c r="J185" s="29"/>
      <c r="K185" s="29"/>
      <c r="L185" s="29"/>
      <c r="M185" s="29"/>
      <c r="N185" s="29"/>
      <c r="P185" s="4">
        <f t="shared" si="13"/>
        <v>2.8098173377626236E-2</v>
      </c>
      <c r="Q185" s="4">
        <f t="shared" si="13"/>
        <v>-1.2970978314249463E-4</v>
      </c>
      <c r="R185" s="4">
        <f t="shared" si="13"/>
        <v>-5.8984089545566854E-3</v>
      </c>
      <c r="S185" s="4">
        <f t="shared" si="13"/>
        <v>2.5832745417954956E-2</v>
      </c>
      <c r="T185" s="4">
        <f t="shared" si="13"/>
        <v>2.8342594153387836E-2</v>
      </c>
      <c r="U185" s="35"/>
      <c r="V185" s="35"/>
      <c r="W185" s="35"/>
      <c r="X185" s="35"/>
    </row>
    <row r="186" spans="4:24" x14ac:dyDescent="0.3">
      <c r="D186" s="23">
        <v>39853</v>
      </c>
      <c r="E186" s="5">
        <v>65.246025000000003</v>
      </c>
      <c r="F186" s="28">
        <v>49.42765</v>
      </c>
      <c r="G186" s="28">
        <v>88.32</v>
      </c>
      <c r="H186" s="28">
        <v>27.48902</v>
      </c>
      <c r="I186" s="28">
        <v>32.633740000000003</v>
      </c>
      <c r="J186" s="29"/>
      <c r="K186" s="29"/>
      <c r="L186" s="29"/>
      <c r="M186" s="29"/>
      <c r="N186" s="29"/>
      <c r="P186" s="4">
        <f t="shared" si="13"/>
        <v>1.3786430155454275E-3</v>
      </c>
      <c r="Q186" s="4">
        <f t="shared" si="13"/>
        <v>2.5980737574151741E-4</v>
      </c>
      <c r="R186" s="4">
        <f t="shared" si="13"/>
        <v>-1.427712408070201E-2</v>
      </c>
      <c r="S186" s="4">
        <f t="shared" si="13"/>
        <v>4.1356423769739505E-3</v>
      </c>
      <c r="T186" s="4">
        <f t="shared" si="13"/>
        <v>2.3076940860119837E-4</v>
      </c>
      <c r="U186" s="35"/>
      <c r="V186" s="35"/>
      <c r="W186" s="35"/>
      <c r="X186" s="35"/>
    </row>
    <row r="187" spans="4:24" x14ac:dyDescent="0.3">
      <c r="D187" s="23">
        <v>39854</v>
      </c>
      <c r="E187" s="5">
        <v>62.257145000000001</v>
      </c>
      <c r="F187" s="28">
        <v>49.697920000000003</v>
      </c>
      <c r="G187" s="28">
        <v>90.21</v>
      </c>
      <c r="H187" s="28">
        <v>26.47673</v>
      </c>
      <c r="I187" s="28">
        <v>31.141819999999999</v>
      </c>
      <c r="J187" s="29"/>
      <c r="K187" s="29"/>
      <c r="L187" s="29"/>
      <c r="M187" s="29"/>
      <c r="N187" s="29"/>
      <c r="P187" s="4">
        <f t="shared" si="13"/>
        <v>-4.6891816932238317E-2</v>
      </c>
      <c r="Q187" s="4">
        <f t="shared" si="13"/>
        <v>5.4530969100046213E-3</v>
      </c>
      <c r="R187" s="4">
        <f t="shared" si="13"/>
        <v>2.1173703139762325E-2</v>
      </c>
      <c r="S187" s="4">
        <f t="shared" si="13"/>
        <v>-3.752041819729534E-2</v>
      </c>
      <c r="T187" s="4">
        <f t="shared" si="13"/>
        <v>-4.6795112059383491E-2</v>
      </c>
      <c r="U187" s="35"/>
      <c r="V187" s="35"/>
      <c r="W187" s="35"/>
      <c r="X187" s="35"/>
    </row>
    <row r="188" spans="4:24" x14ac:dyDescent="0.3">
      <c r="D188" s="23">
        <v>39855</v>
      </c>
      <c r="E188" s="5">
        <v>62.624209999999998</v>
      </c>
      <c r="F188" s="28">
        <v>49.878039999999999</v>
      </c>
      <c r="G188" s="28">
        <v>92.29</v>
      </c>
      <c r="H188" s="28">
        <v>26.35455</v>
      </c>
      <c r="I188" s="28">
        <v>31.330190000000002</v>
      </c>
      <c r="J188" s="29"/>
      <c r="K188" s="29"/>
      <c r="L188" s="29"/>
      <c r="M188" s="29"/>
      <c r="N188" s="29"/>
      <c r="P188" s="4">
        <f t="shared" si="13"/>
        <v>5.8786366803387615E-3</v>
      </c>
      <c r="Q188" s="4">
        <f t="shared" si="13"/>
        <v>3.6177446132977095E-3</v>
      </c>
      <c r="R188" s="4">
        <f t="shared" si="13"/>
        <v>2.2795507608938035E-2</v>
      </c>
      <c r="S188" s="4">
        <f t="shared" si="13"/>
        <v>-4.6252984148876033E-3</v>
      </c>
      <c r="T188" s="4">
        <f t="shared" si="13"/>
        <v>6.0305589937225748E-3</v>
      </c>
      <c r="U188" s="35"/>
      <c r="V188" s="35"/>
      <c r="W188" s="35"/>
      <c r="X188" s="35"/>
    </row>
    <row r="189" spans="4:24" x14ac:dyDescent="0.3">
      <c r="D189" s="23">
        <v>39856</v>
      </c>
      <c r="E189" s="5">
        <v>62.669155000000003</v>
      </c>
      <c r="F189" s="28">
        <v>49.74935</v>
      </c>
      <c r="G189" s="28">
        <v>93.17</v>
      </c>
      <c r="H189" s="28">
        <v>26.677440000000001</v>
      </c>
      <c r="I189" s="28">
        <v>31.413070000000001</v>
      </c>
      <c r="J189" s="29"/>
      <c r="K189" s="29"/>
      <c r="L189" s="29"/>
      <c r="M189" s="29"/>
      <c r="N189" s="29"/>
      <c r="P189" s="4">
        <f t="shared" si="13"/>
        <v>7.1743626532536639E-4</v>
      </c>
      <c r="Q189" s="4">
        <f t="shared" si="13"/>
        <v>-2.5834275408424842E-3</v>
      </c>
      <c r="R189" s="4">
        <f t="shared" si="13"/>
        <v>9.4899881848482092E-3</v>
      </c>
      <c r="S189" s="4">
        <f t="shared" si="13"/>
        <v>1.2177328817253997E-2</v>
      </c>
      <c r="T189" s="4">
        <f t="shared" si="13"/>
        <v>2.6418789270829684E-3</v>
      </c>
      <c r="U189" s="35"/>
      <c r="V189" s="35"/>
      <c r="W189" s="35"/>
      <c r="X189" s="35"/>
    </row>
    <row r="190" spans="4:24" x14ac:dyDescent="0.3">
      <c r="D190" s="23">
        <v>39857</v>
      </c>
      <c r="E190" s="5">
        <v>61.994971999999997</v>
      </c>
      <c r="F190" s="28">
        <v>49.517749999999999</v>
      </c>
      <c r="G190" s="28">
        <v>92.55</v>
      </c>
      <c r="H190" s="28">
        <v>26.55527</v>
      </c>
      <c r="I190" s="28">
        <v>31.096599999999999</v>
      </c>
      <c r="J190" s="29"/>
      <c r="K190" s="29"/>
      <c r="L190" s="29"/>
      <c r="M190" s="29"/>
      <c r="N190" s="29"/>
      <c r="P190" s="4">
        <f t="shared" si="13"/>
        <v>-1.0816095837951515E-2</v>
      </c>
      <c r="Q190" s="4">
        <f t="shared" si="13"/>
        <v>-4.6662070359297439E-3</v>
      </c>
      <c r="R190" s="4">
        <f t="shared" si="13"/>
        <v>-6.6767424428271181E-3</v>
      </c>
      <c r="S190" s="4">
        <f t="shared" si="13"/>
        <v>-4.5900430203445102E-3</v>
      </c>
      <c r="T190" s="4">
        <f t="shared" si="13"/>
        <v>-1.0125559897779692E-2</v>
      </c>
      <c r="U190" s="35"/>
      <c r="V190" s="35"/>
      <c r="W190" s="35"/>
      <c r="X190" s="35"/>
    </row>
    <row r="191" spans="4:24" x14ac:dyDescent="0.3">
      <c r="D191" s="23">
        <v>39861</v>
      </c>
      <c r="E191" s="5">
        <v>59.343162999999997</v>
      </c>
      <c r="F191" s="28">
        <v>49.839440000000003</v>
      </c>
      <c r="G191" s="28">
        <v>95.45</v>
      </c>
      <c r="H191" s="28">
        <v>25.49935</v>
      </c>
      <c r="I191" s="28">
        <v>29.755400000000002</v>
      </c>
      <c r="J191" s="29"/>
      <c r="K191" s="29"/>
      <c r="L191" s="29"/>
      <c r="M191" s="29"/>
      <c r="N191" s="29"/>
      <c r="P191" s="4">
        <f t="shared" si="13"/>
        <v>-4.3716368540592555E-2</v>
      </c>
      <c r="Q191" s="4">
        <f t="shared" si="13"/>
        <v>6.475447304331014E-3</v>
      </c>
      <c r="R191" s="4">
        <f t="shared" si="13"/>
        <v>3.0853511152250095E-2</v>
      </c>
      <c r="S191" s="4">
        <f t="shared" si="13"/>
        <v>-4.0575259755979066E-2</v>
      </c>
      <c r="T191" s="4">
        <f t="shared" si="13"/>
        <v>-4.4087860324697851E-2</v>
      </c>
      <c r="U191" s="35"/>
      <c r="V191" s="35"/>
      <c r="W191" s="35"/>
      <c r="X191" s="35"/>
    </row>
    <row r="192" spans="4:24" x14ac:dyDescent="0.3">
      <c r="D192" s="23">
        <v>39862</v>
      </c>
      <c r="E192" s="5">
        <v>59.200843999999996</v>
      </c>
      <c r="F192" s="28">
        <v>49.646419999999999</v>
      </c>
      <c r="G192" s="28">
        <v>96.91</v>
      </c>
      <c r="H192" s="28">
        <v>25.51679</v>
      </c>
      <c r="I192" s="28">
        <v>29.657430000000002</v>
      </c>
      <c r="J192" s="29"/>
      <c r="K192" s="29"/>
      <c r="L192" s="29"/>
      <c r="M192" s="29"/>
      <c r="N192" s="29"/>
      <c r="P192" s="4">
        <f t="shared" si="13"/>
        <v>-2.4011178966941433E-3</v>
      </c>
      <c r="Q192" s="4">
        <f t="shared" si="13"/>
        <v>-3.8803553026393665E-3</v>
      </c>
      <c r="R192" s="4">
        <f t="shared" si="13"/>
        <v>1.5180162574702005E-2</v>
      </c>
      <c r="S192" s="4">
        <f t="shared" si="13"/>
        <v>6.8370522267522055E-4</v>
      </c>
      <c r="T192" s="4">
        <f t="shared" si="13"/>
        <v>-3.2979438547869962E-3</v>
      </c>
      <c r="U192" s="35"/>
      <c r="V192" s="35"/>
      <c r="W192" s="35"/>
      <c r="X192" s="35"/>
    </row>
    <row r="193" spans="4:24" x14ac:dyDescent="0.3">
      <c r="D193" s="23">
        <v>39863</v>
      </c>
      <c r="E193" s="5">
        <v>58.564124999999997</v>
      </c>
      <c r="F193" s="28">
        <v>49.434080000000002</v>
      </c>
      <c r="G193" s="28">
        <v>95.77</v>
      </c>
      <c r="H193" s="28">
        <v>25.124089999999999</v>
      </c>
      <c r="I193" s="28">
        <v>29.340969999999999</v>
      </c>
      <c r="J193" s="29"/>
      <c r="K193" s="29"/>
      <c r="L193" s="29"/>
      <c r="M193" s="29"/>
      <c r="N193" s="29"/>
      <c r="P193" s="4">
        <f t="shared" si="13"/>
        <v>-1.0813490799084223E-2</v>
      </c>
      <c r="Q193" s="4">
        <f t="shared" si="13"/>
        <v>-4.2862182788045433E-3</v>
      </c>
      <c r="R193" s="4">
        <f t="shared" si="13"/>
        <v>-1.183322921293071E-2</v>
      </c>
      <c r="S193" s="4">
        <f t="shared" si="13"/>
        <v>-1.5509520048249917E-2</v>
      </c>
      <c r="T193" s="4">
        <f t="shared" si="13"/>
        <v>-1.0727851434100334E-2</v>
      </c>
      <c r="U193" s="35"/>
      <c r="V193" s="35"/>
      <c r="W193" s="35"/>
      <c r="X193" s="35"/>
    </row>
    <row r="194" spans="4:24" x14ac:dyDescent="0.3">
      <c r="D194" s="23">
        <v>39864</v>
      </c>
      <c r="E194" s="5">
        <v>57.994816</v>
      </c>
      <c r="F194" s="28">
        <v>49.524169999999998</v>
      </c>
      <c r="G194" s="28">
        <v>97.8</v>
      </c>
      <c r="H194" s="28">
        <v>25.193899999999999</v>
      </c>
      <c r="I194" s="28">
        <v>28.99437</v>
      </c>
      <c r="J194" s="29"/>
      <c r="K194" s="29"/>
      <c r="L194" s="29"/>
      <c r="M194" s="29"/>
      <c r="N194" s="29"/>
      <c r="P194" s="4">
        <f t="shared" si="13"/>
        <v>-9.7686805044998621E-3</v>
      </c>
      <c r="Q194" s="4">
        <f t="shared" si="13"/>
        <v>1.8207683520845847E-3</v>
      </c>
      <c r="R194" s="4">
        <f t="shared" si="13"/>
        <v>2.0975093507243657E-2</v>
      </c>
      <c r="S194" s="4">
        <f t="shared" si="13"/>
        <v>2.7747549053715355E-3</v>
      </c>
      <c r="T194" s="4">
        <f t="shared" si="13"/>
        <v>-1.1883159628141652E-2</v>
      </c>
      <c r="U194" s="35"/>
      <c r="V194" s="35"/>
      <c r="W194" s="35"/>
      <c r="X194" s="35"/>
    </row>
    <row r="195" spans="4:24" x14ac:dyDescent="0.3">
      <c r="D195" s="23">
        <v>39867</v>
      </c>
      <c r="E195" s="5">
        <v>55.919815</v>
      </c>
      <c r="F195" s="28">
        <v>49.607810000000001</v>
      </c>
      <c r="G195" s="28">
        <v>97.73</v>
      </c>
      <c r="H195" s="28">
        <v>24.31251</v>
      </c>
      <c r="I195" s="28">
        <v>28.007280000000002</v>
      </c>
      <c r="J195" s="29"/>
      <c r="K195" s="29"/>
      <c r="L195" s="29"/>
      <c r="M195" s="29"/>
      <c r="N195" s="29"/>
      <c r="P195" s="4">
        <f t="shared" si="13"/>
        <v>-3.6434837618991509E-2</v>
      </c>
      <c r="Q195" s="4">
        <f t="shared" si="13"/>
        <v>1.6874477811689268E-3</v>
      </c>
      <c r="R195" s="4">
        <f t="shared" si="13"/>
        <v>-7.1600269002718901E-4</v>
      </c>
      <c r="S195" s="4">
        <f t="shared" si="13"/>
        <v>-3.561086903358382E-2</v>
      </c>
      <c r="T195" s="4">
        <f t="shared" si="13"/>
        <v>-3.4637196827170515E-2</v>
      </c>
      <c r="U195" s="35"/>
      <c r="V195" s="35"/>
      <c r="W195" s="35"/>
      <c r="X195" s="35"/>
    </row>
    <row r="196" spans="4:24" x14ac:dyDescent="0.3">
      <c r="D196" s="23">
        <v>39868</v>
      </c>
      <c r="E196" s="5">
        <v>58.039757000000002</v>
      </c>
      <c r="F196" s="28">
        <v>49.569189999999999</v>
      </c>
      <c r="G196" s="28">
        <v>94.73</v>
      </c>
      <c r="H196" s="28">
        <v>25.115359999999999</v>
      </c>
      <c r="I196" s="28">
        <v>29.0245</v>
      </c>
      <c r="J196" s="29"/>
      <c r="K196" s="29"/>
      <c r="L196" s="29"/>
      <c r="M196" s="29"/>
      <c r="N196" s="29"/>
      <c r="P196" s="4">
        <f t="shared" si="13"/>
        <v>3.7209451616961729E-2</v>
      </c>
      <c r="Q196" s="4">
        <f t="shared" si="13"/>
        <v>-7.7880964239820287E-4</v>
      </c>
      <c r="R196" s="4">
        <f t="shared" si="13"/>
        <v>-3.1177834463301256E-2</v>
      </c>
      <c r="S196" s="4">
        <f t="shared" si="13"/>
        <v>3.2488578472950586E-2</v>
      </c>
      <c r="T196" s="4">
        <f t="shared" si="13"/>
        <v>3.5675824525660961E-2</v>
      </c>
      <c r="U196" s="35"/>
      <c r="V196" s="35"/>
      <c r="W196" s="35"/>
      <c r="X196" s="35"/>
    </row>
    <row r="197" spans="4:24" x14ac:dyDescent="0.3">
      <c r="D197" s="23">
        <v>39869</v>
      </c>
      <c r="E197" s="5">
        <v>57.582808999999997</v>
      </c>
      <c r="F197" s="28">
        <v>49.318280000000001</v>
      </c>
      <c r="G197" s="28">
        <v>93.15</v>
      </c>
      <c r="H197" s="28">
        <v>24.949549999999999</v>
      </c>
      <c r="I197" s="28">
        <v>28.798459999999999</v>
      </c>
      <c r="J197" s="29"/>
      <c r="K197" s="29"/>
      <c r="L197" s="29"/>
      <c r="M197" s="29"/>
      <c r="N197" s="29"/>
      <c r="P197" s="4">
        <f t="shared" ref="P197:T212" si="14">LN(E197/E196)</f>
        <v>-7.9041729452574878E-3</v>
      </c>
      <c r="Q197" s="4">
        <f t="shared" si="14"/>
        <v>-5.0746679727564446E-3</v>
      </c>
      <c r="R197" s="4">
        <f t="shared" si="14"/>
        <v>-1.6819642839845633E-2</v>
      </c>
      <c r="S197" s="4">
        <f t="shared" si="14"/>
        <v>-6.6238251998536543E-3</v>
      </c>
      <c r="T197" s="4">
        <f t="shared" si="14"/>
        <v>-7.8183874167346429E-3</v>
      </c>
      <c r="U197" s="35"/>
      <c r="V197" s="35"/>
      <c r="W197" s="35"/>
      <c r="X197" s="35"/>
    </row>
    <row r="198" spans="4:24" x14ac:dyDescent="0.3">
      <c r="D198" s="23">
        <v>39870</v>
      </c>
      <c r="E198" s="5">
        <v>56.646461000000002</v>
      </c>
      <c r="F198" s="28">
        <v>49.228200000000001</v>
      </c>
      <c r="G198" s="28">
        <v>93.06</v>
      </c>
      <c r="H198" s="28">
        <v>24.25142</v>
      </c>
      <c r="I198" s="28">
        <v>28.27102</v>
      </c>
      <c r="J198" s="29"/>
      <c r="K198" s="29"/>
      <c r="L198" s="29"/>
      <c r="M198" s="29"/>
      <c r="N198" s="29"/>
      <c r="P198" s="4">
        <f t="shared" si="14"/>
        <v>-1.6394554086709871E-2</v>
      </c>
      <c r="Q198" s="4">
        <f t="shared" si="14"/>
        <v>-1.8281733673067683E-3</v>
      </c>
      <c r="R198" s="4">
        <f t="shared" si="14"/>
        <v>-9.6665063109498996E-4</v>
      </c>
      <c r="S198" s="4">
        <f t="shared" si="14"/>
        <v>-2.8380613592584994E-2</v>
      </c>
      <c r="T198" s="4">
        <f t="shared" si="14"/>
        <v>-1.8484661784513159E-2</v>
      </c>
      <c r="U198" s="35"/>
      <c r="V198" s="35"/>
      <c r="W198" s="35"/>
      <c r="X198" s="35"/>
    </row>
    <row r="199" spans="4:24" x14ac:dyDescent="0.3">
      <c r="D199" s="23">
        <v>39871</v>
      </c>
      <c r="E199" s="5">
        <v>55.380488999999997</v>
      </c>
      <c r="F199" s="28">
        <v>49.27966</v>
      </c>
      <c r="G199" s="28">
        <v>92.63</v>
      </c>
      <c r="H199" s="28">
        <v>24.024529999999999</v>
      </c>
      <c r="I199" s="28">
        <v>27.736039999999999</v>
      </c>
      <c r="J199" s="29"/>
      <c r="K199" s="29"/>
      <c r="L199" s="29"/>
      <c r="M199" s="29"/>
      <c r="N199" s="29"/>
      <c r="P199" s="4">
        <f t="shared" si="14"/>
        <v>-2.2602166601184529E-2</v>
      </c>
      <c r="Q199" s="4">
        <f t="shared" si="14"/>
        <v>1.0447898204483791E-3</v>
      </c>
      <c r="R199" s="4">
        <f t="shared" si="14"/>
        <v>-4.6313831505663877E-3</v>
      </c>
      <c r="S199" s="4">
        <f t="shared" si="14"/>
        <v>-9.3997806604023022E-3</v>
      </c>
      <c r="T199" s="4">
        <f t="shared" si="14"/>
        <v>-1.9104601154770036E-2</v>
      </c>
      <c r="U199" s="35"/>
      <c r="V199" s="35"/>
      <c r="W199" s="35"/>
      <c r="X199" s="35"/>
    </row>
    <row r="200" spans="4:24" x14ac:dyDescent="0.3">
      <c r="D200" s="23">
        <v>39874</v>
      </c>
      <c r="E200" s="5">
        <v>52.886012999999998</v>
      </c>
      <c r="F200" s="28">
        <v>49.360390000000002</v>
      </c>
      <c r="G200" s="28">
        <v>90.93</v>
      </c>
      <c r="H200" s="28">
        <v>23.247859999999999</v>
      </c>
      <c r="I200" s="28">
        <v>26.447559999999999</v>
      </c>
      <c r="J200" s="29"/>
      <c r="K200" s="29"/>
      <c r="L200" s="29"/>
      <c r="M200" s="29"/>
      <c r="N200" s="29"/>
      <c r="P200" s="4">
        <f t="shared" si="14"/>
        <v>-4.6088448239974815E-2</v>
      </c>
      <c r="Q200" s="4">
        <f t="shared" si="14"/>
        <v>1.6368608496261216E-3</v>
      </c>
      <c r="R200" s="4">
        <f t="shared" si="14"/>
        <v>-1.8523083528114565E-2</v>
      </c>
      <c r="S200" s="4">
        <f t="shared" si="14"/>
        <v>-3.2862306923349294E-2</v>
      </c>
      <c r="T200" s="4">
        <f t="shared" si="14"/>
        <v>-4.7568746029055815E-2</v>
      </c>
      <c r="U200" s="35"/>
      <c r="V200" s="35"/>
      <c r="W200" s="35"/>
      <c r="X200" s="35"/>
    </row>
    <row r="201" spans="4:24" x14ac:dyDescent="0.3">
      <c r="D201" s="23">
        <v>39875</v>
      </c>
      <c r="E201" s="5">
        <v>52.488971999999997</v>
      </c>
      <c r="F201" s="28">
        <v>49.192529999999998</v>
      </c>
      <c r="G201" s="28">
        <v>90.04</v>
      </c>
      <c r="H201" s="28">
        <v>23.230409999999999</v>
      </c>
      <c r="I201" s="28">
        <v>26.221520000000002</v>
      </c>
      <c r="J201" s="29"/>
      <c r="K201" s="29"/>
      <c r="L201" s="29"/>
      <c r="M201" s="29"/>
      <c r="N201" s="29"/>
      <c r="P201" s="4">
        <f t="shared" si="14"/>
        <v>-7.5358089767201646E-3</v>
      </c>
      <c r="Q201" s="4">
        <f t="shared" si="14"/>
        <v>-3.4064979977009987E-3</v>
      </c>
      <c r="R201" s="4">
        <f t="shared" si="14"/>
        <v>-9.8359636992899607E-3</v>
      </c>
      <c r="S201" s="4">
        <f t="shared" si="14"/>
        <v>-7.5088856878316272E-4</v>
      </c>
      <c r="T201" s="4">
        <f t="shared" si="14"/>
        <v>-8.583456851856533E-3</v>
      </c>
      <c r="U201" s="35"/>
      <c r="V201" s="35"/>
      <c r="W201" s="35"/>
      <c r="X201" s="35"/>
    </row>
    <row r="202" spans="4:24" x14ac:dyDescent="0.3">
      <c r="D202" s="23">
        <v>39876</v>
      </c>
      <c r="E202" s="5">
        <v>53.732467999999997</v>
      </c>
      <c r="F202" s="28">
        <v>49.186030000000002</v>
      </c>
      <c r="G202" s="28">
        <v>88.99</v>
      </c>
      <c r="H202" s="28">
        <v>23.849989999999998</v>
      </c>
      <c r="I202" s="28">
        <v>26.794180000000001</v>
      </c>
      <c r="J202" s="29"/>
      <c r="K202" s="29"/>
      <c r="L202" s="29"/>
      <c r="M202" s="29"/>
      <c r="N202" s="29"/>
      <c r="P202" s="4">
        <f t="shared" si="14"/>
        <v>2.3414346666752253E-2</v>
      </c>
      <c r="Q202" s="4">
        <f t="shared" si="14"/>
        <v>-1.3214261337945169E-4</v>
      </c>
      <c r="R202" s="4">
        <f t="shared" si="14"/>
        <v>-1.1730012169760728E-2</v>
      </c>
      <c r="S202" s="4">
        <f t="shared" si="14"/>
        <v>2.6321601829438886E-2</v>
      </c>
      <c r="T202" s="4">
        <f t="shared" si="14"/>
        <v>2.1604252084359486E-2</v>
      </c>
      <c r="U202" s="35"/>
      <c r="V202" s="35"/>
      <c r="W202" s="35"/>
      <c r="X202" s="35"/>
    </row>
    <row r="203" spans="4:24" x14ac:dyDescent="0.3">
      <c r="D203" s="23">
        <v>39877</v>
      </c>
      <c r="E203" s="5">
        <v>51.537604999999999</v>
      </c>
      <c r="F203" s="28">
        <v>49.412019999999998</v>
      </c>
      <c r="G203" s="28">
        <v>91.99</v>
      </c>
      <c r="H203" s="28">
        <v>23.134409999999999</v>
      </c>
      <c r="I203" s="28">
        <v>25.709140000000001</v>
      </c>
      <c r="J203" s="29"/>
      <c r="K203" s="29"/>
      <c r="L203" s="29"/>
      <c r="M203" s="29"/>
      <c r="N203" s="29"/>
      <c r="P203" s="4">
        <f t="shared" si="14"/>
        <v>-4.170570167399542E-2</v>
      </c>
      <c r="Q203" s="4">
        <f t="shared" si="14"/>
        <v>4.5840743451025703E-3</v>
      </c>
      <c r="R203" s="4">
        <f t="shared" si="14"/>
        <v>3.3155871620295083E-2</v>
      </c>
      <c r="S203" s="4">
        <f t="shared" si="14"/>
        <v>-3.0462678498693316E-2</v>
      </c>
      <c r="T203" s="4">
        <f t="shared" si="14"/>
        <v>-4.1338129055265724E-2</v>
      </c>
      <c r="U203" s="35"/>
      <c r="V203" s="35"/>
      <c r="W203" s="35"/>
      <c r="X203" s="35"/>
    </row>
    <row r="204" spans="4:24" x14ac:dyDescent="0.3">
      <c r="D204" s="23">
        <v>39878</v>
      </c>
      <c r="E204" s="5">
        <v>51.627502</v>
      </c>
      <c r="F204" s="28">
        <v>49.20543</v>
      </c>
      <c r="G204" s="28">
        <v>92.29</v>
      </c>
      <c r="H204" s="28">
        <v>22.951149999999998</v>
      </c>
      <c r="I204" s="28">
        <v>25.701609999999999</v>
      </c>
      <c r="J204" s="29"/>
      <c r="K204" s="29"/>
      <c r="L204" s="29"/>
      <c r="M204" s="29"/>
      <c r="N204" s="29"/>
      <c r="P204" s="4">
        <f t="shared" si="14"/>
        <v>1.7427796154669043E-3</v>
      </c>
      <c r="Q204" s="4">
        <f t="shared" si="14"/>
        <v>-4.1897311724044175E-3</v>
      </c>
      <c r="R204" s="4">
        <f t="shared" si="14"/>
        <v>3.2559177884195776E-3</v>
      </c>
      <c r="S204" s="4">
        <f t="shared" si="14"/>
        <v>-7.9530753647518819E-3</v>
      </c>
      <c r="T204" s="4">
        <f t="shared" si="14"/>
        <v>-2.9293484548851027E-4</v>
      </c>
      <c r="U204" s="35"/>
      <c r="V204" s="35"/>
      <c r="W204" s="35"/>
      <c r="X204" s="35"/>
    </row>
    <row r="205" spans="4:24" x14ac:dyDescent="0.3">
      <c r="D205" s="23">
        <v>39881</v>
      </c>
      <c r="E205" s="5">
        <v>51.020747999999998</v>
      </c>
      <c r="F205" s="28">
        <v>49.024619999999999</v>
      </c>
      <c r="G205" s="28">
        <v>90.57</v>
      </c>
      <c r="H205" s="28">
        <v>22.46245</v>
      </c>
      <c r="I205" s="28">
        <v>25.392679999999999</v>
      </c>
      <c r="J205" s="29"/>
      <c r="K205" s="29"/>
      <c r="L205" s="29"/>
      <c r="M205" s="29"/>
      <c r="N205" s="29"/>
      <c r="P205" s="4">
        <f t="shared" si="14"/>
        <v>-1.1822141474370655E-2</v>
      </c>
      <c r="Q205" s="4">
        <f t="shared" si="14"/>
        <v>-3.6813623570623212E-3</v>
      </c>
      <c r="R205" s="4">
        <f t="shared" si="14"/>
        <v>-1.8812760890628378E-2</v>
      </c>
      <c r="S205" s="4">
        <f t="shared" si="14"/>
        <v>-2.1523018008514326E-2</v>
      </c>
      <c r="T205" s="4">
        <f t="shared" si="14"/>
        <v>-1.2092692339707813E-2</v>
      </c>
      <c r="U205" s="35"/>
      <c r="V205" s="35"/>
      <c r="W205" s="35"/>
      <c r="X205" s="35"/>
    </row>
    <row r="206" spans="4:24" x14ac:dyDescent="0.3">
      <c r="D206" s="23">
        <v>39882</v>
      </c>
      <c r="E206" s="5">
        <v>54.062069000000001</v>
      </c>
      <c r="F206" s="28">
        <v>49.076270000000001</v>
      </c>
      <c r="G206" s="28">
        <v>88.14</v>
      </c>
      <c r="H206" s="28">
        <v>23.849989999999998</v>
      </c>
      <c r="I206" s="28">
        <v>27.012689999999999</v>
      </c>
      <c r="J206" s="29"/>
      <c r="K206" s="29"/>
      <c r="L206" s="29"/>
      <c r="M206" s="29"/>
      <c r="N206" s="29"/>
      <c r="P206" s="4">
        <f t="shared" si="14"/>
        <v>5.7900438882501806E-2</v>
      </c>
      <c r="Q206" s="4">
        <f t="shared" si="14"/>
        <v>1.0529976796841746E-3</v>
      </c>
      <c r="R206" s="4">
        <f t="shared" si="14"/>
        <v>-2.7196572973016128E-2</v>
      </c>
      <c r="S206" s="4">
        <f t="shared" si="14"/>
        <v>5.9938771871959458E-2</v>
      </c>
      <c r="T206" s="4">
        <f t="shared" si="14"/>
        <v>6.184581207523468E-2</v>
      </c>
      <c r="U206" s="35"/>
      <c r="V206" s="35"/>
      <c r="W206" s="35"/>
      <c r="X206" s="35"/>
    </row>
    <row r="207" spans="4:24" x14ac:dyDescent="0.3">
      <c r="D207" s="23">
        <v>39883</v>
      </c>
      <c r="E207" s="5">
        <v>54.414149999999999</v>
      </c>
      <c r="F207" s="28">
        <v>49.179589999999997</v>
      </c>
      <c r="G207" s="28">
        <v>89.22</v>
      </c>
      <c r="H207" s="28">
        <v>24.21651</v>
      </c>
      <c r="I207" s="28">
        <v>27.11063</v>
      </c>
      <c r="J207" s="29"/>
      <c r="K207" s="29"/>
      <c r="L207" s="29"/>
      <c r="M207" s="29"/>
      <c r="N207" s="29"/>
      <c r="P207" s="4">
        <f t="shared" si="14"/>
        <v>6.4914179272128579E-3</v>
      </c>
      <c r="Q207" s="4">
        <f t="shared" si="14"/>
        <v>2.1030814463709629E-3</v>
      </c>
      <c r="R207" s="4">
        <f t="shared" si="14"/>
        <v>1.217877028627767E-2</v>
      </c>
      <c r="S207" s="4">
        <f t="shared" si="14"/>
        <v>1.5250833906495629E-2</v>
      </c>
      <c r="T207" s="4">
        <f t="shared" si="14"/>
        <v>3.6191463089582931E-3</v>
      </c>
      <c r="U207" s="35"/>
      <c r="V207" s="35"/>
      <c r="W207" s="35"/>
      <c r="X207" s="35"/>
    </row>
    <row r="208" spans="4:24" x14ac:dyDescent="0.3">
      <c r="D208" s="23">
        <v>39884</v>
      </c>
      <c r="E208" s="5">
        <v>56.556545</v>
      </c>
      <c r="F208" s="28">
        <v>49.289389999999997</v>
      </c>
      <c r="G208" s="28">
        <v>91.1</v>
      </c>
      <c r="H208" s="28">
        <v>25.019369999999999</v>
      </c>
      <c r="I208" s="28">
        <v>28.225809999999999</v>
      </c>
      <c r="J208" s="29"/>
      <c r="K208" s="29"/>
      <c r="L208" s="29"/>
      <c r="M208" s="29"/>
      <c r="N208" s="29"/>
      <c r="P208" s="4">
        <f t="shared" si="14"/>
        <v>3.861670381647777E-2</v>
      </c>
      <c r="Q208" s="4">
        <f t="shared" si="14"/>
        <v>2.2301448742119367E-3</v>
      </c>
      <c r="R208" s="4">
        <f t="shared" si="14"/>
        <v>2.085257456579389E-2</v>
      </c>
      <c r="S208" s="4">
        <f t="shared" si="14"/>
        <v>3.2615692912085797E-2</v>
      </c>
      <c r="T208" s="4">
        <f t="shared" si="14"/>
        <v>4.0310905688863183E-2</v>
      </c>
      <c r="U208" s="35"/>
      <c r="V208" s="35"/>
      <c r="W208" s="35"/>
      <c r="X208" s="35"/>
    </row>
    <row r="209" spans="4:24" x14ac:dyDescent="0.3">
      <c r="D209" s="23">
        <v>39885</v>
      </c>
      <c r="E209" s="5">
        <v>56.998524000000003</v>
      </c>
      <c r="F209" s="28">
        <v>49.250630000000001</v>
      </c>
      <c r="G209" s="28">
        <v>91.3</v>
      </c>
      <c r="H209" s="28">
        <v>25.080459999999999</v>
      </c>
      <c r="I209" s="28">
        <v>28.52721</v>
      </c>
      <c r="J209" s="29"/>
      <c r="K209" s="29"/>
      <c r="L209" s="29"/>
      <c r="M209" s="29"/>
      <c r="N209" s="29"/>
      <c r="P209" s="4">
        <f t="shared" si="14"/>
        <v>7.7844386127588726E-3</v>
      </c>
      <c r="Q209" s="4">
        <f t="shared" si="14"/>
        <v>-7.8668549080787087E-4</v>
      </c>
      <c r="R209" s="4">
        <f t="shared" si="14"/>
        <v>2.1929833350100864E-3</v>
      </c>
      <c r="S209" s="4">
        <f t="shared" si="14"/>
        <v>2.4387320387030558E-3</v>
      </c>
      <c r="T209" s="4">
        <f t="shared" si="14"/>
        <v>1.0621561058625717E-2</v>
      </c>
      <c r="U209" s="35"/>
      <c r="V209" s="35"/>
      <c r="W209" s="35"/>
      <c r="X209" s="35"/>
    </row>
    <row r="210" spans="4:24" x14ac:dyDescent="0.3">
      <c r="D210" s="23">
        <v>39888</v>
      </c>
      <c r="E210" s="5">
        <v>56.826236999999999</v>
      </c>
      <c r="F210" s="28">
        <v>49.218299999999999</v>
      </c>
      <c r="G210" s="28">
        <v>90.8</v>
      </c>
      <c r="H210" s="28">
        <v>24.661580000000001</v>
      </c>
      <c r="I210" s="28">
        <v>28.368970000000001</v>
      </c>
      <c r="J210" s="29"/>
      <c r="K210" s="29"/>
      <c r="L210" s="29"/>
      <c r="M210" s="29"/>
      <c r="N210" s="29"/>
      <c r="P210" s="4">
        <f t="shared" si="14"/>
        <v>-3.0272346729895718E-3</v>
      </c>
      <c r="Q210" s="4">
        <f t="shared" si="14"/>
        <v>-6.5665385338730677E-4</v>
      </c>
      <c r="R210" s="4">
        <f t="shared" si="14"/>
        <v>-5.4915019936751207E-3</v>
      </c>
      <c r="S210" s="4">
        <f t="shared" si="14"/>
        <v>-1.6842489849978728E-2</v>
      </c>
      <c r="T210" s="4">
        <f t="shared" si="14"/>
        <v>-5.5624264406857618E-3</v>
      </c>
      <c r="U210" s="35"/>
      <c r="V210" s="35"/>
      <c r="W210" s="35"/>
      <c r="X210" s="35"/>
    </row>
    <row r="211" spans="4:24" x14ac:dyDescent="0.3">
      <c r="D211" s="23">
        <v>39889</v>
      </c>
      <c r="E211" s="5">
        <v>58.564124999999997</v>
      </c>
      <c r="F211" s="28">
        <v>49.108490000000003</v>
      </c>
      <c r="G211" s="28">
        <v>90.04</v>
      </c>
      <c r="H211" s="28">
        <v>25.59534</v>
      </c>
      <c r="I211" s="28">
        <v>29.265619999999998</v>
      </c>
      <c r="J211" s="29"/>
      <c r="K211" s="29"/>
      <c r="L211" s="29"/>
      <c r="M211" s="29"/>
      <c r="N211" s="29"/>
      <c r="P211" s="4">
        <f t="shared" si="14"/>
        <v>3.0124169656561756E-2</v>
      </c>
      <c r="Q211" s="4">
        <f t="shared" si="14"/>
        <v>-2.2335732845976848E-3</v>
      </c>
      <c r="R211" s="4">
        <f t="shared" si="14"/>
        <v>-8.4052695687160256E-3</v>
      </c>
      <c r="S211" s="4">
        <f t="shared" si="14"/>
        <v>3.7163736611461606E-2</v>
      </c>
      <c r="T211" s="4">
        <f t="shared" si="14"/>
        <v>3.1117506030810635E-2</v>
      </c>
      <c r="U211" s="35"/>
      <c r="V211" s="35"/>
      <c r="W211" s="35"/>
      <c r="X211" s="35"/>
    </row>
    <row r="212" spans="4:24" x14ac:dyDescent="0.3">
      <c r="D212" s="23">
        <v>39890</v>
      </c>
      <c r="E212" s="5">
        <v>59.875027000000003</v>
      </c>
      <c r="F212" s="28">
        <v>49.9803</v>
      </c>
      <c r="G212" s="28">
        <v>93.09</v>
      </c>
      <c r="H212" s="28">
        <v>25.918220000000002</v>
      </c>
      <c r="I212" s="28">
        <v>29.891020000000001</v>
      </c>
      <c r="J212" s="29"/>
      <c r="K212" s="29"/>
      <c r="L212" s="29"/>
      <c r="M212" s="29"/>
      <c r="N212" s="29"/>
      <c r="P212" s="4">
        <f t="shared" si="14"/>
        <v>2.2137198924428964E-2</v>
      </c>
      <c r="Q212" s="4">
        <f t="shared" si="14"/>
        <v>1.7596995513282174E-2</v>
      </c>
      <c r="R212" s="4">
        <f t="shared" si="14"/>
        <v>3.3312751089867094E-2</v>
      </c>
      <c r="S212" s="4">
        <f t="shared" si="14"/>
        <v>1.2535892620662552E-2</v>
      </c>
      <c r="T212" s="4">
        <f t="shared" si="14"/>
        <v>2.1144652603561211E-2</v>
      </c>
      <c r="U212" s="35"/>
      <c r="V212" s="35"/>
      <c r="W212" s="35"/>
      <c r="X212" s="35"/>
    </row>
    <row r="213" spans="4:24" x14ac:dyDescent="0.3">
      <c r="D213" s="23">
        <v>39891</v>
      </c>
      <c r="E213" s="5">
        <v>59.133426999999998</v>
      </c>
      <c r="F213" s="28">
        <v>49.948009999999996</v>
      </c>
      <c r="G213" s="28">
        <v>94.35</v>
      </c>
      <c r="H213" s="28">
        <v>25.900770000000001</v>
      </c>
      <c r="I213" s="28">
        <v>29.58962</v>
      </c>
      <c r="J213" s="29"/>
      <c r="K213" s="29"/>
      <c r="L213" s="29"/>
      <c r="M213" s="29"/>
      <c r="N213" s="29"/>
      <c r="P213" s="4">
        <f t="shared" ref="P213:T228" si="15">LN(E213/E212)</f>
        <v>-1.246314147333917E-2</v>
      </c>
      <c r="Q213" s="4">
        <f t="shared" si="15"/>
        <v>-6.4626332865719727E-4</v>
      </c>
      <c r="R213" s="4">
        <f t="shared" si="15"/>
        <v>1.3444504686160692E-2</v>
      </c>
      <c r="S213" s="4">
        <f t="shared" si="15"/>
        <v>-6.7349829317823963E-4</v>
      </c>
      <c r="T213" s="4">
        <f t="shared" si="15"/>
        <v>-1.0134476685811765E-2</v>
      </c>
      <c r="U213" s="35"/>
      <c r="V213" s="35"/>
      <c r="W213" s="35"/>
      <c r="X213" s="35"/>
    </row>
    <row r="214" spans="4:24" x14ac:dyDescent="0.3">
      <c r="D214" s="23">
        <v>39892</v>
      </c>
      <c r="E214" s="5">
        <v>57.874245000000002</v>
      </c>
      <c r="F214" s="28">
        <v>49.722000000000001</v>
      </c>
      <c r="G214" s="28">
        <v>93.59</v>
      </c>
      <c r="H214" s="28">
        <v>25.506540000000001</v>
      </c>
      <c r="I214" s="28">
        <v>28.964220000000001</v>
      </c>
      <c r="J214" s="29"/>
      <c r="K214" s="29"/>
      <c r="L214" s="29"/>
      <c r="M214" s="29"/>
      <c r="N214" s="29"/>
      <c r="P214" s="4">
        <f t="shared" si="15"/>
        <v>-2.1523898232160461E-2</v>
      </c>
      <c r="Q214" s="4">
        <f t="shared" si="15"/>
        <v>-4.5351733661346339E-3</v>
      </c>
      <c r="R214" s="4">
        <f t="shared" si="15"/>
        <v>-8.0877316453940567E-3</v>
      </c>
      <c r="S214" s="4">
        <f t="shared" si="15"/>
        <v>-1.5337808123645501E-2</v>
      </c>
      <c r="T214" s="4">
        <f t="shared" si="15"/>
        <v>-2.1362349019556356E-2</v>
      </c>
      <c r="U214" s="35"/>
      <c r="V214" s="35"/>
      <c r="W214" s="35"/>
      <c r="X214" s="35"/>
    </row>
    <row r="215" spans="4:24" x14ac:dyDescent="0.3">
      <c r="D215" s="23">
        <v>39895</v>
      </c>
      <c r="E215" s="5">
        <v>62.031303000000001</v>
      </c>
      <c r="F215" s="28">
        <v>49.60575</v>
      </c>
      <c r="G215" s="28">
        <v>92.08</v>
      </c>
      <c r="H215" s="28">
        <v>27.010010000000001</v>
      </c>
      <c r="I215" s="28">
        <v>30.976040000000001</v>
      </c>
      <c r="J215" s="29"/>
      <c r="K215" s="29"/>
      <c r="L215" s="29"/>
      <c r="M215" s="29"/>
      <c r="N215" s="29"/>
      <c r="P215" s="4">
        <f t="shared" si="15"/>
        <v>6.9366677764324494E-2</v>
      </c>
      <c r="Q215" s="4">
        <f t="shared" si="15"/>
        <v>-2.3407366637878189E-3</v>
      </c>
      <c r="R215" s="4">
        <f t="shared" si="15"/>
        <v>-1.6265775755537937E-2</v>
      </c>
      <c r="S215" s="4">
        <f t="shared" si="15"/>
        <v>5.7272648168045927E-2</v>
      </c>
      <c r="T215" s="4">
        <f t="shared" si="15"/>
        <v>6.7152727281957286E-2</v>
      </c>
      <c r="U215" s="35"/>
      <c r="V215" s="35"/>
      <c r="W215" s="35"/>
      <c r="X215" s="35"/>
    </row>
    <row r="216" spans="4:24" x14ac:dyDescent="0.3">
      <c r="D216" s="23">
        <v>39896</v>
      </c>
      <c r="E216" s="5">
        <v>60.809078</v>
      </c>
      <c r="F216" s="28">
        <v>49.579949999999997</v>
      </c>
      <c r="G216" s="28">
        <v>90.95</v>
      </c>
      <c r="H216" s="28">
        <v>26.511780000000002</v>
      </c>
      <c r="I216" s="28">
        <v>30.3582</v>
      </c>
      <c r="J216" s="29"/>
      <c r="K216" s="29"/>
      <c r="L216" s="29"/>
      <c r="M216" s="29"/>
      <c r="N216" s="29"/>
      <c r="P216" s="4">
        <f t="shared" si="15"/>
        <v>-1.9900057692122806E-2</v>
      </c>
      <c r="Q216" s="4">
        <f t="shared" si="15"/>
        <v>-5.2023629579450845E-4</v>
      </c>
      <c r="R216" s="4">
        <f t="shared" si="15"/>
        <v>-1.2347859449495872E-2</v>
      </c>
      <c r="S216" s="4">
        <f t="shared" si="15"/>
        <v>-1.8618375517074206E-2</v>
      </c>
      <c r="T216" s="4">
        <f t="shared" si="15"/>
        <v>-2.0147340183401852E-2</v>
      </c>
      <c r="U216" s="35"/>
      <c r="V216" s="35"/>
      <c r="W216" s="35"/>
      <c r="X216" s="35"/>
    </row>
    <row r="217" spans="4:24" x14ac:dyDescent="0.3">
      <c r="D217" s="23">
        <v>39897</v>
      </c>
      <c r="E217" s="5">
        <v>61.450367</v>
      </c>
      <c r="F217" s="28">
        <v>49.412019999999998</v>
      </c>
      <c r="G217" s="28">
        <v>91.98</v>
      </c>
      <c r="H217" s="28">
        <v>26.634150000000002</v>
      </c>
      <c r="I217" s="28">
        <v>30.675329999999999</v>
      </c>
      <c r="J217" s="29"/>
      <c r="K217" s="29"/>
      <c r="L217" s="29"/>
      <c r="M217" s="29"/>
      <c r="N217" s="29"/>
      <c r="P217" s="4">
        <f t="shared" si="15"/>
        <v>1.0490721292304455E-2</v>
      </c>
      <c r="Q217" s="4">
        <f t="shared" si="15"/>
        <v>-3.3928037009154596E-3</v>
      </c>
      <c r="R217" s="4">
        <f t="shared" si="15"/>
        <v>1.1261257147646465E-2</v>
      </c>
      <c r="S217" s="4">
        <f t="shared" si="15"/>
        <v>4.6050644425420896E-3</v>
      </c>
      <c r="T217" s="4">
        <f t="shared" si="15"/>
        <v>1.0392086253074168E-2</v>
      </c>
      <c r="U217" s="35"/>
      <c r="V217" s="35"/>
      <c r="W217" s="35"/>
      <c r="X217" s="35"/>
    </row>
    <row r="218" spans="4:24" x14ac:dyDescent="0.3">
      <c r="D218" s="23">
        <v>39898</v>
      </c>
      <c r="E218" s="5">
        <v>62.702765999999997</v>
      </c>
      <c r="F218" s="28">
        <v>49.579949999999997</v>
      </c>
      <c r="G218" s="28">
        <v>91.93</v>
      </c>
      <c r="H218" s="28">
        <v>27.45581</v>
      </c>
      <c r="I218" s="28">
        <v>31.44164</v>
      </c>
      <c r="J218" s="29"/>
      <c r="K218" s="29"/>
      <c r="L218" s="29"/>
      <c r="M218" s="29"/>
      <c r="N218" s="29"/>
      <c r="P218" s="4">
        <f t="shared" si="15"/>
        <v>2.0175753168938788E-2</v>
      </c>
      <c r="Q218" s="4">
        <f t="shared" si="15"/>
        <v>3.3928037009153819E-3</v>
      </c>
      <c r="R218" s="4">
        <f t="shared" si="15"/>
        <v>-5.4374423611445717E-4</v>
      </c>
      <c r="S218" s="4">
        <f t="shared" si="15"/>
        <v>3.038357615526668E-2</v>
      </c>
      <c r="T218" s="4">
        <f t="shared" si="15"/>
        <v>2.4674380565125432E-2</v>
      </c>
      <c r="U218" s="35"/>
      <c r="V218" s="35"/>
      <c r="W218" s="35"/>
      <c r="X218" s="35"/>
    </row>
    <row r="219" spans="4:24" x14ac:dyDescent="0.3">
      <c r="D219" s="23">
        <v>39899</v>
      </c>
      <c r="E219" s="5">
        <v>61.571075</v>
      </c>
      <c r="F219" s="28">
        <v>49.702629999999999</v>
      </c>
      <c r="G219" s="28">
        <v>90.69</v>
      </c>
      <c r="H219" s="28">
        <v>26.940079999999998</v>
      </c>
      <c r="I219" s="28">
        <v>30.84984</v>
      </c>
      <c r="J219" s="29"/>
      <c r="K219" s="29"/>
      <c r="L219" s="29"/>
      <c r="M219" s="29"/>
      <c r="N219" s="29"/>
      <c r="P219" s="4">
        <f t="shared" si="15"/>
        <v>-1.8213362925830492E-2</v>
      </c>
      <c r="Q219" s="4">
        <f t="shared" si="15"/>
        <v>2.4713310721532216E-3</v>
      </c>
      <c r="R219" s="4">
        <f t="shared" si="15"/>
        <v>-1.3580320416187014E-2</v>
      </c>
      <c r="S219" s="4">
        <f t="shared" si="15"/>
        <v>-1.8962662578638809E-2</v>
      </c>
      <c r="T219" s="4">
        <f t="shared" si="15"/>
        <v>-1.9001565098234321E-2</v>
      </c>
      <c r="U219" s="35"/>
      <c r="V219" s="35"/>
      <c r="W219" s="35"/>
      <c r="X219" s="35"/>
    </row>
    <row r="220" spans="4:24" x14ac:dyDescent="0.3">
      <c r="D220" s="23">
        <v>39902</v>
      </c>
      <c r="E220" s="5">
        <v>59.443508000000001</v>
      </c>
      <c r="F220" s="28">
        <v>49.799469999999999</v>
      </c>
      <c r="G220" s="28">
        <v>89.98</v>
      </c>
      <c r="H220" s="28">
        <v>26.275759999999998</v>
      </c>
      <c r="I220" s="28">
        <v>29.764849999999999</v>
      </c>
      <c r="J220" s="29"/>
      <c r="K220" s="29"/>
      <c r="L220" s="29"/>
      <c r="M220" s="29"/>
      <c r="N220" s="29"/>
      <c r="P220" s="4">
        <f t="shared" si="15"/>
        <v>-3.5165782407874657E-2</v>
      </c>
      <c r="Q220" s="4">
        <f t="shared" si="15"/>
        <v>1.94649219616219E-3</v>
      </c>
      <c r="R220" s="4">
        <f t="shared" si="15"/>
        <v>-7.8596740464500717E-3</v>
      </c>
      <c r="S220" s="4">
        <f t="shared" si="15"/>
        <v>-2.4968299361606588E-2</v>
      </c>
      <c r="T220" s="4">
        <f t="shared" si="15"/>
        <v>-3.5803396835449405E-2</v>
      </c>
      <c r="U220" s="35"/>
      <c r="V220" s="35"/>
      <c r="W220" s="35"/>
      <c r="X220" s="35"/>
    </row>
    <row r="221" spans="4:24" x14ac:dyDescent="0.3">
      <c r="D221" s="23">
        <v>39903</v>
      </c>
      <c r="E221" s="5">
        <v>59.994278000000001</v>
      </c>
      <c r="F221" s="28">
        <v>49.818869999999997</v>
      </c>
      <c r="G221" s="28">
        <v>90.28</v>
      </c>
      <c r="H221" s="28">
        <v>26.503019999999999</v>
      </c>
      <c r="I221" s="28">
        <v>30.030419999999999</v>
      </c>
      <c r="J221" s="29"/>
      <c r="K221" s="29"/>
      <c r="L221" s="29"/>
      <c r="M221" s="29"/>
      <c r="N221" s="29"/>
      <c r="P221" s="4">
        <f t="shared" si="15"/>
        <v>9.2227748430693604E-3</v>
      </c>
      <c r="Q221" s="4">
        <f t="shared" si="15"/>
        <v>3.894865191540118E-4</v>
      </c>
      <c r="R221" s="4">
        <f t="shared" si="15"/>
        <v>3.3285285363087833E-3</v>
      </c>
      <c r="S221" s="4">
        <f t="shared" si="15"/>
        <v>8.6118475849301674E-3</v>
      </c>
      <c r="T221" s="4">
        <f t="shared" si="15"/>
        <v>8.8827007946608045E-3</v>
      </c>
      <c r="U221" s="35"/>
      <c r="V221" s="35"/>
      <c r="W221" s="35"/>
      <c r="X221" s="35"/>
    </row>
    <row r="222" spans="4:24" x14ac:dyDescent="0.3">
      <c r="D222" s="23">
        <v>39904</v>
      </c>
      <c r="E222" s="5">
        <v>61.156131999999999</v>
      </c>
      <c r="F222" s="28">
        <v>49.921250000000001</v>
      </c>
      <c r="G222" s="28">
        <v>91.03</v>
      </c>
      <c r="H222" s="28">
        <v>26.896370000000001</v>
      </c>
      <c r="I222" s="28">
        <v>30.629799999999999</v>
      </c>
      <c r="J222" s="29"/>
      <c r="K222" s="29"/>
      <c r="L222" s="29"/>
      <c r="M222" s="29"/>
      <c r="N222" s="29"/>
      <c r="P222" s="4">
        <f t="shared" si="15"/>
        <v>1.9180944102840027E-2</v>
      </c>
      <c r="Q222" s="4">
        <f t="shared" si="15"/>
        <v>2.0529358889301358E-3</v>
      </c>
      <c r="R222" s="4">
        <f t="shared" si="15"/>
        <v>8.2731705678625173E-3</v>
      </c>
      <c r="S222" s="4">
        <f t="shared" si="15"/>
        <v>1.4732644500960361E-2</v>
      </c>
      <c r="T222" s="4">
        <f t="shared" si="15"/>
        <v>1.9762523365748172E-2</v>
      </c>
      <c r="U222" s="35"/>
      <c r="V222" s="35"/>
      <c r="W222" s="35"/>
      <c r="X222" s="35"/>
    </row>
    <row r="223" spans="4:24" x14ac:dyDescent="0.3">
      <c r="D223" s="23">
        <v>39905</v>
      </c>
      <c r="E223" s="5">
        <v>62.944198999999998</v>
      </c>
      <c r="F223" s="28">
        <v>49.824039999999997</v>
      </c>
      <c r="G223" s="28">
        <v>88.8</v>
      </c>
      <c r="H223" s="28">
        <v>27.76174</v>
      </c>
      <c r="I223" s="28">
        <v>31.54786</v>
      </c>
      <c r="J223" s="29"/>
      <c r="K223" s="29"/>
      <c r="L223" s="29"/>
      <c r="M223" s="29"/>
      <c r="N223" s="29"/>
      <c r="P223" s="4">
        <f t="shared" si="15"/>
        <v>2.8818468631483532E-2</v>
      </c>
      <c r="Q223" s="4">
        <f t="shared" si="15"/>
        <v>-1.9491653345647753E-3</v>
      </c>
      <c r="R223" s="4">
        <f t="shared" si="15"/>
        <v>-2.4802472519073096E-2</v>
      </c>
      <c r="S223" s="4">
        <f t="shared" si="15"/>
        <v>3.1667480525478721E-2</v>
      </c>
      <c r="T223" s="4">
        <f t="shared" si="15"/>
        <v>2.9532366566466246E-2</v>
      </c>
      <c r="U223" s="35"/>
      <c r="V223" s="35"/>
      <c r="W223" s="35"/>
      <c r="X223" s="35"/>
    </row>
    <row r="224" spans="4:24" x14ac:dyDescent="0.3">
      <c r="D224" s="23">
        <v>39906</v>
      </c>
      <c r="E224" s="5">
        <v>63.570393000000003</v>
      </c>
      <c r="F224" s="28">
        <v>49.558320000000002</v>
      </c>
      <c r="G224" s="28">
        <v>87.59</v>
      </c>
      <c r="H224" s="28">
        <v>28.277470000000001</v>
      </c>
      <c r="I224" s="28">
        <v>31.942399999999999</v>
      </c>
      <c r="J224" s="29"/>
      <c r="K224" s="29"/>
      <c r="L224" s="29"/>
      <c r="M224" s="29"/>
      <c r="N224" s="29"/>
      <c r="P224" s="4">
        <f t="shared" si="15"/>
        <v>9.8992393485371581E-3</v>
      </c>
      <c r="Q224" s="4">
        <f t="shared" si="15"/>
        <v>-5.3474405959164006E-3</v>
      </c>
      <c r="R224" s="4">
        <f t="shared" si="15"/>
        <v>-1.3719813823126656E-2</v>
      </c>
      <c r="S224" s="4">
        <f t="shared" si="15"/>
        <v>1.8406560719120797E-2</v>
      </c>
      <c r="T224" s="4">
        <f t="shared" si="15"/>
        <v>1.2428523009462447E-2</v>
      </c>
      <c r="U224" s="35"/>
      <c r="V224" s="35"/>
      <c r="W224" s="35"/>
      <c r="X224" s="35"/>
    </row>
    <row r="225" spans="4:24" x14ac:dyDescent="0.3">
      <c r="D225" s="23">
        <v>39909</v>
      </c>
      <c r="E225" s="5">
        <v>63.072448999999999</v>
      </c>
      <c r="F225" s="28">
        <v>49.610190000000003</v>
      </c>
      <c r="G225" s="28">
        <v>85.27</v>
      </c>
      <c r="H225" s="28">
        <v>28.207540000000002</v>
      </c>
      <c r="I225" s="28">
        <v>31.631319999999999</v>
      </c>
      <c r="J225" s="29"/>
      <c r="K225" s="29"/>
      <c r="L225" s="29"/>
      <c r="M225" s="29"/>
      <c r="N225" s="29"/>
      <c r="P225" s="4">
        <f t="shared" si="15"/>
        <v>-7.8637932973336794E-3</v>
      </c>
      <c r="Q225" s="4">
        <f t="shared" si="15"/>
        <v>1.0460982973366072E-3</v>
      </c>
      <c r="R225" s="4">
        <f t="shared" si="15"/>
        <v>-2.6844143421039517E-2</v>
      </c>
      <c r="S225" s="4">
        <f t="shared" si="15"/>
        <v>-2.4760564166512889E-3</v>
      </c>
      <c r="T225" s="4">
        <f t="shared" si="15"/>
        <v>-9.7865118739128548E-3</v>
      </c>
      <c r="U225" s="35"/>
      <c r="V225" s="35"/>
      <c r="W225" s="35"/>
      <c r="X225" s="35"/>
    </row>
    <row r="226" spans="4:24" x14ac:dyDescent="0.3">
      <c r="D226" s="23">
        <v>39910</v>
      </c>
      <c r="E226" s="5">
        <v>61.601280000000003</v>
      </c>
      <c r="F226" s="28">
        <v>49.707360000000001</v>
      </c>
      <c r="G226" s="28">
        <v>86.74</v>
      </c>
      <c r="H226" s="28">
        <v>27.464549999999999</v>
      </c>
      <c r="I226" s="28">
        <v>30.827079999999999</v>
      </c>
      <c r="J226" s="29"/>
      <c r="K226" s="29"/>
      <c r="L226" s="29"/>
      <c r="M226" s="29"/>
      <c r="N226" s="29"/>
      <c r="P226" s="4">
        <f t="shared" si="15"/>
        <v>-2.3601400248902834E-2</v>
      </c>
      <c r="Q226" s="4">
        <f t="shared" si="15"/>
        <v>1.9567544911129066E-3</v>
      </c>
      <c r="R226" s="4">
        <f t="shared" si="15"/>
        <v>1.7092445653262008E-2</v>
      </c>
      <c r="S226" s="4">
        <f t="shared" si="15"/>
        <v>-2.6693235921024298E-2</v>
      </c>
      <c r="T226" s="4">
        <f t="shared" si="15"/>
        <v>-2.5754244508620138E-2</v>
      </c>
      <c r="U226" s="35"/>
      <c r="V226" s="35"/>
      <c r="W226" s="35"/>
      <c r="X226" s="35"/>
    </row>
    <row r="227" spans="4:24" x14ac:dyDescent="0.3">
      <c r="D227" s="23">
        <v>39911</v>
      </c>
      <c r="E227" s="5">
        <v>62.265182000000003</v>
      </c>
      <c r="F227" s="28">
        <v>49.940710000000003</v>
      </c>
      <c r="G227" s="28">
        <v>86.61</v>
      </c>
      <c r="H227" s="28">
        <v>27.92783</v>
      </c>
      <c r="I227" s="28">
        <v>31.259540000000001</v>
      </c>
      <c r="J227" s="29"/>
      <c r="K227" s="29"/>
      <c r="L227" s="29"/>
      <c r="M227" s="29"/>
      <c r="N227" s="29"/>
      <c r="P227" s="4">
        <f t="shared" si="15"/>
        <v>1.0719743614915516E-2</v>
      </c>
      <c r="Q227" s="4">
        <f t="shared" si="15"/>
        <v>4.6834911412922484E-3</v>
      </c>
      <c r="R227" s="4">
        <f t="shared" si="15"/>
        <v>-1.4998560642666796E-3</v>
      </c>
      <c r="S227" s="4">
        <f t="shared" si="15"/>
        <v>1.6727600532136556E-2</v>
      </c>
      <c r="T227" s="4">
        <f t="shared" si="15"/>
        <v>1.393108512338751E-2</v>
      </c>
      <c r="U227" s="35"/>
      <c r="V227" s="35"/>
      <c r="W227" s="35"/>
      <c r="X227" s="35"/>
    </row>
    <row r="228" spans="4:24" x14ac:dyDescent="0.3">
      <c r="D228" s="23">
        <v>39912</v>
      </c>
      <c r="E228" s="5">
        <v>64.739799000000005</v>
      </c>
      <c r="F228" s="28">
        <v>49.882370000000002</v>
      </c>
      <c r="G228" s="28">
        <v>86.31</v>
      </c>
      <c r="H228" s="28">
        <v>28.793189999999999</v>
      </c>
      <c r="I228" s="28">
        <v>32.526609999999998</v>
      </c>
      <c r="J228" s="29"/>
      <c r="K228" s="29"/>
      <c r="L228" s="29"/>
      <c r="M228" s="29"/>
      <c r="N228" s="29"/>
      <c r="P228" s="4">
        <f t="shared" si="15"/>
        <v>3.8973750607395934E-2</v>
      </c>
      <c r="Q228" s="4">
        <f t="shared" si="15"/>
        <v>-1.1688680942777531E-3</v>
      </c>
      <c r="R228" s="4">
        <f t="shared" si="15"/>
        <v>-3.4698161113871835E-3</v>
      </c>
      <c r="S228" s="4">
        <f t="shared" si="15"/>
        <v>3.0515218144744539E-2</v>
      </c>
      <c r="T228" s="4">
        <f t="shared" si="15"/>
        <v>3.9733913963832385E-2</v>
      </c>
      <c r="U228" s="35"/>
      <c r="V228" s="35"/>
      <c r="W228" s="35"/>
      <c r="X228" s="35"/>
    </row>
    <row r="229" spans="4:24" x14ac:dyDescent="0.3">
      <c r="D229" s="23">
        <v>39916</v>
      </c>
      <c r="E229" s="5">
        <v>64.754859999999994</v>
      </c>
      <c r="F229" s="28">
        <v>49.960149999999999</v>
      </c>
      <c r="G229" s="28">
        <v>87.88</v>
      </c>
      <c r="H229" s="28">
        <v>28.749490000000002</v>
      </c>
      <c r="I229" s="28">
        <v>32.572139999999997</v>
      </c>
      <c r="J229" s="29"/>
      <c r="K229" s="29"/>
      <c r="L229" s="29"/>
      <c r="M229" s="29"/>
      <c r="N229" s="29"/>
      <c r="P229" s="4">
        <f t="shared" ref="P229:T244" si="16">LN(E229/E228)</f>
        <v>2.3261191132061562E-4</v>
      </c>
      <c r="Q229" s="4">
        <f t="shared" si="16"/>
        <v>1.5580539380306109E-3</v>
      </c>
      <c r="R229" s="4">
        <f t="shared" si="16"/>
        <v>1.8026781284843238E-2</v>
      </c>
      <c r="S229" s="4">
        <f t="shared" si="16"/>
        <v>-1.5188728923029343E-3</v>
      </c>
      <c r="T229" s="4">
        <f t="shared" si="16"/>
        <v>1.3987982080701426E-3</v>
      </c>
      <c r="U229" s="35"/>
      <c r="V229" s="35"/>
      <c r="W229" s="35"/>
      <c r="X229" s="35"/>
    </row>
    <row r="230" spans="4:24" x14ac:dyDescent="0.3">
      <c r="D230" s="23">
        <v>39917</v>
      </c>
      <c r="E230" s="5">
        <v>63.638289999999998</v>
      </c>
      <c r="F230" s="28">
        <v>50.089750000000002</v>
      </c>
      <c r="G230" s="28">
        <v>87.37</v>
      </c>
      <c r="H230" s="28">
        <v>28.399850000000001</v>
      </c>
      <c r="I230" s="28">
        <v>31.965170000000001</v>
      </c>
      <c r="J230" s="29"/>
      <c r="K230" s="29"/>
      <c r="L230" s="29"/>
      <c r="M230" s="29"/>
      <c r="N230" s="29"/>
      <c r="P230" s="4">
        <f t="shared" si="16"/>
        <v>-1.7393422462565467E-2</v>
      </c>
      <c r="Q230" s="4">
        <f t="shared" si="16"/>
        <v>2.5907086861081496E-3</v>
      </c>
      <c r="R230" s="4">
        <f t="shared" si="16"/>
        <v>-5.8202732064061308E-3</v>
      </c>
      <c r="S230" s="4">
        <f t="shared" si="16"/>
        <v>-1.2236164492513153E-2</v>
      </c>
      <c r="T230" s="4">
        <f t="shared" si="16"/>
        <v>-1.8810449244398106E-2</v>
      </c>
      <c r="U230" s="35"/>
      <c r="V230" s="35"/>
      <c r="W230" s="35"/>
      <c r="X230" s="35"/>
    </row>
    <row r="231" spans="4:24" x14ac:dyDescent="0.3">
      <c r="D231" s="23">
        <v>39918</v>
      </c>
      <c r="E231" s="5">
        <v>64.317290999999997</v>
      </c>
      <c r="F231" s="28">
        <v>50.16104</v>
      </c>
      <c r="G231" s="28">
        <v>87.5</v>
      </c>
      <c r="H231" s="28">
        <v>28.321179999999998</v>
      </c>
      <c r="I231" s="28">
        <v>32.306600000000003</v>
      </c>
      <c r="J231" s="29"/>
      <c r="K231" s="29"/>
      <c r="L231" s="29"/>
      <c r="M231" s="29"/>
      <c r="N231" s="29"/>
      <c r="P231" s="4">
        <f t="shared" si="16"/>
        <v>1.0613173230993908E-2</v>
      </c>
      <c r="Q231" s="4">
        <f t="shared" si="16"/>
        <v>1.4222334211392341E-3</v>
      </c>
      <c r="R231" s="4">
        <f t="shared" si="16"/>
        <v>1.486819053565374E-3</v>
      </c>
      <c r="S231" s="4">
        <f t="shared" si="16"/>
        <v>-2.773928838917234E-3</v>
      </c>
      <c r="T231" s="4">
        <f t="shared" si="16"/>
        <v>1.0624671199055956E-2</v>
      </c>
      <c r="U231" s="35"/>
      <c r="V231" s="35"/>
      <c r="W231" s="35"/>
      <c r="X231" s="35"/>
    </row>
    <row r="232" spans="4:24" x14ac:dyDescent="0.3">
      <c r="D232" s="23">
        <v>39919</v>
      </c>
      <c r="E232" s="5">
        <v>65.260390999999998</v>
      </c>
      <c r="F232" s="28">
        <v>50.063830000000003</v>
      </c>
      <c r="G232" s="28">
        <v>85.81</v>
      </c>
      <c r="H232" s="28">
        <v>29.055430000000001</v>
      </c>
      <c r="I232" s="28">
        <v>32.860469999999999</v>
      </c>
      <c r="J232" s="29"/>
      <c r="K232" s="29"/>
      <c r="L232" s="29"/>
      <c r="M232" s="29"/>
      <c r="N232" s="29"/>
      <c r="P232" s="4">
        <f t="shared" si="16"/>
        <v>1.4556776119736556E-2</v>
      </c>
      <c r="Q232" s="4">
        <f t="shared" si="16"/>
        <v>-1.939838494840913E-3</v>
      </c>
      <c r="R232" s="4">
        <f t="shared" si="16"/>
        <v>-1.9503243544539188E-2</v>
      </c>
      <c r="S232" s="4">
        <f t="shared" si="16"/>
        <v>2.5595450311558129E-2</v>
      </c>
      <c r="T232" s="4">
        <f t="shared" si="16"/>
        <v>1.6998871890398594E-2</v>
      </c>
      <c r="U232" s="35"/>
      <c r="V232" s="35"/>
      <c r="W232" s="35"/>
      <c r="X232" s="35"/>
    </row>
    <row r="233" spans="4:24" x14ac:dyDescent="0.3">
      <c r="D233" s="23">
        <v>39920</v>
      </c>
      <c r="E233" s="5">
        <v>65.697945000000004</v>
      </c>
      <c r="F233" s="28">
        <v>49.79813</v>
      </c>
      <c r="G233" s="28">
        <v>85.22</v>
      </c>
      <c r="H233" s="28">
        <v>29.116620000000001</v>
      </c>
      <c r="I233" s="28">
        <v>33.080500000000001</v>
      </c>
      <c r="J233" s="29"/>
      <c r="K233" s="29"/>
      <c r="L233" s="29"/>
      <c r="M233" s="29"/>
      <c r="N233" s="29"/>
      <c r="P233" s="4">
        <f t="shared" si="16"/>
        <v>6.6823638964026389E-3</v>
      </c>
      <c r="Q233" s="4">
        <f t="shared" si="16"/>
        <v>-5.3213581424201174E-3</v>
      </c>
      <c r="R233" s="4">
        <f t="shared" si="16"/>
        <v>-6.8994017472636532E-3</v>
      </c>
      <c r="S233" s="4">
        <f t="shared" si="16"/>
        <v>2.1037602273918272E-3</v>
      </c>
      <c r="T233" s="4">
        <f t="shared" si="16"/>
        <v>6.6735693033855552E-3</v>
      </c>
      <c r="U233" s="35"/>
      <c r="V233" s="35"/>
      <c r="W233" s="35"/>
      <c r="X233" s="35"/>
    </row>
    <row r="234" spans="4:24" x14ac:dyDescent="0.3">
      <c r="D234" s="23">
        <v>39923</v>
      </c>
      <c r="E234" s="5">
        <v>62.944198999999998</v>
      </c>
      <c r="F234" s="28">
        <v>50.044400000000003</v>
      </c>
      <c r="G234" s="28">
        <v>86.95</v>
      </c>
      <c r="H234" s="28">
        <v>28.181319999999999</v>
      </c>
      <c r="I234" s="28">
        <v>31.676850000000002</v>
      </c>
      <c r="J234" s="29"/>
      <c r="K234" s="29"/>
      <c r="L234" s="29"/>
      <c r="M234" s="29"/>
      <c r="N234" s="29"/>
      <c r="P234" s="4">
        <f t="shared" si="16"/>
        <v>-4.2819042720500647E-2</v>
      </c>
      <c r="Q234" s="4">
        <f t="shared" si="16"/>
        <v>4.9331782646221201E-3</v>
      </c>
      <c r="R234" s="4">
        <f t="shared" si="16"/>
        <v>2.0097092728526184E-2</v>
      </c>
      <c r="S234" s="4">
        <f t="shared" si="16"/>
        <v>-3.264979805788519E-2</v>
      </c>
      <c r="T234" s="4">
        <f t="shared" si="16"/>
        <v>-4.3357854729924705E-2</v>
      </c>
      <c r="U234" s="35"/>
      <c r="V234" s="35"/>
      <c r="W234" s="35"/>
      <c r="X234" s="35"/>
    </row>
    <row r="235" spans="4:24" x14ac:dyDescent="0.3">
      <c r="D235" s="23">
        <v>39924</v>
      </c>
      <c r="E235" s="5">
        <v>64.173957999999999</v>
      </c>
      <c r="F235" s="28">
        <v>49.947150000000001</v>
      </c>
      <c r="G235" s="28">
        <v>86.89</v>
      </c>
      <c r="H235" s="28">
        <v>28.574670000000001</v>
      </c>
      <c r="I235" s="28">
        <v>32.306600000000003</v>
      </c>
      <c r="J235" s="29"/>
      <c r="K235" s="29"/>
      <c r="L235" s="29"/>
      <c r="M235" s="29"/>
      <c r="N235" s="29"/>
      <c r="P235" s="4">
        <f t="shared" si="16"/>
        <v>1.9348886030960476E-2</v>
      </c>
      <c r="Q235" s="4">
        <f t="shared" si="16"/>
        <v>-1.9451649797101447E-3</v>
      </c>
      <c r="R235" s="4">
        <f t="shared" si="16"/>
        <v>-6.9028994917746868E-4</v>
      </c>
      <c r="S235" s="4">
        <f t="shared" si="16"/>
        <v>1.3861313952539698E-2</v>
      </c>
      <c r="T235" s="4">
        <f t="shared" si="16"/>
        <v>1.9685413536140558E-2</v>
      </c>
      <c r="U235" s="35"/>
      <c r="V235" s="35"/>
      <c r="W235" s="35"/>
      <c r="X235" s="35"/>
    </row>
    <row r="236" spans="4:24" x14ac:dyDescent="0.3">
      <c r="D236" s="23">
        <v>39925</v>
      </c>
      <c r="E236" s="5">
        <v>63.781630999999997</v>
      </c>
      <c r="F236" s="28">
        <v>50.0379</v>
      </c>
      <c r="G236" s="28">
        <v>87.38</v>
      </c>
      <c r="H236" s="28">
        <v>28.66208</v>
      </c>
      <c r="I236" s="28">
        <v>32.170020000000001</v>
      </c>
      <c r="J236" s="29"/>
      <c r="K236" s="29"/>
      <c r="L236" s="29"/>
      <c r="M236" s="29"/>
      <c r="N236" s="29"/>
      <c r="P236" s="4">
        <f t="shared" si="16"/>
        <v>-6.1322562383702341E-3</v>
      </c>
      <c r="Q236" s="4">
        <f t="shared" si="16"/>
        <v>1.8152718815470071E-3</v>
      </c>
      <c r="R236" s="4">
        <f t="shared" si="16"/>
        <v>5.6234726721751402E-3</v>
      </c>
      <c r="S236" s="4">
        <f t="shared" si="16"/>
        <v>3.0543337262737094E-3</v>
      </c>
      <c r="T236" s="4">
        <f t="shared" si="16"/>
        <v>-4.2365807725378195E-3</v>
      </c>
      <c r="U236" s="35"/>
      <c r="V236" s="35"/>
      <c r="W236" s="35"/>
      <c r="X236" s="35"/>
    </row>
    <row r="237" spans="4:24" x14ac:dyDescent="0.3">
      <c r="D237" s="23">
        <v>39926</v>
      </c>
      <c r="E237" s="5">
        <v>64.407829000000007</v>
      </c>
      <c r="F237" s="28">
        <v>50.076799999999999</v>
      </c>
      <c r="G237" s="28">
        <v>88.8</v>
      </c>
      <c r="H237" s="28">
        <v>28.941790000000001</v>
      </c>
      <c r="I237" s="28">
        <v>32.397649999999999</v>
      </c>
      <c r="J237" s="29"/>
      <c r="K237" s="29"/>
      <c r="L237" s="29"/>
      <c r="M237" s="29"/>
      <c r="N237" s="29"/>
      <c r="P237" s="4">
        <f t="shared" si="16"/>
        <v>9.7699605098017939E-3</v>
      </c>
      <c r="Q237" s="4">
        <f t="shared" si="16"/>
        <v>7.7710869547890904E-4</v>
      </c>
      <c r="R237" s="4">
        <f t="shared" si="16"/>
        <v>1.6120226474834503E-2</v>
      </c>
      <c r="S237" s="4">
        <f t="shared" si="16"/>
        <v>9.7115766143517322E-3</v>
      </c>
      <c r="T237" s="4">
        <f t="shared" si="16"/>
        <v>7.0509263556206465E-3</v>
      </c>
      <c r="U237" s="35"/>
      <c r="V237" s="35"/>
      <c r="W237" s="35"/>
      <c r="X237" s="35"/>
    </row>
    <row r="238" spans="4:24" x14ac:dyDescent="0.3">
      <c r="D238" s="23">
        <v>39927</v>
      </c>
      <c r="E238" s="5">
        <v>65.381065000000007</v>
      </c>
      <c r="F238" s="28">
        <v>50.050849999999997</v>
      </c>
      <c r="G238" s="28">
        <v>89.72</v>
      </c>
      <c r="H238" s="28">
        <v>29.448779999999999</v>
      </c>
      <c r="I238" s="28">
        <v>32.96669</v>
      </c>
      <c r="J238" s="29"/>
      <c r="K238" s="29"/>
      <c r="L238" s="29"/>
      <c r="M238" s="29"/>
      <c r="N238" s="29"/>
      <c r="P238" s="4">
        <f t="shared" si="16"/>
        <v>1.4997496504067466E-2</v>
      </c>
      <c r="Q238" s="4">
        <f t="shared" si="16"/>
        <v>-5.1833835271292844E-4</v>
      </c>
      <c r="R238" s="4">
        <f t="shared" si="16"/>
        <v>1.0307059653883193E-2</v>
      </c>
      <c r="S238" s="4">
        <f t="shared" si="16"/>
        <v>1.7365911695114703E-2</v>
      </c>
      <c r="T238" s="4">
        <f t="shared" si="16"/>
        <v>1.7411768442352586E-2</v>
      </c>
      <c r="U238" s="35"/>
      <c r="V238" s="35"/>
      <c r="W238" s="35"/>
      <c r="X238" s="35"/>
    </row>
    <row r="239" spans="4:24" x14ac:dyDescent="0.3">
      <c r="D239" s="23">
        <v>39930</v>
      </c>
      <c r="E239" s="5">
        <v>64.762444000000002</v>
      </c>
      <c r="F239" s="28">
        <v>50.16104</v>
      </c>
      <c r="G239" s="28">
        <v>89.01</v>
      </c>
      <c r="H239" s="28">
        <v>29.483740000000001</v>
      </c>
      <c r="I239" s="28">
        <v>32.62527</v>
      </c>
      <c r="J239" s="29"/>
      <c r="K239" s="29"/>
      <c r="L239" s="29"/>
      <c r="M239" s="29"/>
      <c r="N239" s="29"/>
      <c r="P239" s="4">
        <f t="shared" si="16"/>
        <v>-9.5068231059290409E-3</v>
      </c>
      <c r="Q239" s="4">
        <f t="shared" si="16"/>
        <v>2.199141128035903E-3</v>
      </c>
      <c r="R239" s="4">
        <f t="shared" si="16"/>
        <v>-7.9449866811673181E-3</v>
      </c>
      <c r="S239" s="4">
        <f t="shared" si="16"/>
        <v>1.1864418525099438E-3</v>
      </c>
      <c r="T239" s="4">
        <f t="shared" si="16"/>
        <v>-1.0410516275266653E-2</v>
      </c>
      <c r="U239" s="35"/>
      <c r="V239" s="35"/>
      <c r="W239" s="35"/>
      <c r="X239" s="35"/>
    </row>
    <row r="240" spans="4:24" x14ac:dyDescent="0.3">
      <c r="D240" s="23">
        <v>39931</v>
      </c>
      <c r="E240" s="5">
        <v>64.558707999999996</v>
      </c>
      <c r="F240" s="28">
        <v>49.979570000000002</v>
      </c>
      <c r="G240" s="28">
        <v>87.75</v>
      </c>
      <c r="H240" s="28">
        <v>29.26521</v>
      </c>
      <c r="I240" s="28">
        <v>32.564540000000001</v>
      </c>
      <c r="J240" s="29"/>
      <c r="K240" s="29"/>
      <c r="L240" s="29"/>
      <c r="M240" s="29"/>
      <c r="N240" s="29"/>
      <c r="P240" s="4">
        <f t="shared" si="16"/>
        <v>-3.1508560727291075E-3</v>
      </c>
      <c r="Q240" s="4">
        <f t="shared" si="16"/>
        <v>-3.6243078336186162E-3</v>
      </c>
      <c r="R240" s="4">
        <f t="shared" si="16"/>
        <v>-1.4256860624864977E-2</v>
      </c>
      <c r="S240" s="4">
        <f t="shared" si="16"/>
        <v>-7.4394864212923824E-3</v>
      </c>
      <c r="T240" s="4">
        <f t="shared" si="16"/>
        <v>-1.8631751670479045E-3</v>
      </c>
      <c r="U240" s="35"/>
      <c r="V240" s="35"/>
      <c r="W240" s="35"/>
      <c r="X240" s="35"/>
    </row>
    <row r="241" spans="4:24" x14ac:dyDescent="0.3">
      <c r="D241" s="23">
        <v>39932</v>
      </c>
      <c r="E241" s="5">
        <v>65.931838999999997</v>
      </c>
      <c r="F241" s="28">
        <v>49.908279999999998</v>
      </c>
      <c r="G241" s="28">
        <v>88.33</v>
      </c>
      <c r="H241" s="28">
        <v>29.667300000000001</v>
      </c>
      <c r="I241" s="28">
        <v>33.338459999999998</v>
      </c>
      <c r="J241" s="29"/>
      <c r="K241" s="29"/>
      <c r="L241" s="29"/>
      <c r="M241" s="29"/>
      <c r="N241" s="29"/>
      <c r="P241" s="4">
        <f t="shared" si="16"/>
        <v>2.1046454586412484E-2</v>
      </c>
      <c r="Q241" s="4">
        <f t="shared" si="16"/>
        <v>-1.4274010723886519E-3</v>
      </c>
      <c r="R241" s="4">
        <f t="shared" si="16"/>
        <v>6.5879384110655755E-3</v>
      </c>
      <c r="S241" s="4">
        <f t="shared" si="16"/>
        <v>1.3645990626048345E-2</v>
      </c>
      <c r="T241" s="4">
        <f t="shared" si="16"/>
        <v>2.3487719190340293E-2</v>
      </c>
      <c r="U241" s="35"/>
      <c r="V241" s="35"/>
      <c r="W241" s="35"/>
      <c r="X241" s="35"/>
    </row>
    <row r="242" spans="4:24" x14ac:dyDescent="0.3">
      <c r="D242" s="23">
        <v>39933</v>
      </c>
      <c r="E242" s="5">
        <v>65.954436999999999</v>
      </c>
      <c r="F242" s="28">
        <v>50.050849999999997</v>
      </c>
      <c r="G242" s="28">
        <v>87.27</v>
      </c>
      <c r="H242" s="28">
        <v>29.964500000000001</v>
      </c>
      <c r="I242" s="28">
        <v>33.330880000000001</v>
      </c>
      <c r="J242" s="29"/>
      <c r="K242" s="29"/>
      <c r="L242" s="29"/>
      <c r="M242" s="29"/>
      <c r="N242" s="29"/>
      <c r="P242" s="4">
        <f t="shared" si="16"/>
        <v>3.4268918505443881E-4</v>
      </c>
      <c r="Q242" s="4">
        <f t="shared" si="16"/>
        <v>2.8525677779712936E-3</v>
      </c>
      <c r="R242" s="4">
        <f t="shared" si="16"/>
        <v>-1.207303958182088E-2</v>
      </c>
      <c r="S242" s="4">
        <f t="shared" si="16"/>
        <v>9.9679184863458378E-3</v>
      </c>
      <c r="T242" s="4">
        <f t="shared" si="16"/>
        <v>-2.2739088260534192E-4</v>
      </c>
      <c r="U242" s="35"/>
      <c r="V242" s="35"/>
      <c r="W242" s="35"/>
      <c r="X242" s="35"/>
    </row>
    <row r="243" spans="4:24" x14ac:dyDescent="0.3">
      <c r="D243" s="23">
        <v>39934</v>
      </c>
      <c r="E243" s="5">
        <v>66.309073999999995</v>
      </c>
      <c r="F243" s="28">
        <v>49.965029999999999</v>
      </c>
      <c r="G243" s="28">
        <v>86.95</v>
      </c>
      <c r="H243" s="28">
        <v>30.04317</v>
      </c>
      <c r="I243" s="28">
        <v>33.520569999999999</v>
      </c>
      <c r="J243" s="29"/>
      <c r="K243" s="29"/>
      <c r="L243" s="29"/>
      <c r="M243" s="29"/>
      <c r="N243" s="29"/>
      <c r="P243" s="4">
        <f t="shared" si="16"/>
        <v>5.3625954307277646E-3</v>
      </c>
      <c r="Q243" s="4">
        <f t="shared" si="16"/>
        <v>-1.7161279001362021E-3</v>
      </c>
      <c r="R243" s="4">
        <f t="shared" si="16"/>
        <v>-3.6735203749278518E-3</v>
      </c>
      <c r="S243" s="4">
        <f t="shared" si="16"/>
        <v>2.6219996567298041E-3</v>
      </c>
      <c r="T243" s="4">
        <f t="shared" si="16"/>
        <v>5.6749856312035595E-3</v>
      </c>
      <c r="U243" s="35"/>
      <c r="V243" s="35"/>
      <c r="W243" s="35"/>
      <c r="X243" s="35"/>
    </row>
    <row r="244" spans="4:24" x14ac:dyDescent="0.3">
      <c r="D244" s="23">
        <v>39937</v>
      </c>
      <c r="E244" s="5">
        <v>68.564857000000003</v>
      </c>
      <c r="F244" s="28">
        <v>50.004069999999999</v>
      </c>
      <c r="G244" s="28">
        <v>88.64</v>
      </c>
      <c r="H244" s="28">
        <v>30.63758</v>
      </c>
      <c r="I244" s="28">
        <v>34.666229999999999</v>
      </c>
      <c r="J244" s="29"/>
      <c r="K244" s="29"/>
      <c r="L244" s="29"/>
      <c r="M244" s="29"/>
      <c r="N244" s="29"/>
      <c r="P244" s="4">
        <f t="shared" si="16"/>
        <v>3.345336426538608E-2</v>
      </c>
      <c r="Q244" s="4">
        <f t="shared" si="16"/>
        <v>7.810413814791213E-4</v>
      </c>
      <c r="R244" s="4">
        <f t="shared" si="16"/>
        <v>1.924998219868157E-2</v>
      </c>
      <c r="S244" s="4">
        <f t="shared" si="16"/>
        <v>1.9592012736091971E-2</v>
      </c>
      <c r="T244" s="4">
        <f t="shared" si="16"/>
        <v>3.3606733997512038E-2</v>
      </c>
      <c r="U244" s="35"/>
      <c r="V244" s="35"/>
      <c r="W244" s="35"/>
      <c r="X244" s="35"/>
    </row>
    <row r="245" spans="4:24" x14ac:dyDescent="0.3">
      <c r="D245" s="23">
        <v>39938</v>
      </c>
      <c r="E245" s="5">
        <v>68.331008999999995</v>
      </c>
      <c r="F245" s="28">
        <v>49.997540000000001</v>
      </c>
      <c r="G245" s="28">
        <v>88.25</v>
      </c>
      <c r="H245" s="28">
        <v>30.611350000000002</v>
      </c>
      <c r="I245" s="28">
        <v>34.544829999999997</v>
      </c>
      <c r="J245" s="29"/>
      <c r="K245" s="29"/>
      <c r="L245" s="29"/>
      <c r="M245" s="29"/>
      <c r="N245" s="29"/>
      <c r="P245" s="4">
        <f t="shared" ref="P245:T260" si="17">LN(E245/E244)</f>
        <v>-3.4164395798084823E-3</v>
      </c>
      <c r="Q245" s="4">
        <f t="shared" si="17"/>
        <v>-1.3059789755938484E-4</v>
      </c>
      <c r="R245" s="4">
        <f t="shared" si="17"/>
        <v>-4.4095271855674814E-3</v>
      </c>
      <c r="S245" s="4">
        <f t="shared" si="17"/>
        <v>-8.5650481089303003E-4</v>
      </c>
      <c r="T245" s="4">
        <f t="shared" si="17"/>
        <v>-3.5081134288182979E-3</v>
      </c>
      <c r="U245" s="35"/>
      <c r="V245" s="35"/>
      <c r="W245" s="35"/>
      <c r="X245" s="35"/>
    </row>
    <row r="246" spans="4:24" x14ac:dyDescent="0.3">
      <c r="D246" s="23">
        <v>39939</v>
      </c>
      <c r="E246" s="5">
        <v>69.515495000000001</v>
      </c>
      <c r="F246" s="28">
        <v>50.212159999999997</v>
      </c>
      <c r="G246" s="28">
        <v>89.54</v>
      </c>
      <c r="H246" s="28">
        <v>30.620090000000001</v>
      </c>
      <c r="I246" s="28">
        <v>35.083550000000002</v>
      </c>
      <c r="J246" s="29"/>
      <c r="K246" s="29"/>
      <c r="L246" s="29"/>
      <c r="M246" s="29"/>
      <c r="N246" s="29"/>
      <c r="P246" s="4">
        <f t="shared" si="17"/>
        <v>1.7186002103815316E-2</v>
      </c>
      <c r="Q246" s="4">
        <f t="shared" si="17"/>
        <v>4.28342422238406E-3</v>
      </c>
      <c r="R246" s="4">
        <f t="shared" si="17"/>
        <v>1.4511756999413391E-2</v>
      </c>
      <c r="S246" s="4">
        <f t="shared" si="17"/>
        <v>2.8547426156739358E-4</v>
      </c>
      <c r="T246" s="4">
        <f t="shared" si="17"/>
        <v>1.5474458836016482E-2</v>
      </c>
      <c r="U246" s="35"/>
      <c r="V246" s="35"/>
      <c r="W246" s="35"/>
      <c r="X246" s="35"/>
    </row>
    <row r="247" spans="4:24" x14ac:dyDescent="0.3">
      <c r="D247" s="23">
        <v>39940</v>
      </c>
      <c r="E247" s="5">
        <v>68.549781999999993</v>
      </c>
      <c r="F247" s="28">
        <v>50.036549999999998</v>
      </c>
      <c r="G247" s="28">
        <v>89.44</v>
      </c>
      <c r="H247" s="28">
        <v>29.903320000000001</v>
      </c>
      <c r="I247" s="28">
        <v>34.537260000000003</v>
      </c>
      <c r="J247" s="29"/>
      <c r="K247" s="29"/>
      <c r="L247" s="29"/>
      <c r="M247" s="29"/>
      <c r="N247" s="29"/>
      <c r="P247" s="4">
        <f t="shared" si="17"/>
        <v>-1.3989451518656784E-2</v>
      </c>
      <c r="Q247" s="4">
        <f t="shared" si="17"/>
        <v>-3.5034900623899024E-3</v>
      </c>
      <c r="R247" s="4">
        <f t="shared" si="17"/>
        <v>-1.1174434060305701E-3</v>
      </c>
      <c r="S247" s="4">
        <f t="shared" si="17"/>
        <v>-2.3686818458796312E-2</v>
      </c>
      <c r="T247" s="4">
        <f t="shared" si="17"/>
        <v>-1.5693618390404337E-2</v>
      </c>
      <c r="U247" s="35"/>
      <c r="V247" s="35"/>
      <c r="W247" s="35"/>
      <c r="X247" s="35"/>
    </row>
    <row r="248" spans="4:24" x14ac:dyDescent="0.3">
      <c r="D248" s="23">
        <v>39941</v>
      </c>
      <c r="E248" s="5">
        <v>70.149246000000005</v>
      </c>
      <c r="F248" s="28">
        <v>50.160130000000002</v>
      </c>
      <c r="G248" s="28">
        <v>89.98</v>
      </c>
      <c r="H248" s="28">
        <v>29.9208</v>
      </c>
      <c r="I248" s="28">
        <v>35.318750000000001</v>
      </c>
      <c r="J248" s="29"/>
      <c r="K248" s="29"/>
      <c r="L248" s="29"/>
      <c r="M248" s="29"/>
      <c r="N248" s="29"/>
      <c r="P248" s="4">
        <f t="shared" si="17"/>
        <v>2.3064832251612107E-2</v>
      </c>
      <c r="Q248" s="4">
        <f t="shared" si="17"/>
        <v>2.4667496500652285E-3</v>
      </c>
      <c r="R248" s="4">
        <f t="shared" si="17"/>
        <v>6.0194140062373655E-3</v>
      </c>
      <c r="S248" s="4">
        <f t="shared" si="17"/>
        <v>5.8437969492740576E-4</v>
      </c>
      <c r="T248" s="4">
        <f t="shared" si="17"/>
        <v>2.2375243139138058E-2</v>
      </c>
      <c r="U248" s="35"/>
      <c r="V248" s="35"/>
      <c r="W248" s="35"/>
      <c r="X248" s="35"/>
    </row>
    <row r="249" spans="4:24" x14ac:dyDescent="0.3">
      <c r="D249" s="23">
        <v>39944</v>
      </c>
      <c r="E249" s="5">
        <v>68.836478999999997</v>
      </c>
      <c r="F249" s="28">
        <v>50.368229999999997</v>
      </c>
      <c r="G249" s="28">
        <v>89.69</v>
      </c>
      <c r="H249" s="28">
        <v>30.025700000000001</v>
      </c>
      <c r="I249" s="28">
        <v>34.711750000000002</v>
      </c>
      <c r="J249" s="29"/>
      <c r="K249" s="29"/>
      <c r="L249" s="29"/>
      <c r="M249" s="29"/>
      <c r="N249" s="29"/>
      <c r="P249" s="4">
        <f t="shared" si="17"/>
        <v>-1.8891235647767134E-2</v>
      </c>
      <c r="Q249" s="4">
        <f t="shared" si="17"/>
        <v>4.1401311480256898E-3</v>
      </c>
      <c r="R249" s="4">
        <f t="shared" si="17"/>
        <v>-3.2281432831146061E-3</v>
      </c>
      <c r="S249" s="4">
        <f t="shared" si="17"/>
        <v>3.4997908826236834E-3</v>
      </c>
      <c r="T249" s="4">
        <f t="shared" si="17"/>
        <v>-1.7335738046206445E-2</v>
      </c>
      <c r="U249" s="35"/>
      <c r="V249" s="35"/>
      <c r="W249" s="35"/>
      <c r="X249" s="35"/>
    </row>
    <row r="250" spans="4:24" x14ac:dyDescent="0.3">
      <c r="D250" s="23">
        <v>39945</v>
      </c>
      <c r="E250" s="5">
        <v>68.632782000000006</v>
      </c>
      <c r="F250" s="28">
        <v>50.348759999999999</v>
      </c>
      <c r="G250" s="28">
        <v>90.7</v>
      </c>
      <c r="H250" s="28">
        <v>29.658550000000002</v>
      </c>
      <c r="I250" s="28">
        <v>34.620719999999999</v>
      </c>
      <c r="J250" s="29"/>
      <c r="K250" s="29"/>
      <c r="L250" s="29"/>
      <c r="M250" s="29"/>
      <c r="N250" s="29"/>
      <c r="P250" s="4">
        <f t="shared" si="17"/>
        <v>-2.9635301390163009E-3</v>
      </c>
      <c r="Q250" s="4">
        <f t="shared" si="17"/>
        <v>-3.8662792131761037E-4</v>
      </c>
      <c r="R250" s="4">
        <f t="shared" si="17"/>
        <v>1.1198076991179175E-2</v>
      </c>
      <c r="S250" s="4">
        <f t="shared" si="17"/>
        <v>-1.2303233475027585E-2</v>
      </c>
      <c r="T250" s="4">
        <f t="shared" si="17"/>
        <v>-2.6258995909698509E-3</v>
      </c>
      <c r="U250" s="35"/>
      <c r="V250" s="35"/>
      <c r="W250" s="35"/>
      <c r="X250" s="35"/>
    </row>
    <row r="251" spans="4:24" x14ac:dyDescent="0.3">
      <c r="D251" s="23">
        <v>39946</v>
      </c>
      <c r="E251" s="5">
        <v>66.905067000000003</v>
      </c>
      <c r="F251" s="28">
        <v>50.498280000000001</v>
      </c>
      <c r="G251" s="28">
        <v>91.09</v>
      </c>
      <c r="H251" s="28">
        <v>28.863119999999999</v>
      </c>
      <c r="I251" s="28">
        <v>33.634360000000001</v>
      </c>
      <c r="J251" s="29"/>
      <c r="K251" s="29"/>
      <c r="L251" s="29"/>
      <c r="M251" s="29"/>
      <c r="N251" s="29"/>
      <c r="P251" s="4">
        <f t="shared" si="17"/>
        <v>-2.5495588131254101E-2</v>
      </c>
      <c r="Q251" s="4">
        <f t="shared" si="17"/>
        <v>2.9652850407847417E-3</v>
      </c>
      <c r="R251" s="4">
        <f t="shared" si="17"/>
        <v>4.290671635627615E-3</v>
      </c>
      <c r="S251" s="4">
        <f t="shared" si="17"/>
        <v>-2.7185792513761322E-2</v>
      </c>
      <c r="T251" s="4">
        <f t="shared" si="17"/>
        <v>-2.8904183260726198E-2</v>
      </c>
      <c r="U251" s="35"/>
      <c r="V251" s="35"/>
      <c r="W251" s="35"/>
      <c r="X251" s="35"/>
    </row>
    <row r="252" spans="4:24" x14ac:dyDescent="0.3">
      <c r="D252" s="23">
        <v>39947</v>
      </c>
      <c r="E252" s="5">
        <v>67.478447000000003</v>
      </c>
      <c r="F252" s="28">
        <v>50.47878</v>
      </c>
      <c r="G252" s="28">
        <v>91.03</v>
      </c>
      <c r="H252" s="28">
        <v>29.186540000000001</v>
      </c>
      <c r="I252" s="28">
        <v>33.9758</v>
      </c>
      <c r="J252" s="29"/>
      <c r="K252" s="29"/>
      <c r="L252" s="29"/>
      <c r="M252" s="29"/>
      <c r="N252" s="29"/>
      <c r="P252" s="4">
        <f t="shared" si="17"/>
        <v>8.5335390101241772E-3</v>
      </c>
      <c r="Q252" s="4">
        <f t="shared" si="17"/>
        <v>-3.8622634175330701E-4</v>
      </c>
      <c r="R252" s="4">
        <f t="shared" si="17"/>
        <v>-6.5890623952103529E-4</v>
      </c>
      <c r="S252" s="4">
        <f t="shared" si="17"/>
        <v>1.1142988485338321E-2</v>
      </c>
      <c r="T252" s="4">
        <f t="shared" si="17"/>
        <v>1.0100342987407097E-2</v>
      </c>
      <c r="U252" s="35"/>
      <c r="V252" s="35"/>
      <c r="W252" s="35"/>
      <c r="X252" s="35"/>
    </row>
    <row r="253" spans="4:24" x14ac:dyDescent="0.3">
      <c r="D253" s="23">
        <v>39948</v>
      </c>
      <c r="E253" s="5">
        <v>66.927681000000007</v>
      </c>
      <c r="F253" s="28">
        <v>50.465789999999998</v>
      </c>
      <c r="G253" s="28">
        <v>91.55</v>
      </c>
      <c r="H253" s="28">
        <v>29.169070000000001</v>
      </c>
      <c r="I253" s="28">
        <v>33.619190000000003</v>
      </c>
      <c r="J253" s="29"/>
      <c r="K253" s="29"/>
      <c r="L253" s="29"/>
      <c r="M253" s="29"/>
      <c r="N253" s="29"/>
      <c r="P253" s="4">
        <f t="shared" si="17"/>
        <v>-8.195594814056139E-3</v>
      </c>
      <c r="Q253" s="4">
        <f t="shared" si="17"/>
        <v>-2.5736897134151759E-4</v>
      </c>
      <c r="R253" s="4">
        <f t="shared" si="17"/>
        <v>5.6961486033221525E-3</v>
      </c>
      <c r="S253" s="4">
        <f t="shared" si="17"/>
        <v>-5.9874279514531166E-4</v>
      </c>
      <c r="T253" s="4">
        <f t="shared" si="17"/>
        <v>-1.0551471597191317E-2</v>
      </c>
      <c r="U253" s="35"/>
      <c r="V253" s="35"/>
      <c r="W253" s="35"/>
      <c r="X253" s="35"/>
    </row>
    <row r="254" spans="4:24" x14ac:dyDescent="0.3">
      <c r="D254" s="23">
        <v>39951</v>
      </c>
      <c r="E254" s="5">
        <v>68.828957000000003</v>
      </c>
      <c r="F254" s="28">
        <v>50.316209999999998</v>
      </c>
      <c r="G254" s="28">
        <v>90.36</v>
      </c>
      <c r="H254" s="28">
        <v>29.929539999999999</v>
      </c>
      <c r="I254" s="28">
        <v>34.651069999999997</v>
      </c>
      <c r="J254" s="29"/>
      <c r="K254" s="29"/>
      <c r="L254" s="29"/>
      <c r="M254" s="29"/>
      <c r="N254" s="29"/>
      <c r="P254" s="4">
        <f t="shared" si="17"/>
        <v>2.8011894646830345E-2</v>
      </c>
      <c r="Q254" s="4">
        <f t="shared" si="17"/>
        <v>-2.9683893916231416E-3</v>
      </c>
      <c r="R254" s="4">
        <f t="shared" si="17"/>
        <v>-1.3083579520717136E-2</v>
      </c>
      <c r="S254" s="4">
        <f t="shared" si="17"/>
        <v>2.573705125094684E-2</v>
      </c>
      <c r="T254" s="4">
        <f t="shared" si="17"/>
        <v>3.0231570501678018E-2</v>
      </c>
      <c r="U254" s="35"/>
      <c r="V254" s="35"/>
      <c r="W254" s="35"/>
      <c r="X254" s="35"/>
    </row>
    <row r="255" spans="4:24" x14ac:dyDescent="0.3">
      <c r="D255" s="23">
        <v>39952</v>
      </c>
      <c r="E255" s="5">
        <v>68.745948999999996</v>
      </c>
      <c r="F255" s="28">
        <v>50.426830000000002</v>
      </c>
      <c r="G255" s="28">
        <v>90.96</v>
      </c>
      <c r="H255" s="28">
        <v>30.069389999999999</v>
      </c>
      <c r="I255" s="28">
        <v>34.658639999999998</v>
      </c>
      <c r="J255" s="29"/>
      <c r="K255" s="29"/>
      <c r="L255" s="29"/>
      <c r="M255" s="29"/>
      <c r="N255" s="29"/>
      <c r="P255" s="4">
        <f t="shared" si="17"/>
        <v>-1.2067318450217745E-3</v>
      </c>
      <c r="Q255" s="4">
        <f t="shared" si="17"/>
        <v>2.1960831131957351E-3</v>
      </c>
      <c r="R255" s="4">
        <f t="shared" si="17"/>
        <v>6.6181578424780738E-3</v>
      </c>
      <c r="S255" s="4">
        <f t="shared" si="17"/>
        <v>4.6617582436265835E-3</v>
      </c>
      <c r="T255" s="4">
        <f t="shared" si="17"/>
        <v>2.1843981254862307E-4</v>
      </c>
      <c r="U255" s="35"/>
      <c r="V255" s="35"/>
      <c r="W255" s="35"/>
      <c r="X255" s="35"/>
    </row>
    <row r="256" spans="4:24" x14ac:dyDescent="0.3">
      <c r="D256" s="23">
        <v>39953</v>
      </c>
      <c r="E256" s="5">
        <v>68.285728000000006</v>
      </c>
      <c r="F256" s="28">
        <v>50.576349999999998</v>
      </c>
      <c r="G256" s="28">
        <v>92.25</v>
      </c>
      <c r="H256" s="28">
        <v>29.964500000000001</v>
      </c>
      <c r="I256" s="28">
        <v>34.461379999999998</v>
      </c>
      <c r="J256" s="29"/>
      <c r="K256" s="29"/>
      <c r="L256" s="29"/>
      <c r="M256" s="29"/>
      <c r="N256" s="29"/>
      <c r="P256" s="4">
        <f t="shared" si="17"/>
        <v>-6.7170269013086311E-3</v>
      </c>
      <c r="Q256" s="4">
        <f t="shared" si="17"/>
        <v>2.9607010238932125E-3</v>
      </c>
      <c r="R256" s="4">
        <f t="shared" si="17"/>
        <v>1.4082433478355961E-2</v>
      </c>
      <c r="S256" s="4">
        <f t="shared" si="17"/>
        <v>-3.4943631582283453E-3</v>
      </c>
      <c r="T256" s="4">
        <f t="shared" si="17"/>
        <v>-5.707768473965728E-3</v>
      </c>
      <c r="U256" s="35"/>
      <c r="V256" s="35"/>
      <c r="W256" s="35"/>
      <c r="X256" s="35"/>
    </row>
    <row r="257" spans="4:24" x14ac:dyDescent="0.3">
      <c r="D257" s="23">
        <v>39954</v>
      </c>
      <c r="E257" s="5">
        <v>67.304946999999999</v>
      </c>
      <c r="F257" s="28">
        <v>50.316209999999998</v>
      </c>
      <c r="G257" s="28">
        <v>93.85</v>
      </c>
      <c r="H257" s="28">
        <v>29.413820000000001</v>
      </c>
      <c r="I257" s="28">
        <v>33.839210000000001</v>
      </c>
      <c r="J257" s="29"/>
      <c r="K257" s="29"/>
      <c r="L257" s="29"/>
      <c r="M257" s="29"/>
      <c r="N257" s="29"/>
      <c r="P257" s="4">
        <f t="shared" si="17"/>
        <v>-1.4467043637266261E-2</v>
      </c>
      <c r="Q257" s="4">
        <f t="shared" si="17"/>
        <v>-5.156784137088955E-3</v>
      </c>
      <c r="R257" s="4">
        <f t="shared" si="17"/>
        <v>1.7195480111881177E-2</v>
      </c>
      <c r="S257" s="4">
        <f t="shared" si="17"/>
        <v>-1.8548715712628443E-2</v>
      </c>
      <c r="T257" s="4">
        <f t="shared" si="17"/>
        <v>-1.8219087416734916E-2</v>
      </c>
      <c r="U257" s="35"/>
      <c r="V257" s="35"/>
      <c r="W257" s="35"/>
      <c r="X257" s="35"/>
    </row>
    <row r="258" spans="4:24" x14ac:dyDescent="0.3">
      <c r="D258" s="23">
        <v>39955</v>
      </c>
      <c r="E258" s="5">
        <v>67.161591000000001</v>
      </c>
      <c r="F258" s="28">
        <v>50.303220000000003</v>
      </c>
      <c r="G258" s="28">
        <v>94.15</v>
      </c>
      <c r="H258" s="28">
        <v>29.31766</v>
      </c>
      <c r="I258" s="28">
        <v>33.861980000000003</v>
      </c>
      <c r="J258" s="29"/>
      <c r="K258" s="29"/>
      <c r="L258" s="29"/>
      <c r="M258" s="29"/>
      <c r="N258" s="29"/>
      <c r="P258" s="4">
        <f t="shared" si="17"/>
        <v>-2.1322190106850109E-3</v>
      </c>
      <c r="Q258" s="4">
        <f t="shared" si="17"/>
        <v>-2.5820062928531335E-4</v>
      </c>
      <c r="R258" s="4">
        <f t="shared" si="17"/>
        <v>3.1914920706436526E-3</v>
      </c>
      <c r="S258" s="4">
        <f t="shared" si="17"/>
        <v>-3.2745670950323456E-3</v>
      </c>
      <c r="T258" s="4">
        <f t="shared" si="17"/>
        <v>6.7266176144232344E-4</v>
      </c>
      <c r="U258" s="35"/>
      <c r="V258" s="35"/>
      <c r="W258" s="35"/>
      <c r="X258" s="35"/>
    </row>
    <row r="259" spans="4:24" x14ac:dyDescent="0.3">
      <c r="D259" s="23">
        <v>39959</v>
      </c>
      <c r="E259" s="5">
        <v>68.881729000000007</v>
      </c>
      <c r="F259" s="28">
        <v>50.19914</v>
      </c>
      <c r="G259" s="28">
        <v>93.76</v>
      </c>
      <c r="H259" s="28">
        <v>30.410299999999999</v>
      </c>
      <c r="I259" s="28">
        <v>34.772469999999998</v>
      </c>
      <c r="J259" s="29"/>
      <c r="K259" s="29"/>
      <c r="L259" s="29"/>
      <c r="M259" s="29"/>
      <c r="N259" s="29"/>
      <c r="P259" s="4">
        <f t="shared" si="17"/>
        <v>2.5289439805459769E-2</v>
      </c>
      <c r="Q259" s="4">
        <f t="shared" si="17"/>
        <v>-2.0711958845010779E-3</v>
      </c>
      <c r="R259" s="4">
        <f t="shared" si="17"/>
        <v>-4.1509292744588951E-3</v>
      </c>
      <c r="S259" s="4">
        <f t="shared" si="17"/>
        <v>3.6591301987091672E-2</v>
      </c>
      <c r="T259" s="4">
        <f t="shared" si="17"/>
        <v>2.6533130674740859E-2</v>
      </c>
      <c r="U259" s="35"/>
      <c r="V259" s="35"/>
      <c r="W259" s="35"/>
      <c r="X259" s="35"/>
    </row>
    <row r="260" spans="4:24" x14ac:dyDescent="0.3">
      <c r="D260" s="23">
        <v>39960</v>
      </c>
      <c r="E260" s="5">
        <v>67.651970000000006</v>
      </c>
      <c r="F260" s="28">
        <v>49.9</v>
      </c>
      <c r="G260" s="28">
        <v>93.45</v>
      </c>
      <c r="H260" s="28">
        <v>30.200520000000001</v>
      </c>
      <c r="I260" s="28">
        <v>34.18824</v>
      </c>
      <c r="J260" s="29"/>
      <c r="K260" s="29"/>
      <c r="L260" s="29"/>
      <c r="M260" s="29"/>
      <c r="N260" s="29"/>
      <c r="P260" s="4">
        <f t="shared" si="17"/>
        <v>-1.8014486764623833E-2</v>
      </c>
      <c r="Q260" s="4">
        <f t="shared" si="17"/>
        <v>-5.976892319361618E-3</v>
      </c>
      <c r="R260" s="4">
        <f t="shared" si="17"/>
        <v>-3.3117919271306302E-3</v>
      </c>
      <c r="S260" s="4">
        <f t="shared" si="17"/>
        <v>-6.9222240409087992E-3</v>
      </c>
      <c r="T260" s="4">
        <f t="shared" si="17"/>
        <v>-1.6944256461887627E-2</v>
      </c>
      <c r="U260" s="35"/>
      <c r="V260" s="35"/>
      <c r="W260" s="35"/>
      <c r="X260" s="35"/>
    </row>
    <row r="261" spans="4:24" x14ac:dyDescent="0.3">
      <c r="D261" s="23">
        <v>39961</v>
      </c>
      <c r="E261" s="5">
        <v>68.595023999999995</v>
      </c>
      <c r="F261" s="28">
        <v>50.030050000000003</v>
      </c>
      <c r="G261" s="28">
        <v>94.24</v>
      </c>
      <c r="H261" s="28">
        <v>30.550149999999999</v>
      </c>
      <c r="I261" s="28">
        <v>34.613129999999998</v>
      </c>
      <c r="J261" s="29"/>
      <c r="K261" s="29"/>
      <c r="L261" s="29"/>
      <c r="M261" s="29"/>
      <c r="N261" s="29"/>
      <c r="P261" s="4">
        <f t="shared" ref="P261:T276" si="18">LN(E261/E260)</f>
        <v>1.3843520991968426E-2</v>
      </c>
      <c r="Q261" s="4">
        <f t="shared" si="18"/>
        <v>2.6028221425011956E-3</v>
      </c>
      <c r="R261" s="4">
        <f t="shared" si="18"/>
        <v>8.4181860017046358E-3</v>
      </c>
      <c r="S261" s="4">
        <f t="shared" si="18"/>
        <v>1.151045281355079E-2</v>
      </c>
      <c r="T261" s="4">
        <f t="shared" si="18"/>
        <v>1.2351364562076294E-2</v>
      </c>
      <c r="U261" s="35"/>
      <c r="V261" s="35"/>
      <c r="W261" s="35"/>
      <c r="X261" s="35"/>
    </row>
    <row r="262" spans="4:24" x14ac:dyDescent="0.3">
      <c r="D262" s="23">
        <v>39962</v>
      </c>
      <c r="E262" s="5">
        <v>69.809746000000004</v>
      </c>
      <c r="F262" s="28">
        <v>50.387770000000003</v>
      </c>
      <c r="G262" s="28">
        <v>96.2</v>
      </c>
      <c r="H262" s="28">
        <v>30.926020000000001</v>
      </c>
      <c r="I262" s="28">
        <v>35.151800000000001</v>
      </c>
      <c r="J262" s="29"/>
      <c r="K262" s="29"/>
      <c r="L262" s="29"/>
      <c r="M262" s="29"/>
      <c r="N262" s="29"/>
      <c r="P262" s="4">
        <f t="shared" si="18"/>
        <v>1.7553631870681274E-2</v>
      </c>
      <c r="Q262" s="4">
        <f t="shared" si="18"/>
        <v>7.1246620007968586E-3</v>
      </c>
      <c r="R262" s="4">
        <f t="shared" si="18"/>
        <v>2.0584637768384394E-2</v>
      </c>
      <c r="S262" s="4">
        <f t="shared" si="18"/>
        <v>1.2228305168883737E-2</v>
      </c>
      <c r="T262" s="4">
        <f t="shared" si="18"/>
        <v>1.5442736201145649E-2</v>
      </c>
      <c r="U262" s="35"/>
      <c r="V262" s="35"/>
      <c r="W262" s="35"/>
      <c r="X262" s="35"/>
    </row>
    <row r="263" spans="4:24" x14ac:dyDescent="0.3">
      <c r="D263" s="23">
        <v>39965</v>
      </c>
      <c r="E263" s="5">
        <v>71.499701999999999</v>
      </c>
      <c r="F263" s="28">
        <v>50.047080000000001</v>
      </c>
      <c r="G263" s="28">
        <v>95.73</v>
      </c>
      <c r="H263" s="28">
        <v>31.808869999999999</v>
      </c>
      <c r="I263" s="28">
        <v>36.024349999999998</v>
      </c>
      <c r="J263" s="29"/>
      <c r="K263" s="29"/>
      <c r="L263" s="29"/>
      <c r="M263" s="29"/>
      <c r="N263" s="29"/>
      <c r="P263" s="4">
        <f t="shared" si="18"/>
        <v>2.3919654330631712E-2</v>
      </c>
      <c r="Q263" s="4">
        <f t="shared" si="18"/>
        <v>-6.7843244998237384E-3</v>
      </c>
      <c r="R263" s="4">
        <f t="shared" si="18"/>
        <v>-4.8976287133989322E-3</v>
      </c>
      <c r="S263" s="4">
        <f t="shared" si="18"/>
        <v>2.8147280951705541E-2</v>
      </c>
      <c r="T263" s="4">
        <f t="shared" si="18"/>
        <v>2.4519272647758533E-2</v>
      </c>
      <c r="U263" s="35"/>
      <c r="V263" s="35"/>
      <c r="W263" s="35"/>
      <c r="X263" s="35"/>
    </row>
    <row r="264" spans="4:24" x14ac:dyDescent="0.3">
      <c r="D264" s="23">
        <v>39966</v>
      </c>
      <c r="E264" s="5">
        <v>71.560028000000003</v>
      </c>
      <c r="F264" s="28">
        <v>50.236359999999998</v>
      </c>
      <c r="G264" s="28">
        <v>96.36</v>
      </c>
      <c r="H264" s="28">
        <v>31.852589999999999</v>
      </c>
      <c r="I264" s="28">
        <v>36.168509999999998</v>
      </c>
      <c r="J264" s="29"/>
      <c r="K264" s="29"/>
      <c r="L264" s="29"/>
      <c r="M264" s="29"/>
      <c r="N264" s="29"/>
      <c r="P264" s="4">
        <f t="shared" si="18"/>
        <v>8.4336806137797122E-4</v>
      </c>
      <c r="Q264" s="4">
        <f t="shared" si="18"/>
        <v>3.7749049049071721E-3</v>
      </c>
      <c r="R264" s="4">
        <f t="shared" si="18"/>
        <v>6.5594487884086446E-3</v>
      </c>
      <c r="S264" s="4">
        <f t="shared" si="18"/>
        <v>1.373515683533397E-3</v>
      </c>
      <c r="T264" s="4">
        <f t="shared" si="18"/>
        <v>3.9937520583970673E-3</v>
      </c>
      <c r="U264" s="35"/>
      <c r="V264" s="35"/>
      <c r="W264" s="35"/>
      <c r="X264" s="35"/>
    </row>
    <row r="265" spans="4:24" x14ac:dyDescent="0.3">
      <c r="D265" s="23">
        <v>39967</v>
      </c>
      <c r="E265" s="5">
        <v>70.654701000000003</v>
      </c>
      <c r="F265" s="28">
        <v>50.406010000000002</v>
      </c>
      <c r="G265" s="28">
        <v>94.41</v>
      </c>
      <c r="H265" s="28">
        <v>31.756430000000002</v>
      </c>
      <c r="I265" s="28">
        <v>35.728459999999998</v>
      </c>
      <c r="J265" s="29"/>
      <c r="K265" s="29"/>
      <c r="L265" s="29"/>
      <c r="M265" s="29"/>
      <c r="N265" s="29"/>
      <c r="P265" s="4">
        <f t="shared" si="18"/>
        <v>-1.2732003725458026E-2</v>
      </c>
      <c r="Q265" s="4">
        <f t="shared" si="18"/>
        <v>3.3713466939718148E-3</v>
      </c>
      <c r="R265" s="4">
        <f t="shared" si="18"/>
        <v>-2.044417800224551E-2</v>
      </c>
      <c r="S265" s="4">
        <f t="shared" si="18"/>
        <v>-3.0234728739093487E-3</v>
      </c>
      <c r="T265" s="4">
        <f t="shared" si="18"/>
        <v>-1.2241280684631022E-2</v>
      </c>
      <c r="U265" s="35"/>
      <c r="V265" s="35"/>
      <c r="W265" s="35"/>
      <c r="X265" s="35"/>
    </row>
    <row r="266" spans="4:24" x14ac:dyDescent="0.3">
      <c r="D266" s="23">
        <v>39968</v>
      </c>
      <c r="E266" s="5">
        <v>71.318603999999993</v>
      </c>
      <c r="F266" s="28">
        <v>50.092770000000002</v>
      </c>
      <c r="G266" s="28">
        <v>96.23</v>
      </c>
      <c r="H266" s="28">
        <v>32.114820000000002</v>
      </c>
      <c r="I266" s="28">
        <v>36.085059999999999</v>
      </c>
      <c r="J266" s="29"/>
      <c r="K266" s="29"/>
      <c r="L266" s="29"/>
      <c r="M266" s="29"/>
      <c r="N266" s="29"/>
      <c r="P266" s="4">
        <f t="shared" si="18"/>
        <v>9.3525728562393277E-3</v>
      </c>
      <c r="Q266" s="4">
        <f t="shared" si="18"/>
        <v>-6.2337277001411834E-3</v>
      </c>
      <c r="R266" s="4">
        <f t="shared" si="18"/>
        <v>1.9094159623884444E-2</v>
      </c>
      <c r="S266" s="4">
        <f t="shared" si="18"/>
        <v>1.1222381317108353E-2</v>
      </c>
      <c r="T266" s="4">
        <f t="shared" si="18"/>
        <v>9.9313591927074046E-3</v>
      </c>
      <c r="U266" s="35"/>
      <c r="V266" s="35"/>
      <c r="W266" s="35"/>
      <c r="X266" s="35"/>
    </row>
    <row r="267" spans="4:24" x14ac:dyDescent="0.3">
      <c r="D267" s="23">
        <v>39969</v>
      </c>
      <c r="E267" s="5">
        <v>71.333725000000001</v>
      </c>
      <c r="F267" s="28">
        <v>49.753430000000002</v>
      </c>
      <c r="G267" s="28">
        <v>93.71</v>
      </c>
      <c r="H267" s="28">
        <v>32.14978</v>
      </c>
      <c r="I267" s="28">
        <v>36.01679</v>
      </c>
      <c r="J267" s="29"/>
      <c r="K267" s="29"/>
      <c r="L267" s="29"/>
      <c r="M267" s="29"/>
      <c r="N267" s="29"/>
      <c r="P267" s="4">
        <f t="shared" si="18"/>
        <v>2.1199794160585927E-4</v>
      </c>
      <c r="Q267" s="4">
        <f t="shared" si="18"/>
        <v>-6.7972803480432229E-3</v>
      </c>
      <c r="R267" s="4">
        <f t="shared" si="18"/>
        <v>-2.6536252232577266E-2</v>
      </c>
      <c r="S267" s="4">
        <f t="shared" si="18"/>
        <v>1.0880018999153305E-3</v>
      </c>
      <c r="T267" s="4">
        <f t="shared" si="18"/>
        <v>-1.8937106440997946E-3</v>
      </c>
      <c r="U267" s="35"/>
      <c r="V267" s="35"/>
      <c r="W267" s="35"/>
      <c r="X267" s="35"/>
    </row>
    <row r="268" spans="4:24" x14ac:dyDescent="0.3">
      <c r="D268" s="23">
        <v>39972</v>
      </c>
      <c r="E268" s="5">
        <v>71.039482000000007</v>
      </c>
      <c r="F268" s="28">
        <v>49.64902</v>
      </c>
      <c r="G268" s="28">
        <v>93.56</v>
      </c>
      <c r="H268" s="28">
        <v>32.053640000000001</v>
      </c>
      <c r="I268" s="28">
        <v>35.918140000000001</v>
      </c>
      <c r="J268" s="29"/>
      <c r="K268" s="29"/>
      <c r="L268" s="29"/>
      <c r="M268" s="29"/>
      <c r="N268" s="29"/>
      <c r="P268" s="4">
        <f t="shared" si="18"/>
        <v>-4.1334100022100938E-3</v>
      </c>
      <c r="Q268" s="4">
        <f t="shared" si="18"/>
        <v>-2.1007538224304353E-3</v>
      </c>
      <c r="R268" s="4">
        <f t="shared" si="18"/>
        <v>-1.6019654197539097E-3</v>
      </c>
      <c r="S268" s="4">
        <f t="shared" si="18"/>
        <v>-2.9948582757128978E-3</v>
      </c>
      <c r="T268" s="4">
        <f t="shared" si="18"/>
        <v>-2.7427582634206005E-3</v>
      </c>
      <c r="U268" s="35"/>
      <c r="V268" s="35"/>
      <c r="W268" s="35"/>
      <c r="X268" s="35"/>
    </row>
    <row r="269" spans="4:24" x14ac:dyDescent="0.3">
      <c r="D269" s="23">
        <v>39973</v>
      </c>
      <c r="E269" s="5">
        <v>71.401649000000006</v>
      </c>
      <c r="F269" s="28">
        <v>49.786050000000003</v>
      </c>
      <c r="G269" s="28">
        <v>93.83</v>
      </c>
      <c r="H269" s="28">
        <v>32.298380000000002</v>
      </c>
      <c r="I269" s="28">
        <v>36.107819999999997</v>
      </c>
      <c r="J269" s="29"/>
      <c r="K269" s="29"/>
      <c r="L269" s="29"/>
      <c r="M269" s="29"/>
      <c r="N269" s="29"/>
      <c r="P269" s="4">
        <f t="shared" si="18"/>
        <v>5.0851573262794591E-3</v>
      </c>
      <c r="Q269" s="4">
        <f t="shared" si="18"/>
        <v>2.7561721783979074E-3</v>
      </c>
      <c r="R269" s="4">
        <f t="shared" si="18"/>
        <v>2.881692585979962E-3</v>
      </c>
      <c r="S269" s="4">
        <f t="shared" si="18"/>
        <v>7.6063247113474178E-3</v>
      </c>
      <c r="T269" s="4">
        <f t="shared" si="18"/>
        <v>5.2670020225329059E-3</v>
      </c>
      <c r="U269" s="35"/>
      <c r="V269" s="35"/>
      <c r="W269" s="35"/>
      <c r="X269" s="35"/>
    </row>
    <row r="270" spans="4:24" x14ac:dyDescent="0.3">
      <c r="D270" s="23">
        <v>39974</v>
      </c>
      <c r="E270" s="5">
        <v>71.220534999999998</v>
      </c>
      <c r="F270" s="28">
        <v>49.662059999999997</v>
      </c>
      <c r="G270" s="28">
        <v>93.86</v>
      </c>
      <c r="H270" s="28">
        <v>32.184739999999998</v>
      </c>
      <c r="I270" s="28">
        <v>36.01679</v>
      </c>
      <c r="J270" s="29"/>
      <c r="K270" s="29"/>
      <c r="L270" s="29"/>
      <c r="M270" s="29"/>
      <c r="N270" s="29"/>
      <c r="P270" s="4">
        <f t="shared" si="18"/>
        <v>-2.5397745606761538E-3</v>
      </c>
      <c r="Q270" s="4">
        <f t="shared" si="18"/>
        <v>-2.4935630098149057E-3</v>
      </c>
      <c r="R270" s="4">
        <f t="shared" si="18"/>
        <v>3.1967606431322615E-4</v>
      </c>
      <c r="S270" s="4">
        <f t="shared" si="18"/>
        <v>-3.5246469974493234E-3</v>
      </c>
      <c r="T270" s="4">
        <f t="shared" si="18"/>
        <v>-2.5242437591123015E-3</v>
      </c>
      <c r="U270" s="35"/>
      <c r="V270" s="35"/>
      <c r="W270" s="35"/>
      <c r="X270" s="35"/>
    </row>
    <row r="271" spans="4:24" x14ac:dyDescent="0.3">
      <c r="D271" s="23">
        <v>39975</v>
      </c>
      <c r="E271" s="5">
        <v>71.537436999999997</v>
      </c>
      <c r="F271" s="28">
        <v>49.903559999999999</v>
      </c>
      <c r="G271" s="28">
        <v>93.7</v>
      </c>
      <c r="H271" s="28">
        <v>32.184739999999998</v>
      </c>
      <c r="I271" s="28">
        <v>36.229210000000002</v>
      </c>
      <c r="J271" s="29"/>
      <c r="K271" s="29"/>
      <c r="L271" s="29"/>
      <c r="M271" s="29"/>
      <c r="N271" s="29"/>
      <c r="P271" s="4">
        <f t="shared" si="18"/>
        <v>4.439717321567796E-3</v>
      </c>
      <c r="Q271" s="4">
        <f t="shared" si="18"/>
        <v>4.8510816002812485E-3</v>
      </c>
      <c r="R271" s="4">
        <f t="shared" si="18"/>
        <v>-1.7061211218950688E-3</v>
      </c>
      <c r="S271" s="4">
        <f t="shared" si="18"/>
        <v>0</v>
      </c>
      <c r="T271" s="4">
        <f t="shared" si="18"/>
        <v>5.880480915878351E-3</v>
      </c>
      <c r="U271" s="35"/>
      <c r="V271" s="35"/>
      <c r="W271" s="35"/>
      <c r="X271" s="35"/>
    </row>
    <row r="272" spans="4:24" x14ac:dyDescent="0.3">
      <c r="D272" s="23">
        <v>39976</v>
      </c>
      <c r="E272" s="5">
        <v>71.733581999999998</v>
      </c>
      <c r="F272" s="28">
        <v>50.034030000000001</v>
      </c>
      <c r="G272" s="28">
        <v>92.17</v>
      </c>
      <c r="H272" s="28">
        <v>32.036149999999999</v>
      </c>
      <c r="I272" s="28">
        <v>36.259549999999997</v>
      </c>
      <c r="J272" s="29"/>
      <c r="K272" s="29"/>
      <c r="L272" s="29"/>
      <c r="M272" s="29"/>
      <c r="N272" s="29"/>
      <c r="P272" s="4">
        <f t="shared" si="18"/>
        <v>2.7380990784274129E-3</v>
      </c>
      <c r="Q272" s="4">
        <f t="shared" si="18"/>
        <v>2.6110310269255024E-3</v>
      </c>
      <c r="R272" s="4">
        <f t="shared" si="18"/>
        <v>-1.6463491238803623E-2</v>
      </c>
      <c r="S272" s="4">
        <f t="shared" si="18"/>
        <v>-4.627474491643419E-3</v>
      </c>
      <c r="T272" s="4">
        <f t="shared" si="18"/>
        <v>8.3709534475895277E-4</v>
      </c>
      <c r="U272" s="35"/>
      <c r="V272" s="35"/>
      <c r="W272" s="35"/>
      <c r="X272" s="35"/>
    </row>
    <row r="273" spans="4:24" x14ac:dyDescent="0.3">
      <c r="D273" s="23">
        <v>39979</v>
      </c>
      <c r="E273" s="5">
        <v>70.088875000000002</v>
      </c>
      <c r="F273" s="28">
        <v>50.131929999999997</v>
      </c>
      <c r="G273" s="28">
        <v>91.1</v>
      </c>
      <c r="H273" s="28">
        <v>31.380559999999999</v>
      </c>
      <c r="I273" s="28">
        <v>35.417380000000001</v>
      </c>
      <c r="J273" s="29"/>
      <c r="K273" s="29"/>
      <c r="L273" s="29"/>
      <c r="M273" s="29"/>
      <c r="N273" s="29"/>
      <c r="P273" s="4">
        <f t="shared" si="18"/>
        <v>-2.3194926564683072E-2</v>
      </c>
      <c r="Q273" s="4">
        <f t="shared" si="18"/>
        <v>1.9547565095682671E-3</v>
      </c>
      <c r="R273" s="4">
        <f t="shared" si="18"/>
        <v>-1.167689373966029E-2</v>
      </c>
      <c r="S273" s="4">
        <f t="shared" si="18"/>
        <v>-2.0676359775678256E-2</v>
      </c>
      <c r="T273" s="4">
        <f t="shared" si="18"/>
        <v>-2.3500134770086015E-2</v>
      </c>
      <c r="U273" s="35"/>
      <c r="V273" s="35"/>
      <c r="W273" s="35"/>
      <c r="X273" s="35"/>
    </row>
    <row r="274" spans="4:24" x14ac:dyDescent="0.3">
      <c r="D274" s="23">
        <v>39980</v>
      </c>
      <c r="E274" s="5">
        <v>69.138251999999994</v>
      </c>
      <c r="F274" s="28">
        <v>50.366880000000002</v>
      </c>
      <c r="G274" s="28">
        <v>91.93</v>
      </c>
      <c r="H274" s="28">
        <v>31.074629999999999</v>
      </c>
      <c r="I274" s="28">
        <v>34.924190000000003</v>
      </c>
      <c r="J274" s="29"/>
      <c r="K274" s="29"/>
      <c r="L274" s="29"/>
      <c r="M274" s="29"/>
      <c r="N274" s="29"/>
      <c r="P274" s="4">
        <f t="shared" si="18"/>
        <v>-1.3655927454144429E-2</v>
      </c>
      <c r="Q274" s="4">
        <f t="shared" si="18"/>
        <v>4.6756857726041948E-3</v>
      </c>
      <c r="R274" s="4">
        <f t="shared" si="18"/>
        <v>9.0696136097507731E-3</v>
      </c>
      <c r="S274" s="4">
        <f t="shared" si="18"/>
        <v>-9.7968622587881211E-3</v>
      </c>
      <c r="T274" s="4">
        <f t="shared" si="18"/>
        <v>-1.4022947791458271E-2</v>
      </c>
      <c r="U274" s="35"/>
      <c r="V274" s="35"/>
      <c r="W274" s="35"/>
      <c r="X274" s="35"/>
    </row>
    <row r="275" spans="4:24" x14ac:dyDescent="0.3">
      <c r="D275" s="23">
        <v>39981</v>
      </c>
      <c r="E275" s="5">
        <v>69.070366000000007</v>
      </c>
      <c r="F275" s="28">
        <v>50.340760000000003</v>
      </c>
      <c r="G275" s="28">
        <v>92.35</v>
      </c>
      <c r="H275" s="28">
        <v>31.37182</v>
      </c>
      <c r="I275" s="28">
        <v>34.878689999999999</v>
      </c>
      <c r="J275" s="29"/>
      <c r="K275" s="29"/>
      <c r="L275" s="29"/>
      <c r="M275" s="29"/>
      <c r="N275" s="29"/>
      <c r="P275" s="4">
        <f t="shared" si="18"/>
        <v>-9.8237007853501377E-4</v>
      </c>
      <c r="Q275" s="4">
        <f t="shared" si="18"/>
        <v>-5.1872927586621117E-4</v>
      </c>
      <c r="R275" s="4">
        <f t="shared" si="18"/>
        <v>4.5582887695854914E-3</v>
      </c>
      <c r="S275" s="4">
        <f t="shared" si="18"/>
        <v>9.5183070850557022E-3</v>
      </c>
      <c r="T275" s="4">
        <f t="shared" si="18"/>
        <v>-1.3036713225633096E-3</v>
      </c>
      <c r="U275" s="35"/>
      <c r="V275" s="35"/>
      <c r="W275" s="35"/>
      <c r="X275" s="35"/>
    </row>
    <row r="276" spans="4:24" x14ac:dyDescent="0.3">
      <c r="D276" s="23">
        <v>39982</v>
      </c>
      <c r="E276" s="5">
        <v>69.575844000000004</v>
      </c>
      <c r="F276" s="28">
        <v>49.968809999999998</v>
      </c>
      <c r="G276" s="28">
        <v>91.61</v>
      </c>
      <c r="H276" s="28">
        <v>31.310639999999999</v>
      </c>
      <c r="I276" s="28">
        <v>35.068359999999998</v>
      </c>
      <c r="J276" s="29"/>
      <c r="K276" s="29"/>
      <c r="L276" s="29"/>
      <c r="M276" s="29"/>
      <c r="N276" s="29"/>
      <c r="P276" s="4">
        <f t="shared" si="18"/>
        <v>7.2916560735847213E-3</v>
      </c>
      <c r="Q276" s="4">
        <f t="shared" si="18"/>
        <v>-7.4160761473313257E-3</v>
      </c>
      <c r="R276" s="4">
        <f t="shared" si="18"/>
        <v>-8.0452706181316242E-3</v>
      </c>
      <c r="S276" s="4">
        <f t="shared" si="18"/>
        <v>-1.9520618503942257E-3</v>
      </c>
      <c r="T276" s="4">
        <f t="shared" si="18"/>
        <v>5.4232584469741654E-3</v>
      </c>
      <c r="U276" s="35"/>
      <c r="V276" s="35"/>
      <c r="W276" s="35"/>
      <c r="X276" s="35"/>
    </row>
    <row r="277" spans="4:24" x14ac:dyDescent="0.3">
      <c r="D277" s="23">
        <v>39983</v>
      </c>
      <c r="E277" s="5">
        <v>69.832313999999997</v>
      </c>
      <c r="F277" s="28">
        <v>50.086239999999997</v>
      </c>
      <c r="G277" s="28">
        <v>91.9</v>
      </c>
      <c r="H277" s="28">
        <v>31.646709999999999</v>
      </c>
      <c r="I277" s="28">
        <v>35.19735</v>
      </c>
      <c r="J277" s="29"/>
      <c r="K277" s="29"/>
      <c r="L277" s="29"/>
      <c r="M277" s="29"/>
      <c r="N277" s="29"/>
      <c r="P277" s="4">
        <f t="shared" ref="P277:T292" si="19">LN(E277/E276)</f>
        <v>3.6794157963550398E-3</v>
      </c>
      <c r="Q277" s="4">
        <f t="shared" si="19"/>
        <v>2.3473088848300714E-3</v>
      </c>
      <c r="R277" s="4">
        <f t="shared" si="19"/>
        <v>3.1605933345242566E-3</v>
      </c>
      <c r="S277" s="4">
        <f t="shared" si="19"/>
        <v>1.0676217856831774E-2</v>
      </c>
      <c r="T277" s="4">
        <f t="shared" si="19"/>
        <v>3.6714962361441084E-3</v>
      </c>
      <c r="U277" s="35"/>
      <c r="V277" s="35"/>
      <c r="W277" s="35"/>
      <c r="X277" s="35"/>
    </row>
    <row r="278" spans="4:24" x14ac:dyDescent="0.3">
      <c r="D278" s="23">
        <v>39986</v>
      </c>
      <c r="E278" s="5">
        <v>67.738228000000007</v>
      </c>
      <c r="F278" s="28">
        <v>50.203740000000003</v>
      </c>
      <c r="G278" s="28">
        <v>90.54</v>
      </c>
      <c r="H278" s="28">
        <v>30.701509999999999</v>
      </c>
      <c r="I278" s="28">
        <v>34.18065</v>
      </c>
      <c r="J278" s="29"/>
      <c r="K278" s="29"/>
      <c r="L278" s="29"/>
      <c r="M278" s="29"/>
      <c r="N278" s="29"/>
      <c r="P278" s="4">
        <f t="shared" si="19"/>
        <v>-3.0446165723995524E-2</v>
      </c>
      <c r="Q278" s="4">
        <f t="shared" si="19"/>
        <v>2.3432062457740704E-3</v>
      </c>
      <c r="R278" s="4">
        <f t="shared" si="19"/>
        <v>-1.4909287353828871E-2</v>
      </c>
      <c r="S278" s="4">
        <f t="shared" si="19"/>
        <v>-3.0322354688660912E-2</v>
      </c>
      <c r="T278" s="4">
        <f t="shared" si="19"/>
        <v>-2.9311101203540579E-2</v>
      </c>
      <c r="U278" s="35"/>
      <c r="V278" s="35"/>
      <c r="W278" s="35"/>
      <c r="X278" s="35"/>
    </row>
    <row r="279" spans="4:24" x14ac:dyDescent="0.3">
      <c r="D279" s="23">
        <v>39987</v>
      </c>
      <c r="E279" s="5">
        <v>67.791320999999996</v>
      </c>
      <c r="F279" s="28">
        <v>50.432139999999997</v>
      </c>
      <c r="G279" s="28">
        <v>90.92</v>
      </c>
      <c r="H279" s="28">
        <v>30.63148</v>
      </c>
      <c r="I279" s="28">
        <v>34.18065</v>
      </c>
      <c r="J279" s="29"/>
      <c r="K279" s="29"/>
      <c r="L279" s="29"/>
      <c r="M279" s="29"/>
      <c r="N279" s="29"/>
      <c r="P279" s="4">
        <f t="shared" si="19"/>
        <v>7.8348969811665526E-4</v>
      </c>
      <c r="Q279" s="4">
        <f t="shared" si="19"/>
        <v>4.5391443322092698E-3</v>
      </c>
      <c r="R279" s="4">
        <f t="shared" si="19"/>
        <v>4.188256976529795E-3</v>
      </c>
      <c r="S279" s="4">
        <f t="shared" si="19"/>
        <v>-2.2836007320982971E-3</v>
      </c>
      <c r="T279" s="4">
        <f t="shared" si="19"/>
        <v>0</v>
      </c>
      <c r="U279" s="35"/>
      <c r="V279" s="35"/>
      <c r="W279" s="35"/>
      <c r="X279" s="35"/>
    </row>
    <row r="280" spans="4:24" x14ac:dyDescent="0.3">
      <c r="D280" s="23">
        <v>39988</v>
      </c>
      <c r="E280" s="5">
        <v>68.375525999999994</v>
      </c>
      <c r="F280" s="28">
        <v>50.321159999999999</v>
      </c>
      <c r="G280" s="28">
        <v>91.45</v>
      </c>
      <c r="H280" s="28">
        <v>31.147860000000001</v>
      </c>
      <c r="I280" s="28">
        <v>34.449809999999999</v>
      </c>
      <c r="J280" s="29"/>
      <c r="K280" s="29"/>
      <c r="L280" s="29"/>
      <c r="M280" s="29"/>
      <c r="N280" s="29"/>
      <c r="P280" s="4">
        <f t="shared" si="19"/>
        <v>8.5807756797959926E-3</v>
      </c>
      <c r="Q280" s="4">
        <f t="shared" si="19"/>
        <v>-2.2030056560791576E-3</v>
      </c>
      <c r="R280" s="4">
        <f t="shared" si="19"/>
        <v>5.8123758525323544E-3</v>
      </c>
      <c r="S280" s="4">
        <f t="shared" si="19"/>
        <v>1.6717304714803385E-2</v>
      </c>
      <c r="T280" s="4">
        <f t="shared" si="19"/>
        <v>7.8437877293688861E-3</v>
      </c>
      <c r="U280" s="35"/>
      <c r="V280" s="35"/>
      <c r="W280" s="35"/>
      <c r="X280" s="35"/>
    </row>
    <row r="281" spans="4:24" x14ac:dyDescent="0.3">
      <c r="D281" s="23">
        <v>39989</v>
      </c>
      <c r="E281" s="5">
        <v>69.862639999999999</v>
      </c>
      <c r="F281" s="28">
        <v>50.667070000000002</v>
      </c>
      <c r="G281" s="28">
        <v>92.31</v>
      </c>
      <c r="H281" s="28">
        <v>31.760480000000001</v>
      </c>
      <c r="I281" s="28">
        <v>35.250439999999998</v>
      </c>
      <c r="J281" s="29"/>
      <c r="K281" s="29"/>
      <c r="L281" s="29"/>
      <c r="M281" s="29"/>
      <c r="N281" s="29"/>
      <c r="P281" s="4">
        <f t="shared" si="19"/>
        <v>2.1516074947355815E-2</v>
      </c>
      <c r="Q281" s="4">
        <f t="shared" si="19"/>
        <v>6.8505280820876169E-3</v>
      </c>
      <c r="R281" s="4">
        <f t="shared" si="19"/>
        <v>9.3601031651854641E-3</v>
      </c>
      <c r="S281" s="4">
        <f t="shared" si="19"/>
        <v>1.9477206580821593E-2</v>
      </c>
      <c r="T281" s="4">
        <f t="shared" si="19"/>
        <v>2.2974529244897249E-2</v>
      </c>
      <c r="U281" s="35"/>
      <c r="V281" s="35"/>
      <c r="W281" s="35"/>
      <c r="X281" s="35"/>
    </row>
    <row r="282" spans="4:24" x14ac:dyDescent="0.3">
      <c r="D282" s="23">
        <v>39990</v>
      </c>
      <c r="E282" s="5">
        <v>69.680526999999998</v>
      </c>
      <c r="F282" s="28">
        <v>50.69314</v>
      </c>
      <c r="G282" s="28">
        <v>92.29</v>
      </c>
      <c r="H282" s="28">
        <v>31.830500000000001</v>
      </c>
      <c r="I282" s="28">
        <v>35.181800000000003</v>
      </c>
      <c r="J282" s="29"/>
      <c r="K282" s="29"/>
      <c r="L282" s="29"/>
      <c r="M282" s="29"/>
      <c r="N282" s="29"/>
      <c r="P282" s="4">
        <f t="shared" si="19"/>
        <v>-2.6101328686557817E-3</v>
      </c>
      <c r="Q282" s="4">
        <f t="shared" si="19"/>
        <v>5.144030497740438E-4</v>
      </c>
      <c r="R282" s="4">
        <f t="shared" si="19"/>
        <v>-2.1668472457480321E-4</v>
      </c>
      <c r="S282" s="4">
        <f t="shared" si="19"/>
        <v>2.2022000069162949E-3</v>
      </c>
      <c r="T282" s="4">
        <f t="shared" si="19"/>
        <v>-1.9491080144660416E-3</v>
      </c>
      <c r="U282" s="35"/>
      <c r="V282" s="35"/>
      <c r="W282" s="35"/>
      <c r="X282" s="35"/>
    </row>
    <row r="283" spans="4:24" x14ac:dyDescent="0.3">
      <c r="D283" s="23">
        <v>39993</v>
      </c>
      <c r="E283" s="5">
        <v>70.333031000000005</v>
      </c>
      <c r="F283" s="28">
        <v>50.784520000000001</v>
      </c>
      <c r="G283" s="28">
        <v>92.04</v>
      </c>
      <c r="H283" s="28">
        <v>31.900510000000001</v>
      </c>
      <c r="I283" s="28">
        <v>35.517319999999998</v>
      </c>
      <c r="J283" s="29"/>
      <c r="K283" s="29"/>
      <c r="L283" s="29"/>
      <c r="M283" s="29"/>
      <c r="N283" s="29"/>
      <c r="P283" s="4">
        <f t="shared" si="19"/>
        <v>9.3206505590626102E-3</v>
      </c>
      <c r="Q283" s="4">
        <f t="shared" si="19"/>
        <v>1.8009880144987515E-3</v>
      </c>
      <c r="R283" s="4">
        <f t="shared" si="19"/>
        <v>-2.7125281103202122E-3</v>
      </c>
      <c r="S283" s="4">
        <f t="shared" si="19"/>
        <v>2.1970475020441547E-3</v>
      </c>
      <c r="T283" s="4">
        <f t="shared" si="19"/>
        <v>9.4915613915781179E-3</v>
      </c>
      <c r="U283" s="35"/>
      <c r="V283" s="35"/>
      <c r="W283" s="35"/>
      <c r="X283" s="35"/>
    </row>
    <row r="284" spans="4:24" x14ac:dyDescent="0.3">
      <c r="D284" s="23">
        <v>39994</v>
      </c>
      <c r="E284" s="5">
        <v>69.763999999999996</v>
      </c>
      <c r="F284" s="28">
        <v>50.699680000000001</v>
      </c>
      <c r="G284" s="28">
        <v>91.18</v>
      </c>
      <c r="H284" s="28">
        <v>31.839259999999999</v>
      </c>
      <c r="I284" s="28">
        <v>35.280929999999998</v>
      </c>
      <c r="J284" s="29"/>
      <c r="K284" s="29"/>
      <c r="L284" s="29"/>
      <c r="M284" s="29"/>
      <c r="N284" s="29"/>
      <c r="P284" s="4">
        <f t="shared" si="19"/>
        <v>-8.1234288140968891E-3</v>
      </c>
      <c r="Q284" s="4">
        <f t="shared" si="19"/>
        <v>-1.6719847969323362E-3</v>
      </c>
      <c r="R284" s="4">
        <f t="shared" si="19"/>
        <v>-9.3876903818697743E-3</v>
      </c>
      <c r="S284" s="4">
        <f t="shared" si="19"/>
        <v>-1.9218776237447598E-3</v>
      </c>
      <c r="T284" s="4">
        <f t="shared" si="19"/>
        <v>-6.6778734916152762E-3</v>
      </c>
      <c r="U284" s="35"/>
      <c r="V284" s="35"/>
      <c r="W284" s="35"/>
      <c r="X284" s="35"/>
    </row>
    <row r="285" spans="4:24" x14ac:dyDescent="0.3">
      <c r="D285" s="23">
        <v>39995</v>
      </c>
      <c r="E285" s="5">
        <v>70.052306999999999</v>
      </c>
      <c r="F285" s="28">
        <v>50.66957</v>
      </c>
      <c r="G285" s="28">
        <v>92.39</v>
      </c>
      <c r="H285" s="28">
        <v>31.856750000000002</v>
      </c>
      <c r="I285" s="28">
        <v>35.486809999999998</v>
      </c>
      <c r="J285" s="29"/>
      <c r="K285" s="29"/>
      <c r="L285" s="29"/>
      <c r="M285" s="29"/>
      <c r="N285" s="29"/>
      <c r="P285" s="4">
        <f t="shared" si="19"/>
        <v>4.1240884531380034E-3</v>
      </c>
      <c r="Q285" s="4">
        <f t="shared" si="19"/>
        <v>-5.9406577212556418E-4</v>
      </c>
      <c r="R285" s="4">
        <f t="shared" si="19"/>
        <v>1.3183172897358245E-2</v>
      </c>
      <c r="S285" s="4">
        <f t="shared" si="19"/>
        <v>5.4917099013156428E-4</v>
      </c>
      <c r="T285" s="4">
        <f t="shared" si="19"/>
        <v>5.8184868086786929E-3</v>
      </c>
      <c r="U285" s="35"/>
      <c r="V285" s="35"/>
      <c r="W285" s="35"/>
      <c r="X285" s="35"/>
    </row>
    <row r="286" spans="4:24" x14ac:dyDescent="0.3">
      <c r="D286" s="23">
        <v>39996</v>
      </c>
      <c r="E286" s="5">
        <v>68.140349999999998</v>
      </c>
      <c r="F286" s="28">
        <v>50.689210000000003</v>
      </c>
      <c r="G286" s="28">
        <v>91.25</v>
      </c>
      <c r="H286" s="28">
        <v>31.156600000000001</v>
      </c>
      <c r="I286" s="28">
        <v>34.556570000000001</v>
      </c>
      <c r="J286" s="29"/>
      <c r="K286" s="29"/>
      <c r="L286" s="29"/>
      <c r="M286" s="29"/>
      <c r="N286" s="29"/>
      <c r="P286" s="4">
        <f t="shared" si="19"/>
        <v>-2.7672657156221109E-2</v>
      </c>
      <c r="Q286" s="4">
        <f t="shared" si="19"/>
        <v>3.8753426680563464E-4</v>
      </c>
      <c r="R286" s="4">
        <f t="shared" si="19"/>
        <v>-1.2415755220052888E-2</v>
      </c>
      <c r="S286" s="4">
        <f t="shared" si="19"/>
        <v>-2.2223189690085177E-2</v>
      </c>
      <c r="T286" s="4">
        <f t="shared" si="19"/>
        <v>-2.6563386818761404E-2</v>
      </c>
      <c r="U286" s="35"/>
      <c r="V286" s="35"/>
      <c r="W286" s="35"/>
      <c r="X286" s="35"/>
    </row>
    <row r="287" spans="4:24" x14ac:dyDescent="0.3">
      <c r="D287" s="23">
        <v>40000</v>
      </c>
      <c r="E287" s="5">
        <v>68.132767000000001</v>
      </c>
      <c r="F287" s="28">
        <v>50.649929999999998</v>
      </c>
      <c r="G287" s="28">
        <v>90.76</v>
      </c>
      <c r="H287" s="28">
        <v>30.990320000000001</v>
      </c>
      <c r="I287" s="28">
        <v>34.426929999999999</v>
      </c>
      <c r="J287" s="29"/>
      <c r="K287" s="29"/>
      <c r="L287" s="29"/>
      <c r="M287" s="29"/>
      <c r="N287" s="29"/>
      <c r="P287" s="4">
        <f t="shared" si="19"/>
        <v>-1.1129120951744062E-4</v>
      </c>
      <c r="Q287" s="4">
        <f t="shared" si="19"/>
        <v>-7.7521877464448304E-4</v>
      </c>
      <c r="R287" s="4">
        <f t="shared" si="19"/>
        <v>-5.3843325509598484E-3</v>
      </c>
      <c r="S287" s="4">
        <f t="shared" si="19"/>
        <v>-5.3512031421882201E-3</v>
      </c>
      <c r="T287" s="4">
        <f t="shared" si="19"/>
        <v>-3.7585843750515533E-3</v>
      </c>
      <c r="U287" s="35"/>
      <c r="V287" s="35"/>
      <c r="W287" s="35"/>
      <c r="X287" s="35"/>
    </row>
    <row r="288" spans="4:24" x14ac:dyDescent="0.3">
      <c r="D288" s="23">
        <v>40001</v>
      </c>
      <c r="E288" s="5">
        <v>66.812607</v>
      </c>
      <c r="F288" s="28">
        <v>50.754669999999997</v>
      </c>
      <c r="G288" s="28">
        <v>90.71</v>
      </c>
      <c r="H288" s="28">
        <v>30.22015</v>
      </c>
      <c r="I288" s="28">
        <v>33.717820000000003</v>
      </c>
      <c r="J288" s="29"/>
      <c r="K288" s="29"/>
      <c r="L288" s="29"/>
      <c r="M288" s="29"/>
      <c r="N288" s="29"/>
      <c r="P288" s="4">
        <f t="shared" si="19"/>
        <v>-1.956646721311377E-2</v>
      </c>
      <c r="Q288" s="4">
        <f t="shared" si="19"/>
        <v>2.0657847326033133E-3</v>
      </c>
      <c r="R288" s="4">
        <f t="shared" si="19"/>
        <v>-5.5105528478836656E-4</v>
      </c>
      <c r="S288" s="4">
        <f t="shared" si="19"/>
        <v>-2.5165977225389762E-2</v>
      </c>
      <c r="T288" s="4">
        <f t="shared" si="19"/>
        <v>-2.0812625965803043E-2</v>
      </c>
      <c r="U288" s="35"/>
      <c r="V288" s="35"/>
      <c r="W288" s="35"/>
      <c r="X288" s="35"/>
    </row>
    <row r="289" spans="4:24" x14ac:dyDescent="0.3">
      <c r="D289" s="23">
        <v>40002</v>
      </c>
      <c r="E289" s="5">
        <v>66.767052000000007</v>
      </c>
      <c r="F289" s="28">
        <v>51.101759999999999</v>
      </c>
      <c r="G289" s="28">
        <v>89.27</v>
      </c>
      <c r="H289" s="28">
        <v>30.377700000000001</v>
      </c>
      <c r="I289" s="28">
        <v>33.672049999999999</v>
      </c>
      <c r="J289" s="29"/>
      <c r="K289" s="29"/>
      <c r="L289" s="29"/>
      <c r="M289" s="29"/>
      <c r="N289" s="29"/>
      <c r="P289" s="4">
        <f t="shared" si="19"/>
        <v>-6.8206495071311633E-4</v>
      </c>
      <c r="Q289" s="4">
        <f t="shared" si="19"/>
        <v>6.8153054938191468E-3</v>
      </c>
      <c r="R289" s="4">
        <f t="shared" si="19"/>
        <v>-1.6002119435582017E-2</v>
      </c>
      <c r="S289" s="4">
        <f t="shared" si="19"/>
        <v>5.1998661666785486E-3</v>
      </c>
      <c r="T289" s="4">
        <f t="shared" si="19"/>
        <v>-1.3583646039896202E-3</v>
      </c>
      <c r="U289" s="35"/>
      <c r="V289" s="35"/>
      <c r="W289" s="35"/>
      <c r="X289" s="35"/>
    </row>
    <row r="290" spans="4:24" x14ac:dyDescent="0.3">
      <c r="D290" s="23">
        <v>40003</v>
      </c>
      <c r="E290" s="5">
        <v>66.896049000000005</v>
      </c>
      <c r="F290" s="28">
        <v>50.951149999999998</v>
      </c>
      <c r="G290" s="28">
        <v>89.51</v>
      </c>
      <c r="H290" s="28">
        <v>30.430199999999999</v>
      </c>
      <c r="I290" s="28">
        <v>33.740679999999998</v>
      </c>
      <c r="J290" s="29"/>
      <c r="K290" s="29"/>
      <c r="L290" s="29"/>
      <c r="M290" s="29"/>
      <c r="N290" s="29"/>
      <c r="P290" s="4">
        <f t="shared" si="19"/>
        <v>1.9301817642144582E-3</v>
      </c>
      <c r="Q290" s="4">
        <f t="shared" si="19"/>
        <v>-2.9516083244023263E-3</v>
      </c>
      <c r="R290" s="4">
        <f t="shared" si="19"/>
        <v>2.6848656915769292E-3</v>
      </c>
      <c r="S290" s="4">
        <f t="shared" si="19"/>
        <v>1.7267497494497656E-3</v>
      </c>
      <c r="T290" s="4">
        <f t="shared" si="19"/>
        <v>2.0361146540218331E-3</v>
      </c>
      <c r="U290" s="35"/>
      <c r="V290" s="35"/>
      <c r="W290" s="35"/>
      <c r="X290" s="35"/>
    </row>
    <row r="291" spans="4:24" x14ac:dyDescent="0.3">
      <c r="D291" s="23">
        <v>40004</v>
      </c>
      <c r="E291" s="5">
        <v>66.736732000000003</v>
      </c>
      <c r="F291" s="28">
        <v>51.134450000000001</v>
      </c>
      <c r="G291" s="28">
        <v>89.58</v>
      </c>
      <c r="H291" s="28">
        <v>30.56148</v>
      </c>
      <c r="I291" s="28">
        <v>33.656829999999999</v>
      </c>
      <c r="J291" s="29"/>
      <c r="K291" s="29"/>
      <c r="L291" s="29"/>
      <c r="M291" s="29"/>
      <c r="N291" s="29"/>
      <c r="P291" s="4">
        <f t="shared" si="19"/>
        <v>-2.384401107110383E-3</v>
      </c>
      <c r="Q291" s="4">
        <f t="shared" si="19"/>
        <v>3.5911077955598533E-3</v>
      </c>
      <c r="R291" s="4">
        <f t="shared" si="19"/>
        <v>7.8172989630635346E-4</v>
      </c>
      <c r="S291" s="4">
        <f t="shared" si="19"/>
        <v>4.3048560963618674E-3</v>
      </c>
      <c r="T291" s="4">
        <f t="shared" si="19"/>
        <v>-2.4882237715133904E-3</v>
      </c>
      <c r="U291" s="35"/>
      <c r="V291" s="35"/>
      <c r="W291" s="35"/>
      <c r="X291" s="35"/>
    </row>
    <row r="292" spans="4:24" x14ac:dyDescent="0.3">
      <c r="D292" s="23">
        <v>40007</v>
      </c>
      <c r="E292" s="5">
        <v>68.360366999999997</v>
      </c>
      <c r="F292" s="28">
        <v>51.049349999999997</v>
      </c>
      <c r="G292" s="28">
        <v>90.19</v>
      </c>
      <c r="H292" s="28">
        <v>31.147860000000001</v>
      </c>
      <c r="I292" s="28">
        <v>34.434570000000001</v>
      </c>
      <c r="J292" s="29"/>
      <c r="K292" s="29"/>
      <c r="L292" s="29"/>
      <c r="M292" s="29"/>
      <c r="N292" s="29"/>
      <c r="P292" s="4">
        <f t="shared" si="19"/>
        <v>2.4037720882510168E-2</v>
      </c>
      <c r="Q292" s="4">
        <f t="shared" si="19"/>
        <v>-1.6656264432228069E-3</v>
      </c>
      <c r="R292" s="4">
        <f t="shared" si="19"/>
        <v>6.7864753984628115E-3</v>
      </c>
      <c r="S292" s="4">
        <f t="shared" si="19"/>
        <v>1.9005150589003938E-2</v>
      </c>
      <c r="T292" s="4">
        <f t="shared" si="19"/>
        <v>2.2844994360834814E-2</v>
      </c>
      <c r="U292" s="35"/>
      <c r="V292" s="35"/>
      <c r="W292" s="35"/>
      <c r="X292" s="35"/>
    </row>
    <row r="293" spans="4:24" x14ac:dyDescent="0.3">
      <c r="D293" s="23">
        <v>40008</v>
      </c>
      <c r="E293" s="5">
        <v>68.747330000000005</v>
      </c>
      <c r="F293" s="28">
        <v>50.898719999999997</v>
      </c>
      <c r="G293" s="28">
        <v>90.81</v>
      </c>
      <c r="H293" s="28">
        <v>31.261620000000001</v>
      </c>
      <c r="I293" s="28">
        <v>34.678559999999997</v>
      </c>
      <c r="J293" s="29"/>
      <c r="K293" s="29"/>
      <c r="L293" s="29"/>
      <c r="M293" s="29"/>
      <c r="N293" s="29"/>
      <c r="P293" s="4">
        <f t="shared" ref="P293:T308" si="20">LN(E293/E292)</f>
        <v>5.6446725592846974E-3</v>
      </c>
      <c r="Q293" s="4">
        <f t="shared" si="20"/>
        <v>-2.9550360219942934E-3</v>
      </c>
      <c r="R293" s="4">
        <f t="shared" si="20"/>
        <v>6.8508555241201252E-3</v>
      </c>
      <c r="S293" s="4">
        <f t="shared" si="20"/>
        <v>3.6456040330167484E-3</v>
      </c>
      <c r="T293" s="4">
        <f t="shared" si="20"/>
        <v>7.0606269351178733E-3</v>
      </c>
      <c r="U293" s="35"/>
      <c r="V293" s="35"/>
      <c r="W293" s="35"/>
      <c r="X293" s="35"/>
    </row>
    <row r="294" spans="4:24" x14ac:dyDescent="0.3">
      <c r="D294" s="23">
        <v>40009</v>
      </c>
      <c r="E294" s="5">
        <v>70.757949999999994</v>
      </c>
      <c r="F294" s="28">
        <v>50.643380000000001</v>
      </c>
      <c r="G294" s="28">
        <v>92.24</v>
      </c>
      <c r="H294" s="28">
        <v>32.311860000000003</v>
      </c>
      <c r="I294" s="28">
        <v>35.715580000000003</v>
      </c>
      <c r="J294" s="29"/>
      <c r="K294" s="29"/>
      <c r="L294" s="29"/>
      <c r="M294" s="29"/>
      <c r="N294" s="29"/>
      <c r="P294" s="4">
        <f t="shared" si="20"/>
        <v>2.8826998272866146E-2</v>
      </c>
      <c r="Q294" s="4">
        <f t="shared" si="20"/>
        <v>-5.0292546283996972E-3</v>
      </c>
      <c r="R294" s="4">
        <f t="shared" si="20"/>
        <v>1.5624464259066564E-2</v>
      </c>
      <c r="S294" s="4">
        <f t="shared" si="20"/>
        <v>3.3043198429042492E-2</v>
      </c>
      <c r="T294" s="4">
        <f t="shared" si="20"/>
        <v>2.9465379591371226E-2</v>
      </c>
      <c r="U294" s="35"/>
      <c r="V294" s="35"/>
      <c r="W294" s="35"/>
      <c r="X294" s="35"/>
    </row>
    <row r="295" spans="4:24" x14ac:dyDescent="0.3">
      <c r="D295" s="23">
        <v>40010</v>
      </c>
      <c r="E295" s="5">
        <v>70.644119000000003</v>
      </c>
      <c r="F295" s="28">
        <v>50.866010000000003</v>
      </c>
      <c r="G295" s="28">
        <v>91.98</v>
      </c>
      <c r="H295" s="28">
        <v>32.696930000000002</v>
      </c>
      <c r="I295" s="28">
        <v>36.066319999999997</v>
      </c>
      <c r="J295" s="29"/>
      <c r="K295" s="29"/>
      <c r="L295" s="29"/>
      <c r="M295" s="29"/>
      <c r="N295" s="29"/>
      <c r="P295" s="4">
        <f t="shared" si="20"/>
        <v>-1.6100333664772161E-3</v>
      </c>
      <c r="Q295" s="4">
        <f t="shared" si="20"/>
        <v>4.3863992672842998E-3</v>
      </c>
      <c r="R295" s="4">
        <f t="shared" si="20"/>
        <v>-2.8227138490257478E-3</v>
      </c>
      <c r="S295" s="4">
        <f t="shared" si="20"/>
        <v>1.1846844207706885E-2</v>
      </c>
      <c r="T295" s="4">
        <f t="shared" si="20"/>
        <v>9.772457717852661E-3</v>
      </c>
      <c r="U295" s="35"/>
      <c r="V295" s="35"/>
      <c r="W295" s="35"/>
      <c r="X295" s="35"/>
    </row>
    <row r="296" spans="4:24" x14ac:dyDescent="0.3">
      <c r="D296" s="23">
        <v>40011</v>
      </c>
      <c r="E296" s="5">
        <v>71.418014999999997</v>
      </c>
      <c r="F296" s="28">
        <v>50.735050000000001</v>
      </c>
      <c r="G296" s="28">
        <v>91.93</v>
      </c>
      <c r="H296" s="28">
        <v>32.871980000000001</v>
      </c>
      <c r="I296" s="28">
        <v>36.081560000000003</v>
      </c>
      <c r="J296" s="29"/>
      <c r="K296" s="29"/>
      <c r="L296" s="29"/>
      <c r="M296" s="29"/>
      <c r="N296" s="29"/>
      <c r="P296" s="4">
        <f t="shared" si="20"/>
        <v>1.0895284109578122E-2</v>
      </c>
      <c r="Q296" s="4">
        <f t="shared" si="20"/>
        <v>-2.5779272879009694E-3</v>
      </c>
      <c r="R296" s="4">
        <f t="shared" si="20"/>
        <v>-5.4374423611445717E-4</v>
      </c>
      <c r="S296" s="4">
        <f t="shared" si="20"/>
        <v>5.3394334565834553E-3</v>
      </c>
      <c r="T296" s="4">
        <f t="shared" si="20"/>
        <v>4.2246564214152259E-4</v>
      </c>
      <c r="U296" s="35"/>
      <c r="V296" s="35"/>
      <c r="W296" s="35"/>
      <c r="X296" s="35"/>
    </row>
    <row r="297" spans="4:24" x14ac:dyDescent="0.3">
      <c r="D297" s="23">
        <v>40014</v>
      </c>
      <c r="E297" s="5">
        <v>72.176727</v>
      </c>
      <c r="F297" s="28">
        <v>50.898719999999997</v>
      </c>
      <c r="G297" s="28">
        <v>93.28</v>
      </c>
      <c r="H297" s="28">
        <v>33.18703</v>
      </c>
      <c r="I297" s="28">
        <v>36.485700000000001</v>
      </c>
      <c r="J297" s="29"/>
      <c r="K297" s="29"/>
      <c r="L297" s="29"/>
      <c r="M297" s="29"/>
      <c r="N297" s="29"/>
      <c r="P297" s="4">
        <f t="shared" si="20"/>
        <v>1.0567504770761993E-2</v>
      </c>
      <c r="Q297" s="4">
        <f t="shared" si="20"/>
        <v>3.2207826490164679E-3</v>
      </c>
      <c r="R297" s="4">
        <f t="shared" si="20"/>
        <v>1.4578304726518967E-2</v>
      </c>
      <c r="S297" s="4">
        <f t="shared" si="20"/>
        <v>9.5385137829240747E-3</v>
      </c>
      <c r="T297" s="4">
        <f t="shared" si="20"/>
        <v>1.1138471490096421E-2</v>
      </c>
      <c r="U297" s="35"/>
      <c r="V297" s="35"/>
      <c r="W297" s="35"/>
      <c r="X297" s="35"/>
    </row>
    <row r="298" spans="4:24" x14ac:dyDescent="0.3">
      <c r="D298" s="23">
        <v>40015</v>
      </c>
      <c r="E298" s="5">
        <v>72.510581999999999</v>
      </c>
      <c r="F298" s="28">
        <v>51.206519999999998</v>
      </c>
      <c r="G298" s="28">
        <v>93.13</v>
      </c>
      <c r="H298" s="28">
        <v>33.414589999999997</v>
      </c>
      <c r="I298" s="28">
        <v>36.645829999999997</v>
      </c>
      <c r="J298" s="29"/>
      <c r="K298" s="29"/>
      <c r="L298" s="29"/>
      <c r="M298" s="29"/>
      <c r="N298" s="29"/>
      <c r="P298" s="4">
        <f t="shared" si="20"/>
        <v>4.6148566147735087E-3</v>
      </c>
      <c r="Q298" s="4">
        <f t="shared" si="20"/>
        <v>6.0290917953985763E-3</v>
      </c>
      <c r="R298" s="4">
        <f t="shared" si="20"/>
        <v>-1.6093560686159035E-3</v>
      </c>
      <c r="S298" s="4">
        <f t="shared" si="20"/>
        <v>6.8334940057993721E-3</v>
      </c>
      <c r="T298" s="4">
        <f t="shared" si="20"/>
        <v>4.3792398685189417E-3</v>
      </c>
      <c r="U298" s="35"/>
      <c r="V298" s="35"/>
      <c r="W298" s="35"/>
      <c r="X298" s="35"/>
    </row>
    <row r="299" spans="4:24" x14ac:dyDescent="0.3">
      <c r="D299" s="23">
        <v>40016</v>
      </c>
      <c r="E299" s="5">
        <v>72.495399000000006</v>
      </c>
      <c r="F299" s="28">
        <v>51.095199999999998</v>
      </c>
      <c r="G299" s="28">
        <v>93.44</v>
      </c>
      <c r="H299" s="28">
        <v>33.69464</v>
      </c>
      <c r="I299" s="28">
        <v>36.668689999999998</v>
      </c>
      <c r="J299" s="29"/>
      <c r="K299" s="29"/>
      <c r="L299" s="29"/>
      <c r="M299" s="29"/>
      <c r="N299" s="29"/>
      <c r="P299" s="4">
        <f t="shared" si="20"/>
        <v>-2.0941205253425699E-4</v>
      </c>
      <c r="Q299" s="4">
        <f t="shared" si="20"/>
        <v>-2.1763083540968973E-3</v>
      </c>
      <c r="R299" s="4">
        <f t="shared" si="20"/>
        <v>3.3231525463505007E-3</v>
      </c>
      <c r="S299" s="4">
        <f t="shared" si="20"/>
        <v>8.3461433142419574E-3</v>
      </c>
      <c r="T299" s="4">
        <f t="shared" si="20"/>
        <v>6.2361455113802192E-4</v>
      </c>
      <c r="U299" s="35"/>
      <c r="V299" s="35"/>
      <c r="W299" s="35"/>
      <c r="X299" s="35"/>
    </row>
    <row r="300" spans="4:24" x14ac:dyDescent="0.3">
      <c r="D300" s="23">
        <v>40017</v>
      </c>
      <c r="E300" s="5">
        <v>74.096290999999994</v>
      </c>
      <c r="F300" s="28">
        <v>50.92492</v>
      </c>
      <c r="G300" s="28">
        <v>93.26</v>
      </c>
      <c r="H300" s="28">
        <v>34.438540000000003</v>
      </c>
      <c r="I300" s="28">
        <v>37.537939999999999</v>
      </c>
      <c r="J300" s="29"/>
      <c r="K300" s="29"/>
      <c r="L300" s="29"/>
      <c r="M300" s="29"/>
      <c r="N300" s="29"/>
      <c r="P300" s="4">
        <f t="shared" si="20"/>
        <v>2.1842379290330796E-2</v>
      </c>
      <c r="Q300" s="4">
        <f t="shared" si="20"/>
        <v>-3.338168159855963E-3</v>
      </c>
      <c r="R300" s="4">
        <f t="shared" si="20"/>
        <v>-1.9282276997420714E-3</v>
      </c>
      <c r="S300" s="4">
        <f t="shared" si="20"/>
        <v>2.1837511830808308E-2</v>
      </c>
      <c r="T300" s="4">
        <f t="shared" si="20"/>
        <v>2.3428897432444834E-2</v>
      </c>
      <c r="U300" s="35"/>
      <c r="V300" s="35"/>
      <c r="W300" s="35"/>
      <c r="X300" s="35"/>
    </row>
    <row r="301" spans="4:24" x14ac:dyDescent="0.3">
      <c r="D301" s="23">
        <v>40018</v>
      </c>
      <c r="E301" s="5">
        <v>74.399765000000002</v>
      </c>
      <c r="F301" s="28">
        <v>50.944589999999998</v>
      </c>
      <c r="G301" s="28">
        <v>93.41</v>
      </c>
      <c r="H301" s="28">
        <v>34.176000000000002</v>
      </c>
      <c r="I301" s="28">
        <v>37.659950000000002</v>
      </c>
      <c r="J301" s="29"/>
      <c r="K301" s="29"/>
      <c r="L301" s="29"/>
      <c r="M301" s="29"/>
      <c r="N301" s="29"/>
      <c r="P301" s="4">
        <f t="shared" si="20"/>
        <v>4.0873061637150734E-3</v>
      </c>
      <c r="Q301" s="4">
        <f t="shared" si="20"/>
        <v>3.8618032509350986E-4</v>
      </c>
      <c r="R301" s="4">
        <f t="shared" si="20"/>
        <v>1.6071145045825433E-3</v>
      </c>
      <c r="S301" s="4">
        <f t="shared" si="20"/>
        <v>-7.6526427564273733E-3</v>
      </c>
      <c r="T301" s="4">
        <f t="shared" si="20"/>
        <v>3.2450407070384107E-3</v>
      </c>
      <c r="U301" s="35"/>
      <c r="V301" s="35"/>
      <c r="W301" s="35"/>
      <c r="X301" s="35"/>
    </row>
    <row r="302" spans="4:24" x14ac:dyDescent="0.3">
      <c r="D302" s="23">
        <v>40021</v>
      </c>
      <c r="E302" s="5">
        <v>74.619781000000003</v>
      </c>
      <c r="F302" s="28">
        <v>50.879100000000001</v>
      </c>
      <c r="G302" s="28">
        <v>93.71</v>
      </c>
      <c r="H302" s="28">
        <v>34.438540000000003</v>
      </c>
      <c r="I302" s="28">
        <v>37.820070000000001</v>
      </c>
      <c r="J302" s="29"/>
      <c r="K302" s="29"/>
      <c r="L302" s="29"/>
      <c r="M302" s="29"/>
      <c r="N302" s="29"/>
      <c r="P302" s="4">
        <f t="shared" si="20"/>
        <v>2.9528496867897418E-3</v>
      </c>
      <c r="Q302" s="4">
        <f t="shared" si="20"/>
        <v>-1.2863413029007083E-3</v>
      </c>
      <c r="R302" s="4">
        <f t="shared" si="20"/>
        <v>3.2065012509748096E-3</v>
      </c>
      <c r="S302" s="4">
        <f t="shared" si="20"/>
        <v>7.6526427564274375E-3</v>
      </c>
      <c r="T302" s="4">
        <f t="shared" si="20"/>
        <v>4.2427185416416347E-3</v>
      </c>
      <c r="U302" s="35"/>
      <c r="V302" s="35"/>
      <c r="W302" s="35"/>
      <c r="X302" s="35"/>
    </row>
    <row r="303" spans="4:24" x14ac:dyDescent="0.3">
      <c r="D303" s="23">
        <v>40022</v>
      </c>
      <c r="E303" s="5">
        <v>74.270813000000004</v>
      </c>
      <c r="F303" s="28">
        <v>50.931469999999997</v>
      </c>
      <c r="G303" s="28">
        <v>92.11</v>
      </c>
      <c r="H303" s="28">
        <v>34.202249999999999</v>
      </c>
      <c r="I303" s="28">
        <v>37.728560000000002</v>
      </c>
      <c r="J303" s="29"/>
      <c r="K303" s="29"/>
      <c r="L303" s="29"/>
      <c r="M303" s="29"/>
      <c r="N303" s="29"/>
      <c r="P303" s="4">
        <f t="shared" si="20"/>
        <v>-4.6875847510201296E-3</v>
      </c>
      <c r="Q303" s="4">
        <f t="shared" si="20"/>
        <v>1.0287734292996082E-3</v>
      </c>
      <c r="R303" s="4">
        <f t="shared" si="20"/>
        <v>-1.7221392135588022E-2</v>
      </c>
      <c r="S303" s="4">
        <f t="shared" si="20"/>
        <v>-6.8848547159459641E-3</v>
      </c>
      <c r="T303" s="4">
        <f t="shared" si="20"/>
        <v>-2.4225467689877045E-3</v>
      </c>
      <c r="U303" s="35"/>
      <c r="V303" s="35"/>
      <c r="W303" s="35"/>
      <c r="X303" s="35"/>
    </row>
    <row r="304" spans="4:24" x14ac:dyDescent="0.3">
      <c r="D304" s="23">
        <v>40023</v>
      </c>
      <c r="E304" s="5">
        <v>74.088684000000001</v>
      </c>
      <c r="F304" s="28">
        <v>50.911859999999997</v>
      </c>
      <c r="G304" s="28">
        <v>91.2</v>
      </c>
      <c r="H304" s="28">
        <v>34.429810000000003</v>
      </c>
      <c r="I304" s="28">
        <v>37.545569999999998</v>
      </c>
      <c r="J304" s="29"/>
      <c r="K304" s="29"/>
      <c r="L304" s="29"/>
      <c r="M304" s="29"/>
      <c r="N304" s="29"/>
      <c r="P304" s="4">
        <f t="shared" si="20"/>
        <v>-2.4552400779918127E-3</v>
      </c>
      <c r="Q304" s="4">
        <f t="shared" si="20"/>
        <v>-3.8510131674513245E-4</v>
      </c>
      <c r="R304" s="4">
        <f t="shared" si="20"/>
        <v>-9.928617919858421E-3</v>
      </c>
      <c r="S304" s="4">
        <f t="shared" si="20"/>
        <v>6.631327513776532E-3</v>
      </c>
      <c r="T304" s="4">
        <f t="shared" si="20"/>
        <v>-4.8619721136982808E-3</v>
      </c>
      <c r="U304" s="35"/>
      <c r="V304" s="35"/>
      <c r="W304" s="35"/>
      <c r="X304" s="35"/>
    </row>
    <row r="305" spans="4:24" x14ac:dyDescent="0.3">
      <c r="D305" s="23">
        <v>40024</v>
      </c>
      <c r="E305" s="5">
        <v>74.862617</v>
      </c>
      <c r="F305" s="28">
        <v>51.141039999999997</v>
      </c>
      <c r="G305" s="28">
        <v>91.62</v>
      </c>
      <c r="H305" s="28">
        <v>34.631100000000004</v>
      </c>
      <c r="I305" s="28">
        <v>37.949689999999997</v>
      </c>
      <c r="J305" s="29"/>
      <c r="K305" s="29"/>
      <c r="L305" s="29"/>
      <c r="M305" s="29"/>
      <c r="N305" s="29"/>
      <c r="P305" s="4">
        <f t="shared" si="20"/>
        <v>1.0391852364927371E-2</v>
      </c>
      <c r="Q305" s="4">
        <f t="shared" si="20"/>
        <v>4.4914036791694383E-3</v>
      </c>
      <c r="R305" s="4">
        <f t="shared" si="20"/>
        <v>4.5946913783104035E-3</v>
      </c>
      <c r="S305" s="4">
        <f t="shared" si="20"/>
        <v>5.829363384022704E-3</v>
      </c>
      <c r="T305" s="4">
        <f t="shared" si="20"/>
        <v>1.0705939946857163E-2</v>
      </c>
      <c r="U305" s="35"/>
      <c r="V305" s="35"/>
      <c r="W305" s="35"/>
      <c r="X305" s="35"/>
    </row>
    <row r="306" spans="4:24" x14ac:dyDescent="0.3">
      <c r="D306" s="23">
        <v>40025</v>
      </c>
      <c r="E306" s="5">
        <v>74.968781000000007</v>
      </c>
      <c r="F306" s="28">
        <v>51.363680000000002</v>
      </c>
      <c r="G306" s="28">
        <v>93.35</v>
      </c>
      <c r="H306" s="28">
        <v>34.526060000000001</v>
      </c>
      <c r="I306" s="28">
        <v>38.0107</v>
      </c>
      <c r="J306" s="29"/>
      <c r="K306" s="29"/>
      <c r="L306" s="29"/>
      <c r="M306" s="29"/>
      <c r="N306" s="29"/>
      <c r="P306" s="4">
        <f t="shared" si="20"/>
        <v>1.4171130908974998E-3</v>
      </c>
      <c r="Q306" s="4">
        <f t="shared" si="20"/>
        <v>4.3440019173328357E-3</v>
      </c>
      <c r="R306" s="4">
        <f t="shared" si="20"/>
        <v>1.8706281529135362E-2</v>
      </c>
      <c r="S306" s="4">
        <f t="shared" si="20"/>
        <v>-3.0377210623905499E-3</v>
      </c>
      <c r="T306" s="4">
        <f t="shared" si="20"/>
        <v>1.6063638725185168E-3</v>
      </c>
      <c r="U306" s="35"/>
      <c r="V306" s="35"/>
      <c r="W306" s="35"/>
      <c r="X306" s="35"/>
    </row>
    <row r="307" spans="4:24" x14ac:dyDescent="0.3">
      <c r="D307" s="23">
        <v>40028</v>
      </c>
      <c r="E307" s="5">
        <v>76.205544000000003</v>
      </c>
      <c r="F307" s="28">
        <v>51.19943</v>
      </c>
      <c r="G307" s="28">
        <v>93.87</v>
      </c>
      <c r="H307" s="28">
        <v>35.04242</v>
      </c>
      <c r="I307" s="28">
        <v>38.651209999999999</v>
      </c>
      <c r="J307" s="29"/>
      <c r="K307" s="29"/>
      <c r="L307" s="29"/>
      <c r="M307" s="29"/>
      <c r="N307" s="29"/>
      <c r="P307" s="4">
        <f t="shared" si="20"/>
        <v>1.6362442406019893E-2</v>
      </c>
      <c r="Q307" s="4">
        <f t="shared" si="20"/>
        <v>-3.2029087342398178E-3</v>
      </c>
      <c r="R307" s="4">
        <f t="shared" si="20"/>
        <v>5.5549763611690544E-3</v>
      </c>
      <c r="S307" s="4">
        <f t="shared" si="20"/>
        <v>1.4844926396708156E-2</v>
      </c>
      <c r="T307" s="4">
        <f t="shared" si="20"/>
        <v>1.6710382103218416E-2</v>
      </c>
      <c r="U307" s="35"/>
      <c r="V307" s="35"/>
      <c r="W307" s="35"/>
      <c r="X307" s="35"/>
    </row>
    <row r="308" spans="4:24" x14ac:dyDescent="0.3">
      <c r="D308" s="23">
        <v>40029</v>
      </c>
      <c r="E308" s="5">
        <v>76.402778999999995</v>
      </c>
      <c r="F308" s="28">
        <v>51.153440000000003</v>
      </c>
      <c r="G308" s="28">
        <v>94.68</v>
      </c>
      <c r="H308" s="28">
        <v>35.04242</v>
      </c>
      <c r="I308" s="28">
        <v>38.79609</v>
      </c>
      <c r="J308" s="29"/>
      <c r="K308" s="29"/>
      <c r="L308" s="29"/>
      <c r="M308" s="29"/>
      <c r="N308" s="29"/>
      <c r="P308" s="4">
        <f t="shared" si="20"/>
        <v>2.5848539049641781E-3</v>
      </c>
      <c r="Q308" s="4">
        <f t="shared" si="20"/>
        <v>-8.9865585781924299E-4</v>
      </c>
      <c r="R308" s="4">
        <f t="shared" si="20"/>
        <v>8.5919382968828537E-3</v>
      </c>
      <c r="S308" s="4">
        <f t="shared" si="20"/>
        <v>0</v>
      </c>
      <c r="T308" s="4">
        <f t="shared" si="20"/>
        <v>3.7413872143308591E-3</v>
      </c>
      <c r="U308" s="35"/>
      <c r="V308" s="35"/>
      <c r="W308" s="35"/>
      <c r="X308" s="35"/>
    </row>
    <row r="309" spans="4:24" x14ac:dyDescent="0.3">
      <c r="D309" s="23">
        <v>40030</v>
      </c>
      <c r="E309" s="5">
        <v>76.182738999999998</v>
      </c>
      <c r="F309" s="28">
        <v>51.035150000000002</v>
      </c>
      <c r="G309" s="28">
        <v>94.78</v>
      </c>
      <c r="H309" s="28">
        <v>34.771129999999999</v>
      </c>
      <c r="I309" s="28">
        <v>38.704590000000003</v>
      </c>
      <c r="J309" s="29"/>
      <c r="K309" s="29"/>
      <c r="L309" s="29"/>
      <c r="M309" s="29"/>
      <c r="N309" s="29"/>
      <c r="P309" s="4">
        <f t="shared" ref="P309:T324" si="21">LN(E309/E308)</f>
        <v>-2.8841551336582123E-3</v>
      </c>
      <c r="Q309" s="4">
        <f t="shared" si="21"/>
        <v>-2.3151323026298159E-3</v>
      </c>
      <c r="R309" s="4">
        <f t="shared" si="21"/>
        <v>1.0556318936590209E-3</v>
      </c>
      <c r="S309" s="4">
        <f t="shared" si="21"/>
        <v>-7.7718828376589161E-3</v>
      </c>
      <c r="T309" s="4">
        <f t="shared" si="21"/>
        <v>-2.3612707014683872E-3</v>
      </c>
      <c r="U309" s="35"/>
      <c r="V309" s="35"/>
      <c r="W309" s="35"/>
      <c r="X309" s="35"/>
    </row>
    <row r="310" spans="4:24" x14ac:dyDescent="0.3">
      <c r="D310" s="23">
        <v>40031</v>
      </c>
      <c r="E310" s="5">
        <v>75.788207999999997</v>
      </c>
      <c r="F310" s="28">
        <v>51.068019999999997</v>
      </c>
      <c r="G310" s="28">
        <v>94.6</v>
      </c>
      <c r="H310" s="28">
        <v>34.46481</v>
      </c>
      <c r="I310" s="28">
        <v>38.4377</v>
      </c>
      <c r="J310" s="29"/>
      <c r="K310" s="29"/>
      <c r="L310" s="29"/>
      <c r="M310" s="29"/>
      <c r="N310" s="29"/>
      <c r="P310" s="4">
        <f t="shared" si="21"/>
        <v>-5.1922014586764827E-3</v>
      </c>
      <c r="Q310" s="4">
        <f t="shared" si="21"/>
        <v>6.4385858216802361E-4</v>
      </c>
      <c r="R310" s="4">
        <f t="shared" si="21"/>
        <v>-1.9009404816097322E-3</v>
      </c>
      <c r="S310" s="4">
        <f t="shared" si="21"/>
        <v>-8.8486412893618947E-3</v>
      </c>
      <c r="T310" s="4">
        <f t="shared" si="21"/>
        <v>-6.9194488486911815E-3</v>
      </c>
      <c r="U310" s="35"/>
      <c r="V310" s="35"/>
      <c r="W310" s="35"/>
      <c r="X310" s="35"/>
    </row>
    <row r="311" spans="4:24" x14ac:dyDescent="0.3">
      <c r="D311" s="23">
        <v>40032</v>
      </c>
      <c r="E311" s="5">
        <v>76.782134999999997</v>
      </c>
      <c r="F311" s="28">
        <v>50.713250000000002</v>
      </c>
      <c r="G311" s="28">
        <v>93.75</v>
      </c>
      <c r="H311" s="28">
        <v>34.9024</v>
      </c>
      <c r="I311" s="28">
        <v>38.97907</v>
      </c>
      <c r="J311" s="29"/>
      <c r="K311" s="29"/>
      <c r="L311" s="29"/>
      <c r="M311" s="29"/>
      <c r="N311" s="29"/>
      <c r="P311" s="4">
        <f t="shared" si="21"/>
        <v>1.3029282642392724E-2</v>
      </c>
      <c r="Q311" s="4">
        <f t="shared" si="21"/>
        <v>-6.9712519163624073E-3</v>
      </c>
      <c r="R311" s="4">
        <f t="shared" si="21"/>
        <v>-9.0258112073123304E-3</v>
      </c>
      <c r="S311" s="4">
        <f t="shared" si="21"/>
        <v>1.2616791268979495E-2</v>
      </c>
      <c r="T311" s="4">
        <f t="shared" si="21"/>
        <v>1.3986086600649126E-2</v>
      </c>
      <c r="U311" s="35"/>
      <c r="V311" s="35"/>
      <c r="W311" s="35"/>
      <c r="X311" s="35"/>
    </row>
    <row r="312" spans="4:24" x14ac:dyDescent="0.3">
      <c r="D312" s="23">
        <v>40035</v>
      </c>
      <c r="E312" s="5">
        <v>76.622810000000001</v>
      </c>
      <c r="F312" s="28">
        <v>51.127139999999997</v>
      </c>
      <c r="G312" s="28">
        <v>92.93</v>
      </c>
      <c r="H312" s="28">
        <v>34.657350000000001</v>
      </c>
      <c r="I312" s="28">
        <v>38.887590000000003</v>
      </c>
      <c r="J312" s="29"/>
      <c r="K312" s="29"/>
      <c r="L312" s="29"/>
      <c r="M312" s="29"/>
      <c r="N312" s="29"/>
      <c r="P312" s="4">
        <f t="shared" si="21"/>
        <v>-2.0771828090218234E-3</v>
      </c>
      <c r="Q312" s="4">
        <f t="shared" si="21"/>
        <v>8.1282540012968026E-3</v>
      </c>
      <c r="R312" s="4">
        <f t="shared" si="21"/>
        <v>-8.7851432812721519E-3</v>
      </c>
      <c r="S312" s="4">
        <f t="shared" si="21"/>
        <v>-7.0457703987765845E-3</v>
      </c>
      <c r="T312" s="4">
        <f t="shared" si="21"/>
        <v>-2.3496588164338616E-3</v>
      </c>
      <c r="U312" s="35"/>
      <c r="V312" s="35"/>
      <c r="W312" s="35"/>
      <c r="X312" s="35"/>
    </row>
    <row r="313" spans="4:24" x14ac:dyDescent="0.3">
      <c r="D313" s="23">
        <v>40036</v>
      </c>
      <c r="E313" s="5">
        <v>75.666824000000005</v>
      </c>
      <c r="F313" s="28">
        <v>51.225729999999999</v>
      </c>
      <c r="G313" s="28">
        <v>92.79</v>
      </c>
      <c r="H313" s="28">
        <v>34.359769999999997</v>
      </c>
      <c r="I313" s="28">
        <v>38.384329999999999</v>
      </c>
      <c r="J313" s="29"/>
      <c r="K313" s="29"/>
      <c r="L313" s="29"/>
      <c r="M313" s="29"/>
      <c r="N313" s="29"/>
      <c r="P313" s="4">
        <f t="shared" si="21"/>
        <v>-1.255500499124472E-2</v>
      </c>
      <c r="Q313" s="4">
        <f t="shared" si="21"/>
        <v>1.9264731998509109E-3</v>
      </c>
      <c r="R313" s="4">
        <f t="shared" si="21"/>
        <v>-1.5076462041600052E-3</v>
      </c>
      <c r="S313" s="4">
        <f t="shared" si="21"/>
        <v>-8.6234210898942874E-3</v>
      </c>
      <c r="T313" s="4">
        <f t="shared" si="21"/>
        <v>-1.302587319684397E-2</v>
      </c>
      <c r="U313" s="35"/>
      <c r="V313" s="35"/>
      <c r="W313" s="35"/>
      <c r="X313" s="35"/>
    </row>
    <row r="314" spans="4:24" x14ac:dyDescent="0.3">
      <c r="D314" s="23">
        <v>40037</v>
      </c>
      <c r="E314" s="5">
        <v>76.478645</v>
      </c>
      <c r="F314" s="28">
        <v>51.192839999999997</v>
      </c>
      <c r="G314" s="28">
        <v>92.95</v>
      </c>
      <c r="H314" s="28">
        <v>34.893650000000001</v>
      </c>
      <c r="I314" s="28">
        <v>38.80368</v>
      </c>
      <c r="J314" s="29"/>
      <c r="K314" s="29"/>
      <c r="L314" s="29"/>
      <c r="M314" s="29"/>
      <c r="N314" s="29"/>
      <c r="P314" s="4">
        <f t="shared" si="21"/>
        <v>1.067174342970233E-2</v>
      </c>
      <c r="Q314" s="4">
        <f t="shared" si="21"/>
        <v>-6.4226636108295136E-4</v>
      </c>
      <c r="R314" s="4">
        <f t="shared" si="21"/>
        <v>1.7228388023651149E-3</v>
      </c>
      <c r="S314" s="4">
        <f t="shared" si="21"/>
        <v>1.5418460966074368E-2</v>
      </c>
      <c r="T314" s="4">
        <f t="shared" si="21"/>
        <v>1.0865784099912028E-2</v>
      </c>
      <c r="U314" s="35"/>
      <c r="V314" s="35"/>
      <c r="W314" s="35"/>
      <c r="X314" s="35"/>
    </row>
    <row r="315" spans="4:24" x14ac:dyDescent="0.3">
      <c r="D315" s="23">
        <v>40038</v>
      </c>
      <c r="E315" s="5">
        <v>77.062881000000004</v>
      </c>
      <c r="F315" s="28">
        <v>51.324260000000002</v>
      </c>
      <c r="G315" s="28">
        <v>93.72</v>
      </c>
      <c r="H315" s="28">
        <v>35.086190000000002</v>
      </c>
      <c r="I315" s="28">
        <v>39.146810000000002</v>
      </c>
      <c r="J315" s="29"/>
      <c r="K315" s="29"/>
      <c r="L315" s="29"/>
      <c r="M315" s="29"/>
      <c r="N315" s="29"/>
      <c r="P315" s="4">
        <f t="shared" si="21"/>
        <v>7.6101734152829595E-3</v>
      </c>
      <c r="Q315" s="4">
        <f t="shared" si="21"/>
        <v>2.5638663596570348E-3</v>
      </c>
      <c r="R315" s="4">
        <f t="shared" si="21"/>
        <v>8.2498994721418393E-3</v>
      </c>
      <c r="S315" s="4">
        <f t="shared" si="21"/>
        <v>5.5027415279883113E-3</v>
      </c>
      <c r="T315" s="4">
        <f t="shared" si="21"/>
        <v>8.8038501430187672E-3</v>
      </c>
      <c r="U315" s="35"/>
      <c r="V315" s="35"/>
      <c r="W315" s="35"/>
      <c r="X315" s="35"/>
    </row>
    <row r="316" spans="4:24" x14ac:dyDescent="0.3">
      <c r="D316" s="23">
        <v>40039</v>
      </c>
      <c r="E316" s="5">
        <v>76.471053999999995</v>
      </c>
      <c r="F316" s="28">
        <v>51.48198</v>
      </c>
      <c r="G316" s="28">
        <v>93</v>
      </c>
      <c r="H316" s="28">
        <v>34.683619999999998</v>
      </c>
      <c r="I316" s="28">
        <v>38.788429999999998</v>
      </c>
      <c r="J316" s="29"/>
      <c r="K316" s="29"/>
      <c r="L316" s="29"/>
      <c r="M316" s="29"/>
      <c r="N316" s="29"/>
      <c r="P316" s="4">
        <f t="shared" si="21"/>
        <v>-7.7094348071767745E-3</v>
      </c>
      <c r="Q316" s="4">
        <f t="shared" si="21"/>
        <v>3.0682986506912736E-3</v>
      </c>
      <c r="R316" s="4">
        <f t="shared" si="21"/>
        <v>-7.712120486338919E-3</v>
      </c>
      <c r="S316" s="4">
        <f t="shared" si="21"/>
        <v>-1.1540076363213973E-2</v>
      </c>
      <c r="T316" s="4">
        <f t="shared" si="21"/>
        <v>-9.1969313518262923E-3</v>
      </c>
      <c r="U316" s="35"/>
      <c r="V316" s="35"/>
      <c r="W316" s="35"/>
      <c r="X316" s="35"/>
    </row>
    <row r="317" spans="4:24" x14ac:dyDescent="0.3">
      <c r="D317" s="23">
        <v>40042</v>
      </c>
      <c r="E317" s="5">
        <v>74.589470000000006</v>
      </c>
      <c r="F317" s="28">
        <v>51.626469999999998</v>
      </c>
      <c r="G317" s="28">
        <v>91.61</v>
      </c>
      <c r="H317" s="28">
        <v>33.677140000000001</v>
      </c>
      <c r="I317" s="28">
        <v>37.781930000000003</v>
      </c>
      <c r="J317" s="29"/>
      <c r="K317" s="29"/>
      <c r="L317" s="29"/>
      <c r="M317" s="29"/>
      <c r="N317" s="29"/>
      <c r="P317" s="4">
        <f t="shared" si="21"/>
        <v>-2.4912945712388369E-2</v>
      </c>
      <c r="Q317" s="4">
        <f t="shared" si="21"/>
        <v>2.8026819253135662E-3</v>
      </c>
      <c r="R317" s="4">
        <f t="shared" si="21"/>
        <v>-1.5059057126138602E-2</v>
      </c>
      <c r="S317" s="4">
        <f t="shared" si="21"/>
        <v>-2.9448260490587637E-2</v>
      </c>
      <c r="T317" s="4">
        <f t="shared" si="21"/>
        <v>-2.6291060284870001E-2</v>
      </c>
      <c r="U317" s="35"/>
      <c r="V317" s="35"/>
      <c r="W317" s="35"/>
      <c r="X317" s="35"/>
    </row>
    <row r="318" spans="4:24" x14ac:dyDescent="0.3">
      <c r="D318" s="23">
        <v>40043</v>
      </c>
      <c r="E318" s="5">
        <v>75.181229000000002</v>
      </c>
      <c r="F318" s="28">
        <v>51.554180000000002</v>
      </c>
      <c r="G318" s="28">
        <v>92.06</v>
      </c>
      <c r="H318" s="28">
        <v>34.15849</v>
      </c>
      <c r="I318" s="28">
        <v>38.178440000000002</v>
      </c>
      <c r="J318" s="29"/>
      <c r="K318" s="29"/>
      <c r="L318" s="29"/>
      <c r="M318" s="29"/>
      <c r="N318" s="29"/>
      <c r="P318" s="4">
        <f t="shared" si="21"/>
        <v>7.902241003536278E-3</v>
      </c>
      <c r="Q318" s="4">
        <f t="shared" si="21"/>
        <v>-1.4012319524668363E-3</v>
      </c>
      <c r="R318" s="4">
        <f t="shared" si="21"/>
        <v>4.9001023619780456E-3</v>
      </c>
      <c r="S318" s="4">
        <f t="shared" si="21"/>
        <v>1.4191895292405166E-2</v>
      </c>
      <c r="T318" s="4">
        <f t="shared" si="21"/>
        <v>1.0440012375480003E-2</v>
      </c>
      <c r="U318" s="35"/>
      <c r="V318" s="35"/>
      <c r="W318" s="35"/>
      <c r="X318" s="35"/>
    </row>
    <row r="319" spans="4:24" x14ac:dyDescent="0.3">
      <c r="D319" s="23">
        <v>40044</v>
      </c>
      <c r="E319" s="5">
        <v>75.841353999999995</v>
      </c>
      <c r="F319" s="28">
        <v>51.613320000000002</v>
      </c>
      <c r="G319" s="28">
        <v>92.53</v>
      </c>
      <c r="H319" s="28">
        <v>34.394799999999996</v>
      </c>
      <c r="I319" s="28">
        <v>38.506329999999998</v>
      </c>
      <c r="J319" s="29"/>
      <c r="K319" s="29"/>
      <c r="L319" s="29"/>
      <c r="M319" s="29"/>
      <c r="N319" s="29"/>
      <c r="P319" s="4">
        <f t="shared" si="21"/>
        <v>8.7421257276820534E-3</v>
      </c>
      <c r="Q319" s="4">
        <f t="shared" si="21"/>
        <v>1.1464852105157873E-3</v>
      </c>
      <c r="R319" s="4">
        <f t="shared" si="21"/>
        <v>5.0923778718434155E-3</v>
      </c>
      <c r="S319" s="4">
        <f t="shared" si="21"/>
        <v>6.8942259661265871E-3</v>
      </c>
      <c r="T319" s="4">
        <f t="shared" si="21"/>
        <v>8.5516849890748328E-3</v>
      </c>
      <c r="U319" s="35"/>
      <c r="V319" s="35"/>
      <c r="W319" s="35"/>
      <c r="X319" s="35"/>
    </row>
    <row r="320" spans="4:24" x14ac:dyDescent="0.3">
      <c r="D320" s="23">
        <v>40045</v>
      </c>
      <c r="E320" s="5">
        <v>76.622810000000001</v>
      </c>
      <c r="F320" s="28">
        <v>51.68562</v>
      </c>
      <c r="G320" s="28">
        <v>92.27</v>
      </c>
      <c r="H320" s="28">
        <v>34.797379999999997</v>
      </c>
      <c r="I320" s="28">
        <v>38.872340000000001</v>
      </c>
      <c r="J320" s="29"/>
      <c r="K320" s="29"/>
      <c r="L320" s="29"/>
      <c r="M320" s="29"/>
      <c r="N320" s="29"/>
      <c r="P320" s="4">
        <f t="shared" si="21"/>
        <v>1.0251101934606009E-2</v>
      </c>
      <c r="Q320" s="4">
        <f t="shared" si="21"/>
        <v>1.399820981821954E-3</v>
      </c>
      <c r="R320" s="4">
        <f t="shared" si="21"/>
        <v>-2.8138546704744669E-3</v>
      </c>
      <c r="S320" s="4">
        <f t="shared" si="21"/>
        <v>1.1636706427462767E-2</v>
      </c>
      <c r="T320" s="4">
        <f t="shared" si="21"/>
        <v>9.4603003576472812E-3</v>
      </c>
      <c r="U320" s="35"/>
      <c r="V320" s="35"/>
      <c r="W320" s="35"/>
      <c r="X320" s="35"/>
    </row>
    <row r="321" spans="4:24" x14ac:dyDescent="0.3">
      <c r="D321" s="23">
        <v>40046</v>
      </c>
      <c r="E321" s="5">
        <v>78.125052999999994</v>
      </c>
      <c r="F321" s="28">
        <v>51.521320000000003</v>
      </c>
      <c r="G321" s="28">
        <v>93.65</v>
      </c>
      <c r="H321" s="28">
        <v>35.261229999999998</v>
      </c>
      <c r="I321" s="28">
        <v>39.596699999999998</v>
      </c>
      <c r="J321" s="29"/>
      <c r="K321" s="29"/>
      <c r="L321" s="29"/>
      <c r="M321" s="29"/>
      <c r="N321" s="29"/>
      <c r="P321" s="4">
        <f t="shared" si="21"/>
        <v>1.9415973358805128E-2</v>
      </c>
      <c r="Q321" s="4">
        <f t="shared" si="21"/>
        <v>-3.1838971060501654E-3</v>
      </c>
      <c r="R321" s="4">
        <f t="shared" si="21"/>
        <v>1.4845367299633115E-2</v>
      </c>
      <c r="S321" s="4">
        <f t="shared" si="21"/>
        <v>1.3241963492359971E-2</v>
      </c>
      <c r="T321" s="4">
        <f t="shared" si="21"/>
        <v>1.8462837733645782E-2</v>
      </c>
      <c r="U321" s="35"/>
      <c r="V321" s="35"/>
      <c r="W321" s="35"/>
      <c r="X321" s="35"/>
    </row>
    <row r="322" spans="4:24" x14ac:dyDescent="0.3">
      <c r="D322" s="23">
        <v>40049</v>
      </c>
      <c r="E322" s="5">
        <v>78.117485000000002</v>
      </c>
      <c r="F322" s="28">
        <v>51.61992</v>
      </c>
      <c r="G322" s="28">
        <v>92.34</v>
      </c>
      <c r="H322" s="28">
        <v>35.226199999999999</v>
      </c>
      <c r="I322" s="28">
        <v>39.650080000000003</v>
      </c>
      <c r="J322" s="29"/>
      <c r="K322" s="29"/>
      <c r="L322" s="29"/>
      <c r="M322" s="29"/>
      <c r="N322" s="29"/>
      <c r="P322" s="4">
        <f t="shared" si="21"/>
        <v>-9.6875026516932364E-5</v>
      </c>
      <c r="Q322" s="4">
        <f t="shared" si="21"/>
        <v>1.9119419164672854E-3</v>
      </c>
      <c r="R322" s="4">
        <f t="shared" si="21"/>
        <v>-1.408701181125469E-2</v>
      </c>
      <c r="S322" s="4">
        <f t="shared" si="21"/>
        <v>-9.9393616376343701E-4</v>
      </c>
      <c r="T322" s="4">
        <f t="shared" si="21"/>
        <v>1.347184278611879E-3</v>
      </c>
      <c r="U322" s="35"/>
      <c r="V322" s="35"/>
      <c r="W322" s="35"/>
      <c r="X322" s="35"/>
    </row>
    <row r="323" spans="4:24" x14ac:dyDescent="0.3">
      <c r="D323" s="23">
        <v>40050</v>
      </c>
      <c r="E323" s="5">
        <v>78.269203000000005</v>
      </c>
      <c r="F323" s="28">
        <v>51.705309999999997</v>
      </c>
      <c r="G323" s="28">
        <v>92.76</v>
      </c>
      <c r="H323" s="28">
        <v>35.331229999999998</v>
      </c>
      <c r="I323" s="28">
        <v>39.726320000000001</v>
      </c>
      <c r="J323" s="29"/>
      <c r="K323" s="29"/>
      <c r="L323" s="29"/>
      <c r="M323" s="29"/>
      <c r="N323" s="29"/>
      <c r="P323" s="4">
        <f t="shared" si="21"/>
        <v>1.9402936341770829E-3</v>
      </c>
      <c r="Q323" s="4">
        <f t="shared" si="21"/>
        <v>1.6528396682900235E-3</v>
      </c>
      <c r="R323" s="4">
        <f t="shared" si="21"/>
        <v>4.5380953084881003E-3</v>
      </c>
      <c r="S323" s="4">
        <f t="shared" si="21"/>
        <v>2.9771514517229246E-3</v>
      </c>
      <c r="T323" s="4">
        <f t="shared" si="21"/>
        <v>1.9209745829921593E-3</v>
      </c>
      <c r="U323" s="35"/>
      <c r="V323" s="35"/>
      <c r="W323" s="35"/>
      <c r="X323" s="35"/>
    </row>
    <row r="324" spans="4:24" x14ac:dyDescent="0.3">
      <c r="D324" s="23">
        <v>40051</v>
      </c>
      <c r="E324" s="5">
        <v>78.276786999999999</v>
      </c>
      <c r="F324" s="28">
        <v>51.738129999999998</v>
      </c>
      <c r="G324" s="28">
        <v>92.79</v>
      </c>
      <c r="H324" s="28">
        <v>35.269979999999997</v>
      </c>
      <c r="I324" s="28">
        <v>39.695830000000001</v>
      </c>
      <c r="J324" s="29"/>
      <c r="K324" s="29"/>
      <c r="L324" s="29"/>
      <c r="M324" s="29"/>
      <c r="N324" s="29"/>
      <c r="P324" s="4">
        <f t="shared" si="21"/>
        <v>9.6891654726124774E-5</v>
      </c>
      <c r="Q324" s="4">
        <f t="shared" si="21"/>
        <v>6.3454968437345492E-4</v>
      </c>
      <c r="R324" s="4">
        <f t="shared" si="21"/>
        <v>3.2336297775704053E-4</v>
      </c>
      <c r="S324" s="4">
        <f t="shared" si="21"/>
        <v>-1.7350981765448096E-3</v>
      </c>
      <c r="T324" s="4">
        <f t="shared" si="21"/>
        <v>-7.6779592337525673E-4</v>
      </c>
      <c r="U324" s="35"/>
      <c r="V324" s="35"/>
      <c r="W324" s="35"/>
      <c r="X324" s="35"/>
    </row>
    <row r="325" spans="4:24" x14ac:dyDescent="0.3">
      <c r="D325" s="23">
        <v>40052</v>
      </c>
      <c r="E325" s="5">
        <v>78.451308999999995</v>
      </c>
      <c r="F325" s="28">
        <v>51.679040000000001</v>
      </c>
      <c r="G325" s="28">
        <v>93.19</v>
      </c>
      <c r="H325" s="28">
        <v>35.357500000000002</v>
      </c>
      <c r="I325" s="28">
        <v>39.833069999999999</v>
      </c>
      <c r="J325" s="29"/>
      <c r="K325" s="29"/>
      <c r="L325" s="29"/>
      <c r="M325" s="29"/>
      <c r="N325" s="29"/>
      <c r="P325" s="4">
        <f t="shared" ref="P325:T340" si="22">LN(E325/E324)</f>
        <v>2.2270681082390848E-3</v>
      </c>
      <c r="Q325" s="4">
        <f t="shared" si="22"/>
        <v>-1.1427504046060974E-3</v>
      </c>
      <c r="R325" s="4">
        <f t="shared" si="22"/>
        <v>4.3015444324760385E-3</v>
      </c>
      <c r="S325" s="4">
        <f t="shared" si="22"/>
        <v>2.4783567188717357E-3</v>
      </c>
      <c r="T325" s="4">
        <f t="shared" si="22"/>
        <v>3.4513274100275203E-3</v>
      </c>
      <c r="U325" s="35"/>
      <c r="V325" s="35"/>
      <c r="W325" s="35"/>
      <c r="X325" s="35"/>
    </row>
    <row r="326" spans="4:24" x14ac:dyDescent="0.3">
      <c r="D326" s="23">
        <v>40053</v>
      </c>
      <c r="E326" s="5">
        <v>78.436142000000004</v>
      </c>
      <c r="F326" s="28">
        <v>51.784100000000002</v>
      </c>
      <c r="G326" s="28">
        <v>93.87</v>
      </c>
      <c r="H326" s="28">
        <v>35.392510000000001</v>
      </c>
      <c r="I326" s="28">
        <v>39.802579999999999</v>
      </c>
      <c r="J326" s="29"/>
      <c r="K326" s="29"/>
      <c r="L326" s="29"/>
      <c r="M326" s="29"/>
      <c r="N326" s="29"/>
      <c r="P326" s="4">
        <f t="shared" si="22"/>
        <v>-1.9334879814249378E-4</v>
      </c>
      <c r="Q326" s="4">
        <f t="shared" si="22"/>
        <v>2.030868889333317E-3</v>
      </c>
      <c r="R326" s="4">
        <f t="shared" si="22"/>
        <v>7.2704265513364565E-3</v>
      </c>
      <c r="S326" s="4">
        <f t="shared" si="22"/>
        <v>9.8968191969448687E-4</v>
      </c>
      <c r="T326" s="4">
        <f t="shared" si="22"/>
        <v>-7.6573749294012389E-4</v>
      </c>
      <c r="U326" s="35"/>
      <c r="V326" s="35"/>
      <c r="W326" s="35"/>
      <c r="X326" s="35"/>
    </row>
    <row r="327" spans="4:24" x14ac:dyDescent="0.3">
      <c r="D327" s="23">
        <v>40056</v>
      </c>
      <c r="E327" s="5">
        <v>77.738121000000007</v>
      </c>
      <c r="F327" s="28">
        <v>51.882719999999999</v>
      </c>
      <c r="G327" s="28">
        <v>93.4</v>
      </c>
      <c r="H327" s="28">
        <v>35.033670000000001</v>
      </c>
      <c r="I327" s="28">
        <v>39.421320000000001</v>
      </c>
      <c r="J327" s="29"/>
      <c r="K327" s="29"/>
      <c r="L327" s="29"/>
      <c r="M327" s="29"/>
      <c r="N327" s="29"/>
      <c r="P327" s="4">
        <f t="shared" si="22"/>
        <v>-8.9390612081419688E-3</v>
      </c>
      <c r="Q327" s="4">
        <f t="shared" si="22"/>
        <v>1.90263441572734E-3</v>
      </c>
      <c r="R327" s="4">
        <f t="shared" si="22"/>
        <v>-5.0195011141035252E-3</v>
      </c>
      <c r="S327" s="4">
        <f t="shared" si="22"/>
        <v>-1.0190616768253596E-2</v>
      </c>
      <c r="T327" s="4">
        <f t="shared" si="22"/>
        <v>-9.6249476057217089E-3</v>
      </c>
      <c r="U327" s="35"/>
      <c r="V327" s="35"/>
      <c r="W327" s="35"/>
      <c r="X327" s="35"/>
    </row>
    <row r="328" spans="4:24" x14ac:dyDescent="0.3">
      <c r="D328" s="23">
        <v>40057</v>
      </c>
      <c r="E328" s="5">
        <v>76.023398999999998</v>
      </c>
      <c r="F328" s="28">
        <v>51.942680000000003</v>
      </c>
      <c r="G328" s="28">
        <v>93.9</v>
      </c>
      <c r="H328" s="28">
        <v>34.377279999999999</v>
      </c>
      <c r="I328" s="28">
        <v>38.552059999999997</v>
      </c>
      <c r="J328" s="29"/>
      <c r="K328" s="29"/>
      <c r="L328" s="29"/>
      <c r="M328" s="29"/>
      <c r="N328" s="29"/>
      <c r="P328" s="4">
        <f t="shared" si="22"/>
        <v>-2.2304580341205502E-2</v>
      </c>
      <c r="Q328" s="4">
        <f t="shared" si="22"/>
        <v>1.1550161456804935E-3</v>
      </c>
      <c r="R328" s="4">
        <f t="shared" si="22"/>
        <v>5.3390409794203276E-3</v>
      </c>
      <c r="S328" s="4">
        <f t="shared" si="22"/>
        <v>-1.8913718004052532E-2</v>
      </c>
      <c r="T328" s="4">
        <f t="shared" si="22"/>
        <v>-2.2297251027970845E-2</v>
      </c>
      <c r="U328" s="35"/>
      <c r="V328" s="35"/>
      <c r="W328" s="35"/>
      <c r="X328" s="35"/>
    </row>
    <row r="329" spans="4:24" x14ac:dyDescent="0.3">
      <c r="D329" s="23">
        <v>40058</v>
      </c>
      <c r="E329" s="5">
        <v>75.735114999999993</v>
      </c>
      <c r="F329" s="28">
        <v>52.054760000000002</v>
      </c>
      <c r="G329" s="28">
        <v>96.19</v>
      </c>
      <c r="H329" s="28">
        <v>34.351050000000001</v>
      </c>
      <c r="I329" s="28">
        <v>38.391959999999997</v>
      </c>
      <c r="J329" s="29"/>
      <c r="K329" s="29"/>
      <c r="L329" s="29"/>
      <c r="M329" s="29"/>
      <c r="N329" s="29"/>
      <c r="P329" s="4">
        <f t="shared" si="22"/>
        <v>-3.7992510491364072E-3</v>
      </c>
      <c r="Q329" s="4">
        <f t="shared" si="22"/>
        <v>2.1554385068102604E-3</v>
      </c>
      <c r="R329" s="4">
        <f t="shared" si="22"/>
        <v>2.4095015950306792E-2</v>
      </c>
      <c r="S329" s="4">
        <f t="shared" si="22"/>
        <v>-7.6329517314055223E-4</v>
      </c>
      <c r="T329" s="4">
        <f t="shared" si="22"/>
        <v>-4.1614730046341877E-3</v>
      </c>
      <c r="U329" s="35"/>
      <c r="V329" s="35"/>
      <c r="W329" s="35"/>
      <c r="X329" s="35"/>
    </row>
    <row r="330" spans="4:24" x14ac:dyDescent="0.3">
      <c r="D330" s="23">
        <v>40059</v>
      </c>
      <c r="E330" s="5">
        <v>76.364814999999993</v>
      </c>
      <c r="F330" s="28">
        <v>51.962490000000003</v>
      </c>
      <c r="G330" s="28">
        <v>97.46</v>
      </c>
      <c r="H330" s="28">
        <v>34.578569999999999</v>
      </c>
      <c r="I330" s="28">
        <v>38.742690000000003</v>
      </c>
      <c r="J330" s="29"/>
      <c r="K330" s="29"/>
      <c r="L330" s="29"/>
      <c r="M330" s="29"/>
      <c r="N330" s="29"/>
      <c r="P330" s="4">
        <f t="shared" si="22"/>
        <v>8.2801300133524703E-3</v>
      </c>
      <c r="Q330" s="4">
        <f t="shared" si="22"/>
        <v>-1.7741292757099179E-3</v>
      </c>
      <c r="R330" s="4">
        <f t="shared" si="22"/>
        <v>1.311663525083593E-2</v>
      </c>
      <c r="S330" s="4">
        <f t="shared" si="22"/>
        <v>6.6015401298454169E-3</v>
      </c>
      <c r="T330" s="4">
        <f t="shared" si="22"/>
        <v>9.0940301706534891E-3</v>
      </c>
      <c r="U330" s="35"/>
      <c r="V330" s="35"/>
      <c r="W330" s="35"/>
      <c r="X330" s="35"/>
    </row>
    <row r="331" spans="4:24" x14ac:dyDescent="0.3">
      <c r="D331" s="23">
        <v>40060</v>
      </c>
      <c r="E331" s="5">
        <v>77.434616000000005</v>
      </c>
      <c r="F331" s="28">
        <v>51.909689999999998</v>
      </c>
      <c r="G331" s="28">
        <v>97.53</v>
      </c>
      <c r="H331" s="28">
        <v>35.322479999999999</v>
      </c>
      <c r="I331" s="28">
        <v>39.238320000000002</v>
      </c>
      <c r="J331" s="29"/>
      <c r="K331" s="29"/>
      <c r="L331" s="29"/>
      <c r="M331" s="29"/>
      <c r="N331" s="29"/>
      <c r="P331" s="4">
        <f t="shared" si="22"/>
        <v>1.3911862314285647E-2</v>
      </c>
      <c r="Q331" s="4">
        <f t="shared" si="22"/>
        <v>-1.0166341853535864E-3</v>
      </c>
      <c r="R331" s="4">
        <f t="shared" si="22"/>
        <v>7.1798556856368157E-4</v>
      </c>
      <c r="S331" s="4">
        <f t="shared" si="22"/>
        <v>2.128546242971617E-2</v>
      </c>
      <c r="T331" s="4">
        <f t="shared" si="22"/>
        <v>1.2711727482653404E-2</v>
      </c>
      <c r="U331" s="35"/>
      <c r="V331" s="35"/>
      <c r="W331" s="35"/>
      <c r="X331" s="35"/>
    </row>
    <row r="332" spans="4:24" x14ac:dyDescent="0.3">
      <c r="D332" s="23">
        <v>40064</v>
      </c>
      <c r="E332" s="5">
        <v>78.102294999999998</v>
      </c>
      <c r="F332" s="28">
        <v>51.88335</v>
      </c>
      <c r="G332" s="28">
        <v>97.43</v>
      </c>
      <c r="H332" s="28">
        <v>35.655059999999999</v>
      </c>
      <c r="I332" s="28">
        <v>39.634830000000001</v>
      </c>
      <c r="J332" s="29"/>
      <c r="K332" s="29"/>
      <c r="L332" s="29"/>
      <c r="M332" s="29"/>
      <c r="N332" s="29"/>
      <c r="P332" s="4">
        <f t="shared" si="22"/>
        <v>8.5855260592540058E-3</v>
      </c>
      <c r="Q332" s="4">
        <f t="shared" si="22"/>
        <v>-5.0754849391525204E-4</v>
      </c>
      <c r="R332" s="4">
        <f t="shared" si="22"/>
        <v>-1.0258515466737836E-3</v>
      </c>
      <c r="S332" s="4">
        <f t="shared" si="22"/>
        <v>9.3714838259610442E-3</v>
      </c>
      <c r="T332" s="4">
        <f t="shared" si="22"/>
        <v>1.0054456816550298E-2</v>
      </c>
      <c r="U332" s="35"/>
      <c r="V332" s="35"/>
      <c r="W332" s="35"/>
      <c r="X332" s="35"/>
    </row>
    <row r="333" spans="4:24" x14ac:dyDescent="0.3">
      <c r="D333" s="23">
        <v>40065</v>
      </c>
      <c r="E333" s="5">
        <v>78.701683000000003</v>
      </c>
      <c r="F333" s="28">
        <v>51.969029999999997</v>
      </c>
      <c r="G333" s="28">
        <v>97.08</v>
      </c>
      <c r="H333" s="28">
        <v>35.961370000000002</v>
      </c>
      <c r="I333" s="28">
        <v>40.031309999999998</v>
      </c>
      <c r="J333" s="29"/>
      <c r="K333" s="29"/>
      <c r="L333" s="29"/>
      <c r="M333" s="29"/>
      <c r="N333" s="29"/>
      <c r="P333" s="4">
        <f t="shared" si="22"/>
        <v>7.6450983838281068E-3</v>
      </c>
      <c r="Q333" s="4">
        <f t="shared" si="22"/>
        <v>1.6500347789711186E-3</v>
      </c>
      <c r="R333" s="4">
        <f t="shared" si="22"/>
        <v>-3.5987905788493406E-3</v>
      </c>
      <c r="S333" s="4">
        <f t="shared" si="22"/>
        <v>8.5542344919659358E-3</v>
      </c>
      <c r="T333" s="4">
        <f t="shared" si="22"/>
        <v>9.9536207833910775E-3</v>
      </c>
      <c r="U333" s="35"/>
      <c r="V333" s="35"/>
      <c r="W333" s="35"/>
      <c r="X333" s="35"/>
    </row>
    <row r="334" spans="4:24" x14ac:dyDescent="0.3">
      <c r="D334" s="23">
        <v>40066</v>
      </c>
      <c r="E334" s="5">
        <v>79.505920000000003</v>
      </c>
      <c r="F334" s="28">
        <v>52.166800000000002</v>
      </c>
      <c r="G334" s="28">
        <v>97.7</v>
      </c>
      <c r="H334" s="28">
        <v>36.302689999999998</v>
      </c>
      <c r="I334" s="28">
        <v>40.443069999999999</v>
      </c>
      <c r="J334" s="29"/>
      <c r="K334" s="29"/>
      <c r="L334" s="29"/>
      <c r="M334" s="29"/>
      <c r="N334" s="29"/>
      <c r="P334" s="4">
        <f t="shared" si="22"/>
        <v>1.0166944095625595E-2</v>
      </c>
      <c r="Q334" s="4">
        <f t="shared" si="22"/>
        <v>3.7983129874112594E-3</v>
      </c>
      <c r="R334" s="4">
        <f t="shared" si="22"/>
        <v>6.3661781903364143E-3</v>
      </c>
      <c r="S334" s="4">
        <f t="shared" si="22"/>
        <v>9.4465364441301564E-3</v>
      </c>
      <c r="T334" s="4">
        <f t="shared" si="22"/>
        <v>1.023340828166075E-2</v>
      </c>
      <c r="U334" s="35"/>
      <c r="V334" s="35"/>
      <c r="W334" s="35"/>
      <c r="X334" s="35"/>
    </row>
    <row r="335" spans="4:24" x14ac:dyDescent="0.3">
      <c r="D335" s="23">
        <v>40067</v>
      </c>
      <c r="E335" s="5">
        <v>79.490729999999999</v>
      </c>
      <c r="F335" s="28">
        <v>52.19314</v>
      </c>
      <c r="G335" s="28">
        <v>98.78</v>
      </c>
      <c r="H335" s="28">
        <v>36.337710000000001</v>
      </c>
      <c r="I335" s="28">
        <v>40.473579999999998</v>
      </c>
      <c r="J335" s="29"/>
      <c r="K335" s="29"/>
      <c r="L335" s="29"/>
      <c r="M335" s="29"/>
      <c r="N335" s="29"/>
      <c r="P335" s="4">
        <f t="shared" si="22"/>
        <v>-1.9107320872756715E-4</v>
      </c>
      <c r="Q335" s="4">
        <f t="shared" si="22"/>
        <v>5.0479140864426566E-4</v>
      </c>
      <c r="R335" s="4">
        <f t="shared" si="22"/>
        <v>1.0993596063741664E-2</v>
      </c>
      <c r="S335" s="4">
        <f t="shared" si="22"/>
        <v>9.642018136776264E-4</v>
      </c>
      <c r="T335" s="4">
        <f t="shared" si="22"/>
        <v>7.5410935687211008E-4</v>
      </c>
      <c r="U335" s="35"/>
      <c r="V335" s="35"/>
      <c r="W335" s="35"/>
      <c r="X335" s="35"/>
    </row>
    <row r="336" spans="4:24" x14ac:dyDescent="0.3">
      <c r="D336" s="23">
        <v>40070</v>
      </c>
      <c r="E336" s="5">
        <v>79.877685999999997</v>
      </c>
      <c r="F336" s="28">
        <v>51.995399999999997</v>
      </c>
      <c r="G336" s="28">
        <v>97.96</v>
      </c>
      <c r="H336" s="28">
        <v>36.477739999999997</v>
      </c>
      <c r="I336" s="28">
        <v>40.687080000000002</v>
      </c>
      <c r="J336" s="29"/>
      <c r="K336" s="29"/>
      <c r="L336" s="29"/>
      <c r="M336" s="29"/>
      <c r="N336" s="29"/>
      <c r="P336" s="4">
        <f t="shared" si="22"/>
        <v>4.8561285873890067E-3</v>
      </c>
      <c r="Q336" s="4">
        <f t="shared" si="22"/>
        <v>-3.7958154980062752E-3</v>
      </c>
      <c r="R336" s="4">
        <f t="shared" si="22"/>
        <v>-8.3359230285118321E-3</v>
      </c>
      <c r="S336" s="4">
        <f t="shared" si="22"/>
        <v>3.8461665105935655E-3</v>
      </c>
      <c r="T336" s="4">
        <f t="shared" si="22"/>
        <v>5.261181771407707E-3</v>
      </c>
      <c r="U336" s="35"/>
      <c r="V336" s="35"/>
      <c r="W336" s="35"/>
      <c r="X336" s="35"/>
    </row>
    <row r="337" spans="4:24" x14ac:dyDescent="0.3">
      <c r="D337" s="23">
        <v>40071</v>
      </c>
      <c r="E337" s="5">
        <v>80.211555000000004</v>
      </c>
      <c r="F337" s="28">
        <v>52.034959999999998</v>
      </c>
      <c r="G337" s="28">
        <v>98.9</v>
      </c>
      <c r="H337" s="28">
        <v>36.591479999999997</v>
      </c>
      <c r="I337" s="28">
        <v>40.885330000000003</v>
      </c>
      <c r="J337" s="29"/>
      <c r="K337" s="29"/>
      <c r="L337" s="29"/>
      <c r="M337" s="29"/>
      <c r="N337" s="29"/>
      <c r="P337" s="4">
        <f t="shared" si="22"/>
        <v>4.1710421257220498E-3</v>
      </c>
      <c r="Q337" s="4">
        <f t="shared" si="22"/>
        <v>7.6054724614824153E-4</v>
      </c>
      <c r="R337" s="4">
        <f t="shared" si="22"/>
        <v>9.5500065446996029E-3</v>
      </c>
      <c r="S337" s="4">
        <f t="shared" si="22"/>
        <v>3.1132148903466918E-3</v>
      </c>
      <c r="T337" s="4">
        <f t="shared" si="22"/>
        <v>4.8607216663384464E-3</v>
      </c>
      <c r="U337" s="35"/>
      <c r="V337" s="35"/>
      <c r="W337" s="35"/>
      <c r="X337" s="35"/>
    </row>
    <row r="338" spans="4:24" x14ac:dyDescent="0.3">
      <c r="D338" s="23">
        <v>40072</v>
      </c>
      <c r="E338" s="5">
        <v>81.425490999999994</v>
      </c>
      <c r="F338" s="28">
        <v>52.04815</v>
      </c>
      <c r="G338" s="28">
        <v>99.91</v>
      </c>
      <c r="H338" s="28">
        <v>37.125369999999997</v>
      </c>
      <c r="I338" s="28">
        <v>41.525829999999999</v>
      </c>
      <c r="J338" s="29"/>
      <c r="K338" s="29"/>
      <c r="L338" s="29"/>
      <c r="M338" s="29"/>
      <c r="N338" s="29"/>
      <c r="P338" s="4">
        <f t="shared" si="22"/>
        <v>1.5020799432091394E-2</v>
      </c>
      <c r="Q338" s="4">
        <f t="shared" si="22"/>
        <v>2.5345130579991509E-4</v>
      </c>
      <c r="R338" s="4">
        <f t="shared" si="22"/>
        <v>1.016054211626069E-2</v>
      </c>
      <c r="S338" s="4">
        <f t="shared" si="22"/>
        <v>1.4485136980164407E-2</v>
      </c>
      <c r="T338" s="4">
        <f t="shared" si="22"/>
        <v>1.5544324257459628E-2</v>
      </c>
      <c r="U338" s="35"/>
      <c r="V338" s="35"/>
      <c r="W338" s="35"/>
      <c r="X338" s="35"/>
    </row>
    <row r="339" spans="4:24" x14ac:dyDescent="0.3">
      <c r="D339" s="23">
        <v>40073</v>
      </c>
      <c r="E339" s="5">
        <v>81.304107999999999</v>
      </c>
      <c r="F339" s="28">
        <v>52.199750000000002</v>
      </c>
      <c r="G339" s="28">
        <v>99.34</v>
      </c>
      <c r="H339" s="28">
        <v>37.116599999999998</v>
      </c>
      <c r="I339" s="28">
        <v>41.449579999999997</v>
      </c>
      <c r="J339" s="29"/>
      <c r="K339" s="29"/>
      <c r="L339" s="29"/>
      <c r="M339" s="29"/>
      <c r="N339" s="29"/>
      <c r="P339" s="4">
        <f t="shared" si="22"/>
        <v>-1.49183705064334E-3</v>
      </c>
      <c r="Q339" s="4">
        <f t="shared" si="22"/>
        <v>2.9084539231325457E-3</v>
      </c>
      <c r="R339" s="4">
        <f t="shared" si="22"/>
        <v>-5.7214710657226909E-3</v>
      </c>
      <c r="S339" s="4">
        <f t="shared" si="22"/>
        <v>-2.3625450781524599E-4</v>
      </c>
      <c r="T339" s="4">
        <f t="shared" si="22"/>
        <v>-1.8378944186828025E-3</v>
      </c>
      <c r="U339" s="35"/>
      <c r="V339" s="35"/>
      <c r="W339" s="35"/>
      <c r="X339" s="35"/>
    </row>
    <row r="340" spans="4:24" x14ac:dyDescent="0.3">
      <c r="D340" s="23">
        <v>40074</v>
      </c>
      <c r="E340" s="5">
        <v>81.355919</v>
      </c>
      <c r="F340" s="28">
        <v>52.140459999999997</v>
      </c>
      <c r="G340" s="28">
        <v>98.67</v>
      </c>
      <c r="H340" s="28">
        <v>37.178809999999999</v>
      </c>
      <c r="I340" s="28">
        <v>41.510590000000001</v>
      </c>
      <c r="J340" s="29"/>
      <c r="K340" s="29"/>
      <c r="L340" s="29"/>
      <c r="M340" s="29"/>
      <c r="N340" s="29"/>
      <c r="P340" s="4">
        <f t="shared" si="22"/>
        <v>6.3704651607119972E-4</v>
      </c>
      <c r="Q340" s="4">
        <f t="shared" si="22"/>
        <v>-1.136474737427862E-3</v>
      </c>
      <c r="R340" s="4">
        <f t="shared" si="22"/>
        <v>-6.7673608101291183E-3</v>
      </c>
      <c r="S340" s="4">
        <f t="shared" si="22"/>
        <v>1.6746664306457753E-3</v>
      </c>
      <c r="T340" s="4">
        <f t="shared" si="22"/>
        <v>1.4708265665013967E-3</v>
      </c>
      <c r="U340" s="35"/>
      <c r="V340" s="35"/>
      <c r="W340" s="35"/>
      <c r="X340" s="35"/>
    </row>
    <row r="341" spans="4:24" x14ac:dyDescent="0.3">
      <c r="D341" s="23">
        <v>40077</v>
      </c>
      <c r="E341" s="5">
        <v>81.150092999999998</v>
      </c>
      <c r="F341" s="28">
        <v>52.10089</v>
      </c>
      <c r="G341" s="28">
        <v>98.36</v>
      </c>
      <c r="H341" s="28">
        <v>37.292700000000004</v>
      </c>
      <c r="I341" s="28">
        <v>41.396189999999997</v>
      </c>
      <c r="J341" s="29"/>
      <c r="K341" s="29"/>
      <c r="L341" s="29"/>
      <c r="M341" s="29"/>
      <c r="N341" s="29"/>
      <c r="P341" s="4">
        <f t="shared" ref="P341:T356" si="23">LN(E341/E340)</f>
        <v>-2.533150712761491E-3</v>
      </c>
      <c r="Q341" s="4">
        <f t="shared" si="23"/>
        <v>-7.591997206603232E-4</v>
      </c>
      <c r="R341" s="4">
        <f t="shared" si="23"/>
        <v>-3.1467315210834826E-3</v>
      </c>
      <c r="S341" s="4">
        <f t="shared" si="23"/>
        <v>3.0586217142185403E-3</v>
      </c>
      <c r="T341" s="4">
        <f t="shared" si="23"/>
        <v>-2.7597277956468366E-3</v>
      </c>
      <c r="U341" s="35"/>
      <c r="V341" s="35"/>
      <c r="W341" s="35"/>
      <c r="X341" s="35"/>
    </row>
    <row r="342" spans="4:24" x14ac:dyDescent="0.3">
      <c r="D342" s="23">
        <v>40078</v>
      </c>
      <c r="E342" s="5">
        <v>81.622742000000002</v>
      </c>
      <c r="F342" s="28">
        <v>52.034959999999998</v>
      </c>
      <c r="G342" s="28">
        <v>99.67</v>
      </c>
      <c r="H342" s="28">
        <v>37.362769999999998</v>
      </c>
      <c r="I342" s="28">
        <v>41.640210000000003</v>
      </c>
      <c r="J342" s="29"/>
      <c r="K342" s="29"/>
      <c r="L342" s="29"/>
      <c r="M342" s="29"/>
      <c r="N342" s="29"/>
      <c r="P342" s="4">
        <f t="shared" si="23"/>
        <v>5.8074841347281209E-3</v>
      </c>
      <c r="Q342" s="4">
        <f t="shared" si="23"/>
        <v>-1.2662307708443904E-3</v>
      </c>
      <c r="R342" s="4">
        <f t="shared" si="23"/>
        <v>1.3230511631373086E-2</v>
      </c>
      <c r="S342" s="4">
        <f t="shared" si="23"/>
        <v>1.8771570408859313E-3</v>
      </c>
      <c r="T342" s="4">
        <f t="shared" si="23"/>
        <v>5.8774393508824029E-3</v>
      </c>
      <c r="U342" s="35"/>
      <c r="V342" s="35"/>
      <c r="W342" s="35"/>
      <c r="X342" s="35"/>
    </row>
    <row r="343" spans="4:24" x14ac:dyDescent="0.3">
      <c r="D343" s="23">
        <v>40079</v>
      </c>
      <c r="E343" s="5">
        <v>80.944266999999996</v>
      </c>
      <c r="F343" s="28">
        <v>52.186579999999999</v>
      </c>
      <c r="G343" s="28">
        <v>98.83</v>
      </c>
      <c r="H343" s="28">
        <v>37.18759</v>
      </c>
      <c r="I343" s="28">
        <v>41.21322</v>
      </c>
      <c r="J343" s="29"/>
      <c r="K343" s="29"/>
      <c r="L343" s="29"/>
      <c r="M343" s="29"/>
      <c r="N343" s="29"/>
      <c r="P343" s="4">
        <f t="shared" si="23"/>
        <v>-8.3470679996159747E-3</v>
      </c>
      <c r="Q343" s="4">
        <f t="shared" si="23"/>
        <v>2.9095733370100157E-3</v>
      </c>
      <c r="R343" s="4">
        <f t="shared" si="23"/>
        <v>-8.4635265912723703E-3</v>
      </c>
      <c r="S343" s="4">
        <f t="shared" si="23"/>
        <v>-4.6996506101143146E-3</v>
      </c>
      <c r="T343" s="4">
        <f t="shared" si="23"/>
        <v>-1.0307208288812065E-2</v>
      </c>
      <c r="U343" s="35"/>
      <c r="V343" s="35"/>
      <c r="W343" s="35"/>
      <c r="X343" s="35"/>
    </row>
    <row r="344" spans="4:24" x14ac:dyDescent="0.3">
      <c r="D344" s="23">
        <v>40080</v>
      </c>
      <c r="E344" s="5">
        <v>80.052352999999997</v>
      </c>
      <c r="F344" s="28">
        <v>52.212919999999997</v>
      </c>
      <c r="G344" s="28">
        <v>97.55</v>
      </c>
      <c r="H344" s="28">
        <v>36.854689999999998</v>
      </c>
      <c r="I344" s="28">
        <v>40.775039999999997</v>
      </c>
      <c r="J344" s="29"/>
      <c r="K344" s="29"/>
      <c r="L344" s="29"/>
      <c r="M344" s="29"/>
      <c r="N344" s="29"/>
      <c r="P344" s="4">
        <f t="shared" si="23"/>
        <v>-1.1080022981539445E-2</v>
      </c>
      <c r="Q344" s="4">
        <f t="shared" si="23"/>
        <v>5.0460012852350912E-4</v>
      </c>
      <c r="R344" s="4">
        <f t="shared" si="23"/>
        <v>-1.3036135318972355E-2</v>
      </c>
      <c r="S344" s="4">
        <f t="shared" si="23"/>
        <v>-8.9922202068552694E-3</v>
      </c>
      <c r="T344" s="4">
        <f t="shared" si="23"/>
        <v>-1.0688949173052791E-2</v>
      </c>
      <c r="U344" s="35"/>
      <c r="V344" s="35"/>
      <c r="W344" s="35"/>
      <c r="X344" s="35"/>
    </row>
    <row r="345" spans="4:24" x14ac:dyDescent="0.3">
      <c r="D345" s="23">
        <v>40081</v>
      </c>
      <c r="E345" s="5">
        <v>79.625457999999995</v>
      </c>
      <c r="F345" s="28">
        <v>52.37771</v>
      </c>
      <c r="G345" s="28">
        <v>97</v>
      </c>
      <c r="H345" s="28">
        <v>36.530549999999998</v>
      </c>
      <c r="I345" s="28">
        <v>40.514589999999998</v>
      </c>
      <c r="J345" s="29"/>
      <c r="K345" s="29"/>
      <c r="L345" s="29"/>
      <c r="M345" s="29"/>
      <c r="N345" s="29"/>
      <c r="P345" s="4">
        <f t="shared" si="23"/>
        <v>-5.3469673012860597E-3</v>
      </c>
      <c r="Q345" s="4">
        <f t="shared" si="23"/>
        <v>3.151145305460362E-3</v>
      </c>
      <c r="R345" s="4">
        <f t="shared" si="23"/>
        <v>-5.6540885657373795E-3</v>
      </c>
      <c r="S345" s="4">
        <f t="shared" si="23"/>
        <v>-8.8339864520240036E-3</v>
      </c>
      <c r="T345" s="4">
        <f t="shared" si="23"/>
        <v>-6.4079733471178405E-3</v>
      </c>
      <c r="U345" s="35"/>
      <c r="V345" s="35"/>
      <c r="W345" s="35"/>
      <c r="X345" s="35"/>
    </row>
    <row r="346" spans="4:24" x14ac:dyDescent="0.3">
      <c r="D346" s="23">
        <v>40084</v>
      </c>
      <c r="E346" s="5">
        <v>81.050987000000006</v>
      </c>
      <c r="F346" s="28">
        <v>52.404089999999997</v>
      </c>
      <c r="G346" s="28">
        <v>97.05</v>
      </c>
      <c r="H346" s="28">
        <v>37.152520000000003</v>
      </c>
      <c r="I346" s="28">
        <v>41.272939999999998</v>
      </c>
      <c r="J346" s="29"/>
      <c r="K346" s="29"/>
      <c r="L346" s="29"/>
      <c r="M346" s="29"/>
      <c r="N346" s="29"/>
      <c r="P346" s="4">
        <f t="shared" si="23"/>
        <v>1.7744559937535875E-2</v>
      </c>
      <c r="Q346" s="4">
        <f t="shared" si="23"/>
        <v>5.0352256894513727E-4</v>
      </c>
      <c r="R346" s="4">
        <f t="shared" si="23"/>
        <v>5.1533111163643865E-4</v>
      </c>
      <c r="S346" s="4">
        <f t="shared" si="23"/>
        <v>1.6882705160116494E-2</v>
      </c>
      <c r="T346" s="4">
        <f t="shared" si="23"/>
        <v>1.8544923261982472E-2</v>
      </c>
      <c r="U346" s="35"/>
      <c r="V346" s="35"/>
      <c r="W346" s="35"/>
      <c r="X346" s="35"/>
    </row>
    <row r="347" spans="4:24" x14ac:dyDescent="0.3">
      <c r="D347" s="23">
        <v>40085</v>
      </c>
      <c r="E347" s="5">
        <v>80.807022000000003</v>
      </c>
      <c r="F347" s="28">
        <v>52.404089999999997</v>
      </c>
      <c r="G347" s="28">
        <v>97.43</v>
      </c>
      <c r="H347" s="28">
        <v>36.9861</v>
      </c>
      <c r="I347" s="28">
        <v>41.204009999999997</v>
      </c>
      <c r="J347" s="29"/>
      <c r="K347" s="29"/>
      <c r="L347" s="29"/>
      <c r="M347" s="29"/>
      <c r="N347" s="29"/>
      <c r="P347" s="4">
        <f t="shared" si="23"/>
        <v>-3.0145580841028329E-3</v>
      </c>
      <c r="Q347" s="4">
        <f t="shared" si="23"/>
        <v>0</v>
      </c>
      <c r="R347" s="4">
        <f t="shared" si="23"/>
        <v>3.9078618222307899E-3</v>
      </c>
      <c r="S347" s="4">
        <f t="shared" si="23"/>
        <v>-4.4894355874606478E-3</v>
      </c>
      <c r="T347" s="4">
        <f t="shared" si="23"/>
        <v>-1.6714976984152409E-3</v>
      </c>
      <c r="U347" s="35"/>
      <c r="V347" s="35"/>
      <c r="W347" s="35"/>
      <c r="X347" s="35"/>
    </row>
    <row r="348" spans="4:24" x14ac:dyDescent="0.3">
      <c r="D348" s="23">
        <v>40086</v>
      </c>
      <c r="E348" s="5">
        <v>80.494491999999994</v>
      </c>
      <c r="F348" s="28">
        <v>52.404089999999997</v>
      </c>
      <c r="G348" s="28">
        <v>98.85</v>
      </c>
      <c r="H348" s="28">
        <v>37.01238</v>
      </c>
      <c r="I348" s="28">
        <v>41.050800000000002</v>
      </c>
      <c r="J348" s="29"/>
      <c r="K348" s="29"/>
      <c r="L348" s="29"/>
      <c r="M348" s="29"/>
      <c r="N348" s="29"/>
      <c r="P348" s="4">
        <f t="shared" si="23"/>
        <v>-3.875107968188571E-3</v>
      </c>
      <c r="Q348" s="4">
        <f t="shared" si="23"/>
        <v>0</v>
      </c>
      <c r="R348" s="4">
        <f t="shared" si="23"/>
        <v>1.4469378179375847E-2</v>
      </c>
      <c r="S348" s="4">
        <f t="shared" si="23"/>
        <v>7.1028488976709685E-4</v>
      </c>
      <c r="T348" s="4">
        <f t="shared" si="23"/>
        <v>-3.7252575790157143E-3</v>
      </c>
      <c r="U348" s="35"/>
      <c r="V348" s="35"/>
      <c r="W348" s="35"/>
      <c r="X348" s="35"/>
    </row>
    <row r="349" spans="4:24" x14ac:dyDescent="0.3">
      <c r="D349" s="23">
        <v>40087</v>
      </c>
      <c r="E349" s="5">
        <v>78.497176999999994</v>
      </c>
      <c r="F349" s="28">
        <v>52.640819999999998</v>
      </c>
      <c r="G349" s="28">
        <v>97.89</v>
      </c>
      <c r="H349" s="28">
        <v>35.917319999999997</v>
      </c>
      <c r="I349" s="28">
        <v>39.963059999999999</v>
      </c>
      <c r="J349" s="29"/>
      <c r="K349" s="29"/>
      <c r="L349" s="29"/>
      <c r="M349" s="29"/>
      <c r="N349" s="29"/>
      <c r="P349" s="4">
        <f t="shared" si="23"/>
        <v>-2.5126097365069995E-2</v>
      </c>
      <c r="Q349" s="4">
        <f t="shared" si="23"/>
        <v>4.5072226872323413E-3</v>
      </c>
      <c r="R349" s="4">
        <f t="shared" si="23"/>
        <v>-9.7591503432869382E-3</v>
      </c>
      <c r="S349" s="4">
        <f t="shared" si="23"/>
        <v>-3.0032820869003819E-2</v>
      </c>
      <c r="T349" s="4">
        <f t="shared" si="23"/>
        <v>-2.6854796712192798E-2</v>
      </c>
      <c r="U349" s="35"/>
      <c r="V349" s="35"/>
      <c r="W349" s="35"/>
      <c r="X349" s="35"/>
    </row>
    <row r="350" spans="4:24" x14ac:dyDescent="0.3">
      <c r="D350" s="23">
        <v>40088</v>
      </c>
      <c r="E350" s="5">
        <v>78.131279000000006</v>
      </c>
      <c r="F350" s="28">
        <v>52.482129999999998</v>
      </c>
      <c r="G350" s="28">
        <v>98.37</v>
      </c>
      <c r="H350" s="28">
        <v>35.812199999999997</v>
      </c>
      <c r="I350" s="28">
        <v>39.725589999999997</v>
      </c>
      <c r="J350" s="29"/>
      <c r="K350" s="29"/>
      <c r="L350" s="29"/>
      <c r="M350" s="29"/>
      <c r="N350" s="29"/>
      <c r="P350" s="4">
        <f t="shared" si="23"/>
        <v>-4.6721863313089751E-3</v>
      </c>
      <c r="Q350" s="4">
        <f t="shared" si="23"/>
        <v>-3.0191337008804321E-3</v>
      </c>
      <c r="R350" s="4">
        <f t="shared" si="23"/>
        <v>4.8914802513276932E-3</v>
      </c>
      <c r="S350" s="4">
        <f t="shared" si="23"/>
        <v>-2.9310129290066435E-3</v>
      </c>
      <c r="T350" s="4">
        <f t="shared" si="23"/>
        <v>-5.9599630043606702E-3</v>
      </c>
      <c r="U350" s="35"/>
      <c r="V350" s="35"/>
      <c r="W350" s="35"/>
      <c r="X350" s="35"/>
    </row>
    <row r="351" spans="4:24" x14ac:dyDescent="0.3">
      <c r="D351" s="23">
        <v>40091</v>
      </c>
      <c r="E351" s="5">
        <v>79.297591999999995</v>
      </c>
      <c r="F351" s="28">
        <v>52.561459999999997</v>
      </c>
      <c r="G351" s="28">
        <v>99.82</v>
      </c>
      <c r="H351" s="28">
        <v>36.101280000000003</v>
      </c>
      <c r="I351" s="28">
        <v>40.338419999999999</v>
      </c>
      <c r="J351" s="29"/>
      <c r="K351" s="29"/>
      <c r="L351" s="29"/>
      <c r="M351" s="29"/>
      <c r="N351" s="29"/>
      <c r="P351" s="4">
        <f t="shared" si="23"/>
        <v>1.4817286452907424E-2</v>
      </c>
      <c r="Q351" s="4">
        <f t="shared" si="23"/>
        <v>1.510420865885477E-3</v>
      </c>
      <c r="R351" s="4">
        <f t="shared" si="23"/>
        <v>1.4632684516796423E-2</v>
      </c>
      <c r="S351" s="4">
        <f t="shared" si="23"/>
        <v>8.0397042974398661E-3</v>
      </c>
      <c r="T351" s="4">
        <f t="shared" si="23"/>
        <v>1.5308800258461857E-2</v>
      </c>
      <c r="U351" s="35"/>
      <c r="V351" s="35"/>
      <c r="W351" s="35"/>
      <c r="X351" s="35"/>
    </row>
    <row r="352" spans="4:24" x14ac:dyDescent="0.3">
      <c r="D352" s="23">
        <v>40092</v>
      </c>
      <c r="E352" s="5">
        <v>80.433516999999995</v>
      </c>
      <c r="F352" s="28">
        <v>52.620980000000003</v>
      </c>
      <c r="G352" s="28">
        <v>102.28</v>
      </c>
      <c r="H352" s="28">
        <v>36.740789999999997</v>
      </c>
      <c r="I352" s="28">
        <v>40.935899999999997</v>
      </c>
      <c r="J352" s="29"/>
      <c r="K352" s="29"/>
      <c r="L352" s="29"/>
      <c r="M352" s="29"/>
      <c r="N352" s="29"/>
      <c r="P352" s="4">
        <f t="shared" si="23"/>
        <v>1.4223204944954927E-2</v>
      </c>
      <c r="Q352" s="4">
        <f t="shared" si="23"/>
        <v>1.1317479676842337E-3</v>
      </c>
      <c r="R352" s="4">
        <f t="shared" si="23"/>
        <v>2.4345586381522729E-2</v>
      </c>
      <c r="S352" s="4">
        <f t="shared" si="23"/>
        <v>1.7559260231491007E-2</v>
      </c>
      <c r="T352" s="4">
        <f t="shared" si="23"/>
        <v>1.4703063983012609E-2</v>
      </c>
      <c r="U352" s="35"/>
      <c r="V352" s="35"/>
      <c r="W352" s="35"/>
      <c r="X352" s="35"/>
    </row>
    <row r="353" spans="4:24" x14ac:dyDescent="0.3">
      <c r="D353" s="23">
        <v>40093</v>
      </c>
      <c r="E353" s="5">
        <v>80.654601999999997</v>
      </c>
      <c r="F353" s="28">
        <v>52.647419999999997</v>
      </c>
      <c r="G353" s="28">
        <v>102.36</v>
      </c>
      <c r="H353" s="28">
        <v>36.845910000000003</v>
      </c>
      <c r="I353" s="28">
        <v>41.027819999999998</v>
      </c>
      <c r="J353" s="29"/>
      <c r="K353" s="29"/>
      <c r="L353" s="29"/>
      <c r="M353" s="29"/>
      <c r="N353" s="29"/>
      <c r="P353" s="4">
        <f t="shared" si="23"/>
        <v>2.7448968947606637E-3</v>
      </c>
      <c r="Q353" s="4">
        <f t="shared" si="23"/>
        <v>5.0233499428099684E-4</v>
      </c>
      <c r="R353" s="4">
        <f t="shared" si="23"/>
        <v>7.8186086860207416E-4</v>
      </c>
      <c r="S353" s="4">
        <f t="shared" si="23"/>
        <v>2.8570399679574811E-3</v>
      </c>
      <c r="T353" s="4">
        <f t="shared" si="23"/>
        <v>2.242944525600434E-3</v>
      </c>
      <c r="U353" s="35"/>
      <c r="V353" s="35"/>
      <c r="W353" s="35"/>
      <c r="X353" s="35"/>
    </row>
    <row r="354" spans="4:24" x14ac:dyDescent="0.3">
      <c r="D354" s="23">
        <v>40094</v>
      </c>
      <c r="E354" s="5">
        <v>81.272094999999993</v>
      </c>
      <c r="F354" s="28">
        <v>52.627580000000002</v>
      </c>
      <c r="G354" s="28">
        <v>103.64</v>
      </c>
      <c r="H354" s="28">
        <v>37.003610000000002</v>
      </c>
      <c r="I354" s="28">
        <v>41.387860000000003</v>
      </c>
      <c r="J354" s="29"/>
      <c r="K354" s="29"/>
      <c r="L354" s="29"/>
      <c r="M354" s="29"/>
      <c r="N354" s="29"/>
      <c r="P354" s="4">
        <f t="shared" si="23"/>
        <v>7.6268583832269331E-3</v>
      </c>
      <c r="Q354" s="4">
        <f t="shared" si="23"/>
        <v>-3.7691760123253164E-4</v>
      </c>
      <c r="R354" s="4">
        <f t="shared" si="23"/>
        <v>1.2427344402321149E-2</v>
      </c>
      <c r="S354" s="4">
        <f t="shared" si="23"/>
        <v>4.2708534789775527E-3</v>
      </c>
      <c r="T354" s="4">
        <f t="shared" si="23"/>
        <v>8.7372279261933566E-3</v>
      </c>
      <c r="U354" s="35"/>
      <c r="V354" s="35"/>
      <c r="W354" s="35"/>
      <c r="X354" s="35"/>
    </row>
    <row r="355" spans="4:24" x14ac:dyDescent="0.3">
      <c r="D355" s="23">
        <v>40095</v>
      </c>
      <c r="E355" s="5">
        <v>81.767593000000005</v>
      </c>
      <c r="F355" s="28">
        <v>52.244079999999997</v>
      </c>
      <c r="G355" s="28">
        <v>102.84</v>
      </c>
      <c r="H355" s="28">
        <v>37.213859999999997</v>
      </c>
      <c r="I355" s="28">
        <v>41.671280000000003</v>
      </c>
      <c r="J355" s="29"/>
      <c r="K355" s="29"/>
      <c r="L355" s="29"/>
      <c r="M355" s="29"/>
      <c r="N355" s="29"/>
      <c r="P355" s="4">
        <f t="shared" si="23"/>
        <v>6.078268814254174E-3</v>
      </c>
      <c r="Q355" s="4">
        <f t="shared" si="23"/>
        <v>-7.31373393864911E-3</v>
      </c>
      <c r="R355" s="4">
        <f t="shared" si="23"/>
        <v>-7.7489732962204745E-3</v>
      </c>
      <c r="S355" s="4">
        <f t="shared" si="23"/>
        <v>5.6657970809422331E-3</v>
      </c>
      <c r="T355" s="4">
        <f t="shared" si="23"/>
        <v>6.8245613911841318E-3</v>
      </c>
      <c r="U355" s="35"/>
      <c r="V355" s="35"/>
      <c r="W355" s="35"/>
      <c r="X355" s="35"/>
    </row>
    <row r="356" spans="4:24" x14ac:dyDescent="0.3">
      <c r="D356" s="23">
        <v>40098</v>
      </c>
      <c r="E356" s="5">
        <v>82.087776000000005</v>
      </c>
      <c r="F356" s="28">
        <v>52.422609999999999</v>
      </c>
      <c r="G356" s="28">
        <v>103.56</v>
      </c>
      <c r="H356" s="28">
        <v>37.292700000000004</v>
      </c>
      <c r="I356" s="28">
        <v>41.824489999999997</v>
      </c>
      <c r="J356" s="29"/>
      <c r="K356" s="29"/>
      <c r="L356" s="29"/>
      <c r="M356" s="29"/>
      <c r="N356" s="29"/>
      <c r="P356" s="4">
        <f t="shared" si="23"/>
        <v>3.9081222602356559E-3</v>
      </c>
      <c r="Q356" s="4">
        <f t="shared" si="23"/>
        <v>3.4114038217793736E-3</v>
      </c>
      <c r="R356" s="4">
        <f t="shared" si="23"/>
        <v>6.9767724856482352E-3</v>
      </c>
      <c r="S356" s="4">
        <f t="shared" si="23"/>
        <v>2.116324506886751E-3</v>
      </c>
      <c r="T356" s="4">
        <f t="shared" si="23"/>
        <v>3.6698906292829884E-3</v>
      </c>
      <c r="U356" s="35"/>
      <c r="V356" s="35"/>
      <c r="W356" s="35"/>
      <c r="X356" s="35"/>
    </row>
    <row r="357" spans="4:24" x14ac:dyDescent="0.3">
      <c r="D357" s="23">
        <v>40099</v>
      </c>
      <c r="E357" s="5">
        <v>81.920067000000003</v>
      </c>
      <c r="F357" s="28">
        <v>52.46228</v>
      </c>
      <c r="G357" s="28">
        <v>104.26</v>
      </c>
      <c r="H357" s="28">
        <v>37.301459999999999</v>
      </c>
      <c r="I357" s="28">
        <v>41.709580000000003</v>
      </c>
      <c r="J357" s="29"/>
      <c r="K357" s="29"/>
      <c r="L357" s="29"/>
      <c r="M357" s="29"/>
      <c r="N357" s="29"/>
      <c r="P357" s="4">
        <f t="shared" ref="P357:T372" si="24">LN(E357/E356)</f>
        <v>-2.0451346153565714E-3</v>
      </c>
      <c r="Q357" s="4">
        <f t="shared" si="24"/>
        <v>7.5644836718884525E-4</v>
      </c>
      <c r="R357" s="4">
        <f t="shared" si="24"/>
        <v>6.7366244566230641E-3</v>
      </c>
      <c r="S357" s="4">
        <f t="shared" si="24"/>
        <v>2.3487093467551638E-4</v>
      </c>
      <c r="T357" s="4">
        <f t="shared" si="24"/>
        <v>-2.7512145040030763E-3</v>
      </c>
      <c r="U357" s="35"/>
      <c r="V357" s="35"/>
      <c r="W357" s="35"/>
      <c r="X357" s="35"/>
    </row>
    <row r="358" spans="4:24" x14ac:dyDescent="0.3">
      <c r="D358" s="23">
        <v>40100</v>
      </c>
      <c r="E358" s="5">
        <v>83.330359999999999</v>
      </c>
      <c r="F358" s="28">
        <v>52.237439999999999</v>
      </c>
      <c r="G358" s="28">
        <v>104.18</v>
      </c>
      <c r="H358" s="28">
        <v>37.809539999999998</v>
      </c>
      <c r="I358" s="28">
        <v>42.452629999999999</v>
      </c>
      <c r="J358" s="29"/>
      <c r="K358" s="29"/>
      <c r="L358" s="29"/>
      <c r="M358" s="29"/>
      <c r="N358" s="29"/>
      <c r="P358" s="4">
        <f t="shared" si="24"/>
        <v>1.7068969395633491E-2</v>
      </c>
      <c r="Q358" s="4">
        <f t="shared" si="24"/>
        <v>-4.2949560061587844E-3</v>
      </c>
      <c r="R358" s="4">
        <f t="shared" si="24"/>
        <v>-7.676070229144027E-4</v>
      </c>
      <c r="S358" s="4">
        <f t="shared" si="24"/>
        <v>1.3528983760316839E-2</v>
      </c>
      <c r="T358" s="4">
        <f t="shared" si="24"/>
        <v>1.7658027449205454E-2</v>
      </c>
      <c r="U358" s="35"/>
      <c r="V358" s="35"/>
      <c r="W358" s="35"/>
      <c r="X358" s="35"/>
    </row>
    <row r="359" spans="4:24" x14ac:dyDescent="0.3">
      <c r="D359" s="23">
        <v>40101</v>
      </c>
      <c r="E359" s="5">
        <v>83.635292000000007</v>
      </c>
      <c r="F359" s="28">
        <v>52.250680000000003</v>
      </c>
      <c r="G359" s="28">
        <v>102.86</v>
      </c>
      <c r="H359" s="28">
        <v>37.72195</v>
      </c>
      <c r="I359" s="28">
        <v>42.59816</v>
      </c>
      <c r="J359" s="29"/>
      <c r="K359" s="29"/>
      <c r="L359" s="29"/>
      <c r="M359" s="29"/>
      <c r="N359" s="29"/>
      <c r="P359" s="4">
        <f t="shared" si="24"/>
        <v>3.6526355615591525E-3</v>
      </c>
      <c r="Q359" s="4">
        <f t="shared" si="24"/>
        <v>2.5342594107084641E-4</v>
      </c>
      <c r="R359" s="4">
        <f t="shared" si="24"/>
        <v>-1.275133197027542E-2</v>
      </c>
      <c r="S359" s="4">
        <f t="shared" si="24"/>
        <v>-2.319298593560819E-3</v>
      </c>
      <c r="T359" s="4">
        <f t="shared" si="24"/>
        <v>3.4221937745693661E-3</v>
      </c>
      <c r="U359" s="35"/>
      <c r="V359" s="35"/>
      <c r="W359" s="35"/>
      <c r="X359" s="35"/>
    </row>
    <row r="360" spans="4:24" x14ac:dyDescent="0.3">
      <c r="D360" s="23">
        <v>40102</v>
      </c>
      <c r="E360" s="5">
        <v>83.010185000000007</v>
      </c>
      <c r="F360" s="28">
        <v>52.270539999999997</v>
      </c>
      <c r="G360" s="28">
        <v>103.18</v>
      </c>
      <c r="H360" s="28">
        <v>37.476649999999999</v>
      </c>
      <c r="I360" s="28">
        <v>42.284100000000002</v>
      </c>
      <c r="J360" s="29"/>
      <c r="K360" s="29"/>
      <c r="L360" s="29"/>
      <c r="M360" s="29"/>
      <c r="N360" s="29"/>
      <c r="P360" s="4">
        <f t="shared" si="24"/>
        <v>-7.5022730075376843E-3</v>
      </c>
      <c r="Q360" s="4">
        <f t="shared" si="24"/>
        <v>3.8001853095481557E-4</v>
      </c>
      <c r="R360" s="4">
        <f t="shared" si="24"/>
        <v>3.1061954697338794E-3</v>
      </c>
      <c r="S360" s="4">
        <f t="shared" si="24"/>
        <v>-6.5240807693472506E-3</v>
      </c>
      <c r="T360" s="4">
        <f t="shared" si="24"/>
        <v>-7.3999309898776511E-3</v>
      </c>
      <c r="U360" s="35"/>
      <c r="V360" s="35"/>
      <c r="W360" s="35"/>
      <c r="X360" s="35"/>
    </row>
    <row r="361" spans="4:24" x14ac:dyDescent="0.3">
      <c r="D361" s="23">
        <v>40105</v>
      </c>
      <c r="E361" s="5">
        <v>83.696288999999993</v>
      </c>
      <c r="F361" s="28">
        <v>52.343269999999997</v>
      </c>
      <c r="G361" s="28">
        <v>104.23</v>
      </c>
      <c r="H361" s="28">
        <v>37.853360000000002</v>
      </c>
      <c r="I361" s="28">
        <v>42.628810000000001</v>
      </c>
      <c r="J361" s="29"/>
      <c r="K361" s="29"/>
      <c r="L361" s="29"/>
      <c r="M361" s="29"/>
      <c r="N361" s="29"/>
      <c r="P361" s="4">
        <f t="shared" si="24"/>
        <v>8.231328483344881E-3</v>
      </c>
      <c r="Q361" s="4">
        <f t="shared" si="24"/>
        <v>1.3904476228842782E-3</v>
      </c>
      <c r="R361" s="4">
        <f t="shared" si="24"/>
        <v>1.0124959934726971E-2</v>
      </c>
      <c r="S361" s="4">
        <f t="shared" si="24"/>
        <v>1.0001675037518958E-2</v>
      </c>
      <c r="T361" s="4">
        <f t="shared" si="24"/>
        <v>8.1191869090155838E-3</v>
      </c>
      <c r="U361" s="35"/>
      <c r="V361" s="35"/>
      <c r="W361" s="35"/>
      <c r="X361" s="35"/>
    </row>
    <row r="362" spans="4:24" x14ac:dyDescent="0.3">
      <c r="D362" s="23">
        <v>40106</v>
      </c>
      <c r="E362" s="5">
        <v>83.254135000000005</v>
      </c>
      <c r="F362" s="28">
        <v>52.449060000000003</v>
      </c>
      <c r="G362" s="28">
        <v>103.42</v>
      </c>
      <c r="H362" s="28">
        <v>37.862130000000001</v>
      </c>
      <c r="I362" s="28">
        <v>42.36835</v>
      </c>
      <c r="J362" s="29"/>
      <c r="K362" s="29"/>
      <c r="L362" s="29"/>
      <c r="M362" s="29"/>
      <c r="N362" s="29"/>
      <c r="P362" s="4">
        <f t="shared" si="24"/>
        <v>-5.2968422982309568E-3</v>
      </c>
      <c r="Q362" s="4">
        <f t="shared" si="24"/>
        <v>2.0190415832533545E-3</v>
      </c>
      <c r="R362" s="4">
        <f t="shared" si="24"/>
        <v>-7.8016287831554846E-3</v>
      </c>
      <c r="S362" s="4">
        <f t="shared" si="24"/>
        <v>2.31656693741701E-4</v>
      </c>
      <c r="T362" s="4">
        <f t="shared" si="24"/>
        <v>-6.1286945412942686E-3</v>
      </c>
      <c r="U362" s="35"/>
      <c r="V362" s="35"/>
      <c r="W362" s="35"/>
      <c r="X362" s="35"/>
    </row>
    <row r="363" spans="4:24" x14ac:dyDescent="0.3">
      <c r="D363" s="23">
        <v>40107</v>
      </c>
      <c r="E363" s="5">
        <v>82.507057000000003</v>
      </c>
      <c r="F363" s="28">
        <v>52.442430000000002</v>
      </c>
      <c r="G363" s="28">
        <v>103.75</v>
      </c>
      <c r="H363" s="28">
        <v>37.79204</v>
      </c>
      <c r="I363" s="28">
        <v>41.954709999999999</v>
      </c>
      <c r="J363" s="29"/>
      <c r="K363" s="29"/>
      <c r="L363" s="29"/>
      <c r="M363" s="29"/>
      <c r="N363" s="29"/>
      <c r="P363" s="4">
        <f t="shared" si="24"/>
        <v>-9.0139682204363452E-3</v>
      </c>
      <c r="Q363" s="4">
        <f t="shared" si="24"/>
        <v>-1.2641635672881686E-4</v>
      </c>
      <c r="R363" s="4">
        <f t="shared" si="24"/>
        <v>3.1857921427321878E-3</v>
      </c>
      <c r="S363" s="4">
        <f t="shared" si="24"/>
        <v>-1.8529056641053711E-3</v>
      </c>
      <c r="T363" s="4">
        <f t="shared" si="24"/>
        <v>-9.8109181017384649E-3</v>
      </c>
      <c r="U363" s="35"/>
      <c r="V363" s="35"/>
      <c r="W363" s="35"/>
      <c r="X363" s="35"/>
    </row>
    <row r="364" spans="4:24" x14ac:dyDescent="0.3">
      <c r="D364" s="23">
        <v>40108</v>
      </c>
      <c r="E364" s="5">
        <v>83.345618999999999</v>
      </c>
      <c r="F364" s="28">
        <v>52.396140000000003</v>
      </c>
      <c r="G364" s="28">
        <v>103.92</v>
      </c>
      <c r="H364" s="28">
        <v>37.940959999999997</v>
      </c>
      <c r="I364" s="28">
        <v>42.406660000000002</v>
      </c>
      <c r="J364" s="29"/>
      <c r="K364" s="29"/>
      <c r="L364" s="29"/>
      <c r="M364" s="29"/>
      <c r="N364" s="29"/>
      <c r="P364" s="4">
        <f t="shared" si="24"/>
        <v>1.0112217251407733E-2</v>
      </c>
      <c r="Q364" s="4">
        <f t="shared" si="24"/>
        <v>-8.8307200314042471E-4</v>
      </c>
      <c r="R364" s="4">
        <f t="shared" si="24"/>
        <v>1.6372132515364874E-3</v>
      </c>
      <c r="S364" s="4">
        <f t="shared" si="24"/>
        <v>3.9327688574685975E-3</v>
      </c>
      <c r="T364" s="4">
        <f t="shared" si="24"/>
        <v>1.0714722244205218E-2</v>
      </c>
      <c r="U364" s="35"/>
      <c r="V364" s="35"/>
      <c r="W364" s="35"/>
      <c r="X364" s="35"/>
    </row>
    <row r="365" spans="4:24" x14ac:dyDescent="0.3">
      <c r="D365" s="23">
        <v>40109</v>
      </c>
      <c r="E365" s="5">
        <v>82.392700000000005</v>
      </c>
      <c r="F365" s="28">
        <v>52.237439999999999</v>
      </c>
      <c r="G365" s="28">
        <v>103.49</v>
      </c>
      <c r="H365" s="28">
        <v>37.783279999999998</v>
      </c>
      <c r="I365" s="28">
        <v>41.862780000000001</v>
      </c>
      <c r="J365" s="29"/>
      <c r="K365" s="29"/>
      <c r="L365" s="29"/>
      <c r="M365" s="29"/>
      <c r="N365" s="29"/>
      <c r="P365" s="4">
        <f t="shared" si="24"/>
        <v>-1.1499205569804398E-2</v>
      </c>
      <c r="Q365" s="4">
        <f t="shared" si="24"/>
        <v>-3.0334453182939182E-3</v>
      </c>
      <c r="R365" s="4">
        <f t="shared" si="24"/>
        <v>-4.146382682262504E-3</v>
      </c>
      <c r="S365" s="4">
        <f t="shared" si="24"/>
        <v>-4.1645905696156395E-3</v>
      </c>
      <c r="T365" s="4">
        <f t="shared" si="24"/>
        <v>-1.2908298712845004E-2</v>
      </c>
      <c r="U365" s="35"/>
      <c r="V365" s="35"/>
      <c r="W365" s="35"/>
      <c r="X365" s="35"/>
    </row>
    <row r="366" spans="4:24" x14ac:dyDescent="0.3">
      <c r="D366" s="23">
        <v>40112</v>
      </c>
      <c r="E366" s="5">
        <v>81.500771</v>
      </c>
      <c r="F366" s="28">
        <v>52.17136</v>
      </c>
      <c r="G366" s="28">
        <v>101.86</v>
      </c>
      <c r="H366" s="28">
        <v>37.660640000000001</v>
      </c>
      <c r="I366" s="28">
        <v>41.387860000000003</v>
      </c>
      <c r="J366" s="29"/>
      <c r="K366" s="29"/>
      <c r="L366" s="29"/>
      <c r="M366" s="29"/>
      <c r="N366" s="29"/>
      <c r="P366" s="4">
        <f t="shared" si="24"/>
        <v>-1.088436043312299E-2</v>
      </c>
      <c r="Q366" s="4">
        <f t="shared" si="24"/>
        <v>-1.2657938568965163E-3</v>
      </c>
      <c r="R366" s="4">
        <f t="shared" si="24"/>
        <v>-1.5875668223623067E-2</v>
      </c>
      <c r="S366" s="4">
        <f t="shared" si="24"/>
        <v>-3.2511594844426275E-3</v>
      </c>
      <c r="T366" s="4">
        <f t="shared" si="24"/>
        <v>-1.140952554770437E-2</v>
      </c>
      <c r="U366" s="35"/>
      <c r="V366" s="35"/>
      <c r="W366" s="35"/>
      <c r="X366" s="35"/>
    </row>
    <row r="367" spans="4:24" x14ac:dyDescent="0.3">
      <c r="D367" s="23">
        <v>40113</v>
      </c>
      <c r="E367" s="5">
        <v>81.127205000000004</v>
      </c>
      <c r="F367" s="28">
        <v>52.356470000000002</v>
      </c>
      <c r="G367" s="28">
        <v>101.85</v>
      </c>
      <c r="H367" s="28">
        <v>37.091209999999997</v>
      </c>
      <c r="I367" s="28">
        <v>41.165700000000001</v>
      </c>
      <c r="J367" s="29"/>
      <c r="K367" s="29"/>
      <c r="L367" s="29"/>
      <c r="M367" s="29"/>
      <c r="N367" s="29"/>
      <c r="P367" s="4">
        <f t="shared" si="24"/>
        <v>-4.5941253925428742E-3</v>
      </c>
      <c r="Q367" s="4">
        <f t="shared" si="24"/>
        <v>3.5418355764365865E-3</v>
      </c>
      <c r="R367" s="4">
        <f t="shared" si="24"/>
        <v>-9.8178783643760147E-5</v>
      </c>
      <c r="S367" s="4">
        <f t="shared" si="24"/>
        <v>-1.5235502924884408E-2</v>
      </c>
      <c r="T367" s="4">
        <f t="shared" si="24"/>
        <v>-5.3822157711563411E-3</v>
      </c>
      <c r="U367" s="35"/>
      <c r="V367" s="35"/>
      <c r="W367" s="35"/>
      <c r="X367" s="35"/>
    </row>
    <row r="368" spans="4:24" x14ac:dyDescent="0.3">
      <c r="D368" s="23">
        <v>40114</v>
      </c>
      <c r="E368" s="5">
        <v>79.594932999999997</v>
      </c>
      <c r="F368" s="28">
        <v>52.303600000000003</v>
      </c>
      <c r="G368" s="28">
        <v>100.73</v>
      </c>
      <c r="H368" s="28">
        <v>36.258980000000001</v>
      </c>
      <c r="I368" s="28">
        <v>40.269469999999998</v>
      </c>
      <c r="J368" s="29"/>
      <c r="K368" s="29"/>
      <c r="L368" s="29"/>
      <c r="M368" s="29"/>
      <c r="N368" s="29"/>
      <c r="P368" s="4">
        <f t="shared" si="24"/>
        <v>-1.9067919886899105E-2</v>
      </c>
      <c r="Q368" s="4">
        <f t="shared" si="24"/>
        <v>-1.0103185388128579E-3</v>
      </c>
      <c r="R368" s="4">
        <f t="shared" si="24"/>
        <v>-1.1057472718225032E-2</v>
      </c>
      <c r="S368" s="4">
        <f t="shared" si="24"/>
        <v>-2.2692939557923973E-2</v>
      </c>
      <c r="T368" s="4">
        <f t="shared" si="24"/>
        <v>-2.2011771728245859E-2</v>
      </c>
      <c r="U368" s="35"/>
      <c r="V368" s="35"/>
      <c r="W368" s="35"/>
      <c r="X368" s="35"/>
    </row>
    <row r="369" spans="4:24" x14ac:dyDescent="0.3">
      <c r="D369" s="23">
        <v>40115</v>
      </c>
      <c r="E369" s="5">
        <v>81.302582000000001</v>
      </c>
      <c r="F369" s="28">
        <v>52.330039999999997</v>
      </c>
      <c r="G369" s="28">
        <v>102.69</v>
      </c>
      <c r="H369" s="28">
        <v>36.872210000000003</v>
      </c>
      <c r="I369" s="28">
        <v>41.081440000000001</v>
      </c>
      <c r="J369" s="29"/>
      <c r="K369" s="29"/>
      <c r="L369" s="29"/>
      <c r="M369" s="29"/>
      <c r="N369" s="29"/>
      <c r="P369" s="4">
        <f t="shared" si="24"/>
        <v>2.1227339921722637E-2</v>
      </c>
      <c r="Q369" s="4">
        <f t="shared" si="24"/>
        <v>5.0538240976314103E-4</v>
      </c>
      <c r="R369" s="4">
        <f t="shared" si="24"/>
        <v>1.9271071255613826E-2</v>
      </c>
      <c r="S369" s="4">
        <f t="shared" si="24"/>
        <v>1.6771076020538754E-2</v>
      </c>
      <c r="T369" s="4">
        <f t="shared" si="24"/>
        <v>1.9962824385438449E-2</v>
      </c>
      <c r="U369" s="35"/>
      <c r="V369" s="35"/>
      <c r="W369" s="35"/>
      <c r="X369" s="35"/>
    </row>
    <row r="370" spans="4:24" x14ac:dyDescent="0.3">
      <c r="D370" s="23">
        <v>40116</v>
      </c>
      <c r="E370" s="5">
        <v>78.946938000000003</v>
      </c>
      <c r="F370" s="28">
        <v>52.548279999999998</v>
      </c>
      <c r="G370" s="28">
        <v>102.53</v>
      </c>
      <c r="H370" s="28">
        <v>35.882280000000002</v>
      </c>
      <c r="I370" s="28">
        <v>39.97072</v>
      </c>
      <c r="J370" s="29"/>
      <c r="K370" s="29"/>
      <c r="L370" s="29"/>
      <c r="M370" s="29"/>
      <c r="N370" s="29"/>
      <c r="P370" s="4">
        <f t="shared" si="24"/>
        <v>-2.9401819058051577E-2</v>
      </c>
      <c r="Q370" s="4">
        <f t="shared" si="24"/>
        <v>4.1617812909413611E-3</v>
      </c>
      <c r="R370" s="4">
        <f t="shared" si="24"/>
        <v>-1.5593025282037369E-3</v>
      </c>
      <c r="S370" s="4">
        <f t="shared" si="24"/>
        <v>-2.7214570458406123E-2</v>
      </c>
      <c r="T370" s="4">
        <f t="shared" si="24"/>
        <v>-2.740925192891348E-2</v>
      </c>
      <c r="U370" s="35"/>
      <c r="V370" s="35"/>
      <c r="W370" s="35"/>
      <c r="X370" s="35"/>
    </row>
    <row r="371" spans="4:24" x14ac:dyDescent="0.3">
      <c r="D371" s="23">
        <v>40119</v>
      </c>
      <c r="E371" s="5">
        <v>79.526329000000004</v>
      </c>
      <c r="F371" s="28">
        <v>52.503799999999998</v>
      </c>
      <c r="G371" s="28">
        <v>103.95</v>
      </c>
      <c r="H371" s="28">
        <v>36.031219999999998</v>
      </c>
      <c r="I371" s="28">
        <v>40.192860000000003</v>
      </c>
      <c r="J371" s="29"/>
      <c r="K371" s="29"/>
      <c r="L371" s="29"/>
      <c r="M371" s="29"/>
      <c r="N371" s="29"/>
      <c r="P371" s="4">
        <f t="shared" si="24"/>
        <v>7.3121933124420573E-3</v>
      </c>
      <c r="Q371" s="4">
        <f t="shared" si="24"/>
        <v>-8.4681812407817281E-4</v>
      </c>
      <c r="R371" s="4">
        <f t="shared" si="24"/>
        <v>1.375457562202217E-2</v>
      </c>
      <c r="S371" s="4">
        <f t="shared" si="24"/>
        <v>4.142204536215134E-3</v>
      </c>
      <c r="T371" s="4">
        <f t="shared" si="24"/>
        <v>5.542181838684994E-3</v>
      </c>
      <c r="U371" s="35"/>
      <c r="V371" s="35"/>
      <c r="W371" s="35"/>
      <c r="X371" s="35"/>
    </row>
    <row r="372" spans="4:24" x14ac:dyDescent="0.3">
      <c r="D372" s="23">
        <v>40120</v>
      </c>
      <c r="E372" s="5">
        <v>79.777916000000005</v>
      </c>
      <c r="F372" s="28">
        <v>52.41093</v>
      </c>
      <c r="G372" s="28">
        <v>106.46</v>
      </c>
      <c r="H372" s="28">
        <v>36.145090000000003</v>
      </c>
      <c r="I372" s="28">
        <v>40.376719999999999</v>
      </c>
      <c r="J372" s="29"/>
      <c r="K372" s="29"/>
      <c r="L372" s="29"/>
      <c r="M372" s="29"/>
      <c r="N372" s="29"/>
      <c r="P372" s="4">
        <f t="shared" si="24"/>
        <v>3.1585750795923235E-3</v>
      </c>
      <c r="Q372" s="4">
        <f t="shared" si="24"/>
        <v>-1.7703905687358481E-3</v>
      </c>
      <c r="R372" s="4">
        <f t="shared" si="24"/>
        <v>2.3859313440589284E-2</v>
      </c>
      <c r="S372" s="4">
        <f t="shared" si="24"/>
        <v>3.1553315617062366E-3</v>
      </c>
      <c r="T372" s="4">
        <f t="shared" si="24"/>
        <v>4.5640133448266685E-3</v>
      </c>
      <c r="U372" s="35"/>
      <c r="V372" s="35"/>
      <c r="W372" s="35"/>
      <c r="X372" s="35"/>
    </row>
    <row r="373" spans="4:24" x14ac:dyDescent="0.3">
      <c r="D373" s="23">
        <v>40121</v>
      </c>
      <c r="E373" s="5">
        <v>79.983727000000002</v>
      </c>
      <c r="F373" s="28">
        <v>52.3977</v>
      </c>
      <c r="G373" s="28">
        <v>107.1</v>
      </c>
      <c r="H373" s="28">
        <v>36.206429999999997</v>
      </c>
      <c r="I373" s="28">
        <v>40.445650000000001</v>
      </c>
      <c r="J373" s="29"/>
      <c r="K373" s="29"/>
      <c r="L373" s="29"/>
      <c r="M373" s="29"/>
      <c r="N373" s="29"/>
      <c r="P373" s="4">
        <f t="shared" ref="P373:T388" si="25">LN(E373/E372)</f>
        <v>2.5764771817198915E-3</v>
      </c>
      <c r="Q373" s="4">
        <f t="shared" si="25"/>
        <v>-2.5246012795456516E-4</v>
      </c>
      <c r="R373" s="4">
        <f t="shared" si="25"/>
        <v>5.9936497090918158E-3</v>
      </c>
      <c r="S373" s="4">
        <f t="shared" si="25"/>
        <v>1.6956109476767975E-3</v>
      </c>
      <c r="T373" s="4">
        <f t="shared" si="25"/>
        <v>1.7057162939535749E-3</v>
      </c>
      <c r="U373" s="35"/>
      <c r="V373" s="35"/>
      <c r="W373" s="35"/>
      <c r="X373" s="35"/>
    </row>
    <row r="374" spans="4:24" x14ac:dyDescent="0.3">
      <c r="D374" s="23">
        <v>40122</v>
      </c>
      <c r="E374" s="5">
        <v>81.455016999999998</v>
      </c>
      <c r="F374" s="28">
        <v>52.44408</v>
      </c>
      <c r="G374" s="28">
        <v>106.98</v>
      </c>
      <c r="H374" s="28">
        <v>37.099960000000003</v>
      </c>
      <c r="I374" s="28">
        <v>41.219329999999999</v>
      </c>
      <c r="J374" s="29"/>
      <c r="K374" s="29"/>
      <c r="L374" s="29"/>
      <c r="M374" s="29"/>
      <c r="N374" s="29"/>
      <c r="P374" s="4">
        <f t="shared" si="25"/>
        <v>1.8227727739550132E-2</v>
      </c>
      <c r="Q374" s="4">
        <f t="shared" si="25"/>
        <v>8.8476183875430849E-4</v>
      </c>
      <c r="R374" s="4">
        <f t="shared" si="25"/>
        <v>-1.1210763505989281E-3</v>
      </c>
      <c r="S374" s="4">
        <f t="shared" si="25"/>
        <v>2.4379164077904619E-2</v>
      </c>
      <c r="T374" s="4">
        <f t="shared" si="25"/>
        <v>1.8948223536110816E-2</v>
      </c>
      <c r="U374" s="35"/>
      <c r="V374" s="35"/>
      <c r="W374" s="35"/>
      <c r="X374" s="35"/>
    </row>
    <row r="375" spans="4:24" x14ac:dyDescent="0.3">
      <c r="D375" s="23">
        <v>40123</v>
      </c>
      <c r="E375" s="5">
        <v>81.668494999999993</v>
      </c>
      <c r="F375" s="28">
        <v>52.457349999999998</v>
      </c>
      <c r="G375" s="28">
        <v>107.43</v>
      </c>
      <c r="H375" s="28">
        <v>37.318980000000003</v>
      </c>
      <c r="I375" s="28">
        <v>41.326560000000001</v>
      </c>
      <c r="J375" s="29"/>
      <c r="K375" s="29"/>
      <c r="L375" s="29"/>
      <c r="M375" s="29"/>
      <c r="N375" s="29"/>
      <c r="P375" s="4">
        <f t="shared" si="25"/>
        <v>2.6173801588138348E-3</v>
      </c>
      <c r="Q375" s="4">
        <f t="shared" si="25"/>
        <v>2.5299941232042624E-4</v>
      </c>
      <c r="R375" s="4">
        <f t="shared" si="25"/>
        <v>4.1975715753469313E-3</v>
      </c>
      <c r="S375" s="4">
        <f t="shared" si="25"/>
        <v>5.8861529702364454E-3</v>
      </c>
      <c r="T375" s="4">
        <f t="shared" si="25"/>
        <v>2.5980714561718919E-3</v>
      </c>
      <c r="U375" s="35"/>
      <c r="V375" s="35"/>
      <c r="W375" s="35"/>
      <c r="X375" s="35"/>
    </row>
    <row r="376" spans="4:24" x14ac:dyDescent="0.3">
      <c r="D376" s="23">
        <v>40126</v>
      </c>
      <c r="E376" s="5">
        <v>83.528571999999997</v>
      </c>
      <c r="F376" s="28">
        <v>52.563499999999998</v>
      </c>
      <c r="G376" s="28">
        <v>108.19</v>
      </c>
      <c r="H376" s="28">
        <v>38.116169999999997</v>
      </c>
      <c r="I376" s="28">
        <v>42.25347</v>
      </c>
      <c r="J376" s="29"/>
      <c r="K376" s="29"/>
      <c r="L376" s="29"/>
      <c r="M376" s="29"/>
      <c r="N376" s="29"/>
      <c r="P376" s="4">
        <f t="shared" si="25"/>
        <v>2.2520443586309377E-2</v>
      </c>
      <c r="Q376" s="4">
        <f t="shared" si="25"/>
        <v>2.0215040374992775E-3</v>
      </c>
      <c r="R376" s="4">
        <f t="shared" si="25"/>
        <v>7.0494680210308851E-3</v>
      </c>
      <c r="S376" s="4">
        <f t="shared" si="25"/>
        <v>2.1136557129329037E-2</v>
      </c>
      <c r="T376" s="4">
        <f t="shared" si="25"/>
        <v>2.21810880673281E-2</v>
      </c>
      <c r="U376" s="35"/>
      <c r="V376" s="35"/>
      <c r="W376" s="35"/>
      <c r="X376" s="35"/>
    </row>
    <row r="377" spans="4:24" x14ac:dyDescent="0.3">
      <c r="D377" s="23">
        <v>40127</v>
      </c>
      <c r="E377" s="5">
        <v>83.543816000000007</v>
      </c>
      <c r="F377" s="28">
        <v>52.583370000000002</v>
      </c>
      <c r="G377" s="28">
        <v>108.39</v>
      </c>
      <c r="H377" s="28">
        <v>38.212519999999998</v>
      </c>
      <c r="I377" s="28">
        <v>42.268770000000004</v>
      </c>
      <c r="J377" s="29"/>
      <c r="K377" s="29"/>
      <c r="L377" s="29"/>
      <c r="M377" s="29"/>
      <c r="N377" s="29"/>
      <c r="P377" s="4">
        <f t="shared" si="25"/>
        <v>1.8248377514446033E-4</v>
      </c>
      <c r="Q377" s="4">
        <f t="shared" si="25"/>
        <v>3.7794753636572636E-4</v>
      </c>
      <c r="R377" s="4">
        <f t="shared" si="25"/>
        <v>1.8468931281764812E-3</v>
      </c>
      <c r="S377" s="4">
        <f t="shared" si="25"/>
        <v>2.5246090605013376E-3</v>
      </c>
      <c r="T377" s="4">
        <f t="shared" si="25"/>
        <v>3.6203489559941522E-4</v>
      </c>
      <c r="U377" s="35"/>
      <c r="V377" s="35"/>
      <c r="W377" s="35"/>
      <c r="X377" s="35"/>
    </row>
    <row r="378" spans="4:24" x14ac:dyDescent="0.3">
      <c r="D378" s="23">
        <v>40128</v>
      </c>
      <c r="E378" s="5">
        <v>83.970725999999999</v>
      </c>
      <c r="F378" s="28">
        <v>52.716119999999997</v>
      </c>
      <c r="G378" s="28">
        <v>109.6</v>
      </c>
      <c r="H378" s="28">
        <v>38.457830000000001</v>
      </c>
      <c r="I378" s="28">
        <v>42.483249999999998</v>
      </c>
      <c r="J378" s="29"/>
      <c r="K378" s="29"/>
      <c r="L378" s="29"/>
      <c r="M378" s="29"/>
      <c r="N378" s="29"/>
      <c r="P378" s="4">
        <f t="shared" si="25"/>
        <v>5.0970013605053273E-3</v>
      </c>
      <c r="Q378" s="4">
        <f t="shared" si="25"/>
        <v>2.5213810689550314E-3</v>
      </c>
      <c r="R378" s="4">
        <f t="shared" si="25"/>
        <v>1.1101540686256519E-2</v>
      </c>
      <c r="S378" s="4">
        <f t="shared" si="25"/>
        <v>6.3991057061888413E-3</v>
      </c>
      <c r="T378" s="4">
        <f t="shared" si="25"/>
        <v>5.0613650947418185E-3</v>
      </c>
      <c r="U378" s="35"/>
      <c r="V378" s="35"/>
      <c r="W378" s="35"/>
      <c r="X378" s="35"/>
    </row>
    <row r="379" spans="4:24" x14ac:dyDescent="0.3">
      <c r="D379" s="23">
        <v>40129</v>
      </c>
      <c r="E379" s="5">
        <v>83.116928000000001</v>
      </c>
      <c r="F379" s="28">
        <v>52.775790000000001</v>
      </c>
      <c r="G379" s="28">
        <v>108.21</v>
      </c>
      <c r="H379" s="28">
        <v>38.238810000000001</v>
      </c>
      <c r="I379" s="28">
        <v>42.008319999999998</v>
      </c>
      <c r="J379" s="29"/>
      <c r="K379" s="29"/>
      <c r="L379" s="29"/>
      <c r="M379" s="29"/>
      <c r="N379" s="29"/>
      <c r="P379" s="4">
        <f t="shared" si="25"/>
        <v>-1.0219850609142647E-2</v>
      </c>
      <c r="Q379" s="4">
        <f t="shared" si="25"/>
        <v>1.1312717034641377E-3</v>
      </c>
      <c r="R379" s="4">
        <f t="shared" si="25"/>
        <v>-1.2763590930357874E-2</v>
      </c>
      <c r="S379" s="4">
        <f t="shared" si="25"/>
        <v>-5.7113478598232025E-3</v>
      </c>
      <c r="T379" s="4">
        <f t="shared" si="25"/>
        <v>-1.1242186695347841E-2</v>
      </c>
      <c r="U379" s="35"/>
      <c r="V379" s="35"/>
      <c r="W379" s="35"/>
      <c r="X379" s="35"/>
    </row>
    <row r="380" spans="4:24" x14ac:dyDescent="0.3">
      <c r="D380" s="23">
        <v>40130</v>
      </c>
      <c r="E380" s="5">
        <v>83.566695999999993</v>
      </c>
      <c r="F380" s="28">
        <v>52.742579999999997</v>
      </c>
      <c r="G380" s="28">
        <v>109.74</v>
      </c>
      <c r="H380" s="28">
        <v>38.554189999999998</v>
      </c>
      <c r="I380" s="28">
        <v>42.25347</v>
      </c>
      <c r="J380" s="29"/>
      <c r="K380" s="29"/>
      <c r="L380" s="29"/>
      <c r="M380" s="29"/>
      <c r="N380" s="29"/>
      <c r="P380" s="4">
        <f t="shared" si="25"/>
        <v>5.3966800192947586E-3</v>
      </c>
      <c r="Q380" s="4">
        <f t="shared" si="25"/>
        <v>-6.2946387622464929E-4</v>
      </c>
      <c r="R380" s="4">
        <f t="shared" si="25"/>
        <v>1.4040148047272005E-2</v>
      </c>
      <c r="S380" s="4">
        <f t="shared" si="25"/>
        <v>8.2138156638523318E-3</v>
      </c>
      <c r="T380" s="4">
        <f t="shared" si="25"/>
        <v>5.8187867050066115E-3</v>
      </c>
      <c r="U380" s="35"/>
      <c r="V380" s="35"/>
      <c r="W380" s="35"/>
      <c r="X380" s="35"/>
    </row>
    <row r="381" spans="4:24" x14ac:dyDescent="0.3">
      <c r="D381" s="23">
        <v>40133</v>
      </c>
      <c r="E381" s="5">
        <v>84.778801000000001</v>
      </c>
      <c r="F381" s="28">
        <v>52.875300000000003</v>
      </c>
      <c r="G381" s="28">
        <v>111.63</v>
      </c>
      <c r="H381" s="28">
        <v>38.948410000000003</v>
      </c>
      <c r="I381" s="28">
        <v>42.889249999999997</v>
      </c>
      <c r="J381" s="29"/>
      <c r="K381" s="29"/>
      <c r="L381" s="29"/>
      <c r="M381" s="29"/>
      <c r="N381" s="29"/>
      <c r="P381" s="4">
        <f t="shared" si="25"/>
        <v>1.4400455824821473E-2</v>
      </c>
      <c r="Q381" s="4">
        <f t="shared" si="25"/>
        <v>2.5132121541838375E-3</v>
      </c>
      <c r="R381" s="4">
        <f t="shared" si="25"/>
        <v>1.7075899395811511E-2</v>
      </c>
      <c r="S381" s="4">
        <f t="shared" si="25"/>
        <v>1.0173165801446967E-2</v>
      </c>
      <c r="T381" s="4">
        <f t="shared" si="25"/>
        <v>1.4934731174085813E-2</v>
      </c>
      <c r="U381" s="35"/>
      <c r="V381" s="35"/>
      <c r="W381" s="35"/>
      <c r="X381" s="35"/>
    </row>
    <row r="382" spans="4:24" x14ac:dyDescent="0.3">
      <c r="D382" s="23">
        <v>40134</v>
      </c>
      <c r="E382" s="5">
        <v>84.877906999999993</v>
      </c>
      <c r="F382" s="28">
        <v>52.862009999999998</v>
      </c>
      <c r="G382" s="28">
        <v>111.97</v>
      </c>
      <c r="H382" s="28">
        <v>39.07105</v>
      </c>
      <c r="I382" s="28">
        <v>42.935200000000002</v>
      </c>
      <c r="J382" s="29"/>
      <c r="K382" s="29"/>
      <c r="L382" s="29"/>
      <c r="M382" s="29"/>
      <c r="N382" s="29"/>
      <c r="P382" s="4">
        <f t="shared" si="25"/>
        <v>1.1683123224685557E-3</v>
      </c>
      <c r="Q382" s="4">
        <f t="shared" si="25"/>
        <v>-2.5137768437625879E-4</v>
      </c>
      <c r="R382" s="4">
        <f t="shared" si="25"/>
        <v>3.0411472454647723E-3</v>
      </c>
      <c r="S382" s="4">
        <f t="shared" si="25"/>
        <v>3.1438336284637541E-3</v>
      </c>
      <c r="T382" s="4">
        <f t="shared" si="25"/>
        <v>1.0707905355757733E-3</v>
      </c>
      <c r="U382" s="35"/>
      <c r="V382" s="35"/>
      <c r="W382" s="35"/>
      <c r="X382" s="35"/>
    </row>
    <row r="383" spans="4:24" x14ac:dyDescent="0.3">
      <c r="D383" s="23">
        <v>40135</v>
      </c>
      <c r="E383" s="5">
        <v>84.824523999999997</v>
      </c>
      <c r="F383" s="28">
        <v>52.875300000000003</v>
      </c>
      <c r="G383" s="28">
        <v>112.25</v>
      </c>
      <c r="H383" s="28">
        <v>38.852029999999999</v>
      </c>
      <c r="I383" s="28">
        <v>42.90457</v>
      </c>
      <c r="J383" s="29"/>
      <c r="K383" s="29"/>
      <c r="L383" s="29"/>
      <c r="M383" s="29"/>
      <c r="N383" s="29"/>
      <c r="P383" s="4">
        <f t="shared" si="25"/>
        <v>-6.2913655916691164E-4</v>
      </c>
      <c r="Q383" s="4">
        <f t="shared" si="25"/>
        <v>2.5137768437625272E-4</v>
      </c>
      <c r="R383" s="4">
        <f t="shared" si="25"/>
        <v>2.4975483502580661E-3</v>
      </c>
      <c r="S383" s="4">
        <f t="shared" si="25"/>
        <v>-5.6214558450805446E-3</v>
      </c>
      <c r="T383" s="4">
        <f t="shared" si="25"/>
        <v>-7.1365525094019722E-4</v>
      </c>
      <c r="U383" s="35"/>
      <c r="V383" s="35"/>
      <c r="W383" s="35"/>
      <c r="X383" s="35"/>
    </row>
    <row r="384" spans="4:24" x14ac:dyDescent="0.3">
      <c r="D384" s="23">
        <v>40136</v>
      </c>
      <c r="E384" s="5">
        <v>83.719147000000007</v>
      </c>
      <c r="F384" s="28">
        <v>52.915080000000003</v>
      </c>
      <c r="G384" s="28">
        <v>112.3</v>
      </c>
      <c r="H384" s="28">
        <v>38.247570000000003</v>
      </c>
      <c r="I384" s="28">
        <v>42.291759999999996</v>
      </c>
      <c r="J384" s="29"/>
      <c r="K384" s="29"/>
      <c r="L384" s="29"/>
      <c r="M384" s="29"/>
      <c r="N384" s="29"/>
      <c r="P384" s="4">
        <f t="shared" si="25"/>
        <v>-1.3116990299776702E-2</v>
      </c>
      <c r="Q384" s="4">
        <f t="shared" si="25"/>
        <v>7.5205329397452032E-4</v>
      </c>
      <c r="R384" s="4">
        <f t="shared" si="25"/>
        <v>4.453351220338586E-4</v>
      </c>
      <c r="S384" s="4">
        <f t="shared" si="25"/>
        <v>-1.5680298858105624E-2</v>
      </c>
      <c r="T384" s="4">
        <f t="shared" si="25"/>
        <v>-1.4386079044862186E-2</v>
      </c>
      <c r="U384" s="35"/>
      <c r="V384" s="35"/>
      <c r="W384" s="35"/>
      <c r="X384" s="35"/>
    </row>
    <row r="385" spans="4:24" x14ac:dyDescent="0.3">
      <c r="D385" s="23">
        <v>40137</v>
      </c>
      <c r="E385" s="5">
        <v>83.421829000000002</v>
      </c>
      <c r="F385" s="28">
        <v>52.888570000000001</v>
      </c>
      <c r="G385" s="28">
        <v>112.94</v>
      </c>
      <c r="H385" s="28">
        <v>38.054850000000002</v>
      </c>
      <c r="I385" s="28">
        <v>42.161529999999999</v>
      </c>
      <c r="J385" s="29"/>
      <c r="K385" s="29"/>
      <c r="L385" s="29"/>
      <c r="M385" s="29"/>
      <c r="N385" s="29"/>
      <c r="P385" s="4">
        <f t="shared" si="25"/>
        <v>-3.5576950753345694E-3</v>
      </c>
      <c r="Q385" s="4">
        <f t="shared" si="25"/>
        <v>-5.0111693792729856E-4</v>
      </c>
      <c r="R385" s="4">
        <f t="shared" si="25"/>
        <v>5.6828425002931962E-3</v>
      </c>
      <c r="S385" s="4">
        <f t="shared" si="25"/>
        <v>-5.0514887944970634E-3</v>
      </c>
      <c r="T385" s="4">
        <f t="shared" si="25"/>
        <v>-3.0840741248488205E-3</v>
      </c>
      <c r="U385" s="35"/>
      <c r="V385" s="35"/>
      <c r="W385" s="35"/>
      <c r="X385" s="35"/>
    </row>
    <row r="386" spans="4:24" x14ac:dyDescent="0.3">
      <c r="D386" s="23">
        <v>40140</v>
      </c>
      <c r="E386" s="5">
        <v>84.481491000000005</v>
      </c>
      <c r="F386" s="28">
        <v>52.92839</v>
      </c>
      <c r="G386" s="28">
        <v>114.29</v>
      </c>
      <c r="H386" s="28">
        <v>38.668059999999997</v>
      </c>
      <c r="I386" s="28">
        <v>42.659439999999996</v>
      </c>
      <c r="J386" s="29"/>
      <c r="K386" s="29"/>
      <c r="L386" s="29"/>
      <c r="M386" s="29"/>
      <c r="N386" s="29"/>
      <c r="P386" s="4">
        <f t="shared" si="25"/>
        <v>1.2622455223694326E-2</v>
      </c>
      <c r="Q386" s="4">
        <f t="shared" si="25"/>
        <v>7.5262040942442076E-4</v>
      </c>
      <c r="R386" s="4">
        <f t="shared" si="25"/>
        <v>1.1882373664816077E-2</v>
      </c>
      <c r="S386" s="4">
        <f t="shared" si="25"/>
        <v>1.5985396223582606E-2</v>
      </c>
      <c r="T386" s="4">
        <f t="shared" si="25"/>
        <v>1.1740392008732416E-2</v>
      </c>
      <c r="U386" s="35"/>
      <c r="V386" s="35"/>
      <c r="W386" s="35"/>
      <c r="X386" s="35"/>
    </row>
    <row r="387" spans="4:24" x14ac:dyDescent="0.3">
      <c r="D387" s="23">
        <v>40141</v>
      </c>
      <c r="E387" s="5">
        <v>84.611069000000001</v>
      </c>
      <c r="F387" s="28">
        <v>53.060969999999998</v>
      </c>
      <c r="G387" s="28">
        <v>114.73</v>
      </c>
      <c r="H387" s="28">
        <v>38.536659999999998</v>
      </c>
      <c r="I387" s="28">
        <v>42.690080000000002</v>
      </c>
      <c r="J387" s="29"/>
      <c r="K387" s="29"/>
      <c r="L387" s="29"/>
      <c r="M387" s="29"/>
      <c r="N387" s="29"/>
      <c r="P387" s="4">
        <f t="shared" si="25"/>
        <v>1.5326283470349035E-3</v>
      </c>
      <c r="Q387" s="4">
        <f t="shared" si="25"/>
        <v>2.501761858915541E-3</v>
      </c>
      <c r="R387" s="4">
        <f t="shared" si="25"/>
        <v>3.8424639015450391E-3</v>
      </c>
      <c r="S387" s="4">
        <f t="shared" si="25"/>
        <v>-3.4039402480971186E-3</v>
      </c>
      <c r="T387" s="4">
        <f t="shared" si="25"/>
        <v>7.1798883734237829E-4</v>
      </c>
      <c r="U387" s="35"/>
      <c r="V387" s="35"/>
      <c r="W387" s="35"/>
      <c r="X387" s="35"/>
    </row>
    <row r="388" spans="4:24" x14ac:dyDescent="0.3">
      <c r="D388" s="23">
        <v>40142</v>
      </c>
      <c r="E388" s="5">
        <v>84.908378999999996</v>
      </c>
      <c r="F388" s="28">
        <v>53.167160000000003</v>
      </c>
      <c r="G388" s="28">
        <v>116.62</v>
      </c>
      <c r="H388" s="28">
        <v>38.703119999999998</v>
      </c>
      <c r="I388" s="28">
        <v>42.858620000000002</v>
      </c>
      <c r="J388" s="29"/>
      <c r="K388" s="29"/>
      <c r="L388" s="29"/>
      <c r="M388" s="29"/>
      <c r="N388" s="29"/>
      <c r="P388" s="4">
        <f t="shared" si="25"/>
        <v>3.5076837300456391E-3</v>
      </c>
      <c r="Q388" s="4">
        <f t="shared" si="25"/>
        <v>1.9992827770062027E-3</v>
      </c>
      <c r="R388" s="4">
        <f t="shared" si="25"/>
        <v>1.6339243982958242E-2</v>
      </c>
      <c r="S388" s="4">
        <f t="shared" si="25"/>
        <v>4.3102209174549011E-3</v>
      </c>
      <c r="T388" s="4">
        <f t="shared" si="25"/>
        <v>3.9402169303079868E-3</v>
      </c>
      <c r="U388" s="35"/>
      <c r="V388" s="35"/>
      <c r="W388" s="35"/>
      <c r="X388" s="35"/>
    </row>
    <row r="389" spans="4:24" x14ac:dyDescent="0.3">
      <c r="D389" s="23">
        <v>40144</v>
      </c>
      <c r="E389" s="5">
        <v>83.528571999999997</v>
      </c>
      <c r="F389" s="28">
        <v>53.260010000000001</v>
      </c>
      <c r="G389" s="28">
        <v>115.06</v>
      </c>
      <c r="H389" s="28">
        <v>38.116169999999997</v>
      </c>
      <c r="I389" s="28">
        <v>42.138539999999999</v>
      </c>
      <c r="J389" s="29"/>
      <c r="K389" s="29"/>
      <c r="L389" s="29"/>
      <c r="M389" s="29"/>
      <c r="N389" s="29"/>
      <c r="P389" s="4">
        <f t="shared" ref="P389:T404" si="26">LN(E389/E388)</f>
        <v>-1.6384028059588142E-2</v>
      </c>
      <c r="Q389" s="4">
        <f t="shared" si="26"/>
        <v>1.7448556333308359E-3</v>
      </c>
      <c r="R389" s="4">
        <f t="shared" si="26"/>
        <v>-1.3467054358862571E-2</v>
      </c>
      <c r="S389" s="4">
        <f t="shared" si="26"/>
        <v>-1.5281615395886941E-2</v>
      </c>
      <c r="T389" s="4">
        <f t="shared" si="26"/>
        <v>-1.6944030314456768E-2</v>
      </c>
      <c r="U389" s="35"/>
      <c r="V389" s="35"/>
      <c r="W389" s="35"/>
      <c r="X389" s="35"/>
    </row>
    <row r="390" spans="4:24" x14ac:dyDescent="0.3">
      <c r="D390" s="23">
        <v>40147</v>
      </c>
      <c r="E390" s="5">
        <v>83.810646000000006</v>
      </c>
      <c r="F390" s="28">
        <v>53.233490000000003</v>
      </c>
      <c r="G390" s="28">
        <v>115.64</v>
      </c>
      <c r="H390" s="28">
        <v>38.159979999999997</v>
      </c>
      <c r="I390" s="28">
        <v>42.245780000000003</v>
      </c>
      <c r="J390" s="29"/>
      <c r="K390" s="29"/>
      <c r="L390" s="29"/>
      <c r="M390" s="29"/>
      <c r="N390" s="29"/>
      <c r="P390" s="4">
        <f t="shared" si="26"/>
        <v>3.3712870244329797E-3</v>
      </c>
      <c r="Q390" s="4">
        <f t="shared" si="26"/>
        <v>-4.9805857725051172E-4</v>
      </c>
      <c r="R390" s="4">
        <f t="shared" si="26"/>
        <v>5.0281857129978406E-3</v>
      </c>
      <c r="S390" s="4">
        <f t="shared" si="26"/>
        <v>1.1487209256757925E-3</v>
      </c>
      <c r="T390" s="4">
        <f t="shared" si="26"/>
        <v>2.5417057987376455E-3</v>
      </c>
      <c r="U390" s="35"/>
      <c r="V390" s="35"/>
      <c r="W390" s="35"/>
      <c r="X390" s="35"/>
    </row>
    <row r="391" spans="4:24" x14ac:dyDescent="0.3">
      <c r="D391" s="23">
        <v>40148</v>
      </c>
      <c r="E391" s="5">
        <v>84.847397000000001</v>
      </c>
      <c r="F391" s="28">
        <v>53.156939999999999</v>
      </c>
      <c r="G391" s="28">
        <v>117.38</v>
      </c>
      <c r="H391" s="28">
        <v>38.554189999999998</v>
      </c>
      <c r="I391" s="28">
        <v>42.766689999999997</v>
      </c>
      <c r="J391" s="29"/>
      <c r="K391" s="29"/>
      <c r="L391" s="29"/>
      <c r="M391" s="29"/>
      <c r="N391" s="29"/>
      <c r="P391" s="4">
        <f t="shared" si="26"/>
        <v>1.2294273551336284E-2</v>
      </c>
      <c r="Q391" s="4">
        <f t="shared" si="26"/>
        <v>-1.4390394551503111E-3</v>
      </c>
      <c r="R391" s="4">
        <f t="shared" si="26"/>
        <v>1.4934617982043083E-2</v>
      </c>
      <c r="S391" s="4">
        <f t="shared" si="26"/>
        <v>1.0277461645043342E-2</v>
      </c>
      <c r="T391" s="4">
        <f t="shared" si="26"/>
        <v>1.2255061391717559E-2</v>
      </c>
      <c r="U391" s="35"/>
      <c r="V391" s="35"/>
      <c r="W391" s="35"/>
      <c r="X391" s="35"/>
    </row>
    <row r="392" spans="4:24" x14ac:dyDescent="0.3">
      <c r="D392" s="23">
        <v>40149</v>
      </c>
      <c r="E392" s="5">
        <v>84.809273000000005</v>
      </c>
      <c r="F392" s="28">
        <v>53.083759999999998</v>
      </c>
      <c r="G392" s="28">
        <v>119.18</v>
      </c>
      <c r="H392" s="28">
        <v>38.606740000000002</v>
      </c>
      <c r="I392" s="28">
        <v>42.889249999999997</v>
      </c>
      <c r="J392" s="29"/>
      <c r="K392" s="29"/>
      <c r="L392" s="29"/>
      <c r="M392" s="29"/>
      <c r="N392" s="29"/>
      <c r="P392" s="4">
        <f t="shared" si="26"/>
        <v>-4.4942530867422045E-4</v>
      </c>
      <c r="Q392" s="4">
        <f t="shared" si="26"/>
        <v>-1.3776266830650139E-3</v>
      </c>
      <c r="R392" s="4">
        <f t="shared" si="26"/>
        <v>1.5218420188644558E-2</v>
      </c>
      <c r="S392" s="4">
        <f t="shared" si="26"/>
        <v>1.3620885109757461E-3</v>
      </c>
      <c r="T392" s="4">
        <f t="shared" si="26"/>
        <v>2.8616832326943445E-3</v>
      </c>
      <c r="U392" s="35"/>
      <c r="V392" s="35"/>
      <c r="W392" s="35"/>
      <c r="X392" s="35"/>
    </row>
    <row r="393" spans="4:24" x14ac:dyDescent="0.3">
      <c r="D393" s="23">
        <v>40150</v>
      </c>
      <c r="E393" s="5">
        <v>84.146088000000006</v>
      </c>
      <c r="F393" s="28">
        <v>53.030529999999999</v>
      </c>
      <c r="G393" s="28">
        <v>118.7</v>
      </c>
      <c r="H393" s="28">
        <v>38.449069999999999</v>
      </c>
      <c r="I393" s="28">
        <v>42.506230000000002</v>
      </c>
      <c r="J393" s="29"/>
      <c r="K393" s="29"/>
      <c r="L393" s="29"/>
      <c r="M393" s="29"/>
      <c r="N393" s="29"/>
      <c r="P393" s="4">
        <f t="shared" si="26"/>
        <v>-7.8504570918735816E-3</v>
      </c>
      <c r="Q393" s="4">
        <f t="shared" si="26"/>
        <v>-1.0032579865498199E-3</v>
      </c>
      <c r="R393" s="4">
        <f t="shared" si="26"/>
        <v>-4.0356537032105065E-3</v>
      </c>
      <c r="S393" s="4">
        <f t="shared" si="26"/>
        <v>-4.092364223993286E-3</v>
      </c>
      <c r="T393" s="4">
        <f t="shared" si="26"/>
        <v>-8.9705583596253521E-3</v>
      </c>
      <c r="U393" s="35"/>
      <c r="V393" s="35"/>
      <c r="W393" s="35"/>
      <c r="X393" s="35"/>
    </row>
    <row r="394" spans="4:24" x14ac:dyDescent="0.3">
      <c r="D394" s="23">
        <v>40151</v>
      </c>
      <c r="E394" s="5">
        <v>84.626343000000006</v>
      </c>
      <c r="F394" s="28">
        <v>52.810960000000001</v>
      </c>
      <c r="G394" s="28">
        <v>113.75</v>
      </c>
      <c r="H394" s="28">
        <v>38.650530000000003</v>
      </c>
      <c r="I394" s="28">
        <v>42.82029</v>
      </c>
      <c r="J394" s="29"/>
      <c r="K394" s="29"/>
      <c r="L394" s="29"/>
      <c r="M394" s="29"/>
      <c r="N394" s="29"/>
      <c r="P394" s="4">
        <f t="shared" si="26"/>
        <v>5.6911699786348037E-3</v>
      </c>
      <c r="Q394" s="4">
        <f t="shared" si="26"/>
        <v>-4.1490405129954357E-3</v>
      </c>
      <c r="R394" s="4">
        <f t="shared" si="26"/>
        <v>-4.2596243784562629E-2</v>
      </c>
      <c r="S394" s="4">
        <f t="shared" si="26"/>
        <v>5.2259793436962663E-3</v>
      </c>
      <c r="T394" s="4">
        <f t="shared" si="26"/>
        <v>7.3614022521414418E-3</v>
      </c>
      <c r="U394" s="35"/>
      <c r="V394" s="35"/>
      <c r="W394" s="35"/>
      <c r="X394" s="35"/>
    </row>
    <row r="395" spans="4:24" x14ac:dyDescent="0.3">
      <c r="D395" s="23">
        <v>40154</v>
      </c>
      <c r="E395" s="5">
        <v>84.496727000000007</v>
      </c>
      <c r="F395" s="28">
        <v>52.950710000000001</v>
      </c>
      <c r="G395" s="28">
        <v>113.11</v>
      </c>
      <c r="H395" s="28">
        <v>38.466589999999997</v>
      </c>
      <c r="I395" s="28">
        <v>42.766689999999997</v>
      </c>
      <c r="J395" s="29"/>
      <c r="K395" s="29"/>
      <c r="L395" s="29"/>
      <c r="M395" s="29"/>
      <c r="N395" s="29"/>
      <c r="P395" s="4">
        <f t="shared" si="26"/>
        <v>-1.5328012361354114E-3</v>
      </c>
      <c r="Q395" s="4">
        <f t="shared" si="26"/>
        <v>2.642735904890886E-3</v>
      </c>
      <c r="R395" s="4">
        <f t="shared" si="26"/>
        <v>-5.6422612877701124E-3</v>
      </c>
      <c r="S395" s="4">
        <f t="shared" si="26"/>
        <v>-4.7704154103436099E-3</v>
      </c>
      <c r="T395" s="4">
        <f t="shared" si="26"/>
        <v>-1.2525271252103105E-3</v>
      </c>
      <c r="U395" s="35"/>
      <c r="V395" s="35"/>
      <c r="W395" s="35"/>
      <c r="X395" s="35"/>
    </row>
    <row r="396" spans="4:24" x14ac:dyDescent="0.3">
      <c r="D396" s="23">
        <v>40155</v>
      </c>
      <c r="E396" s="5">
        <v>83.559059000000005</v>
      </c>
      <c r="F396" s="28">
        <v>53.037190000000002</v>
      </c>
      <c r="G396" s="28">
        <v>110.95</v>
      </c>
      <c r="H396" s="28">
        <v>38.230049999999999</v>
      </c>
      <c r="I396" s="28">
        <v>42.322389999999999</v>
      </c>
      <c r="J396" s="29"/>
      <c r="K396" s="29"/>
      <c r="L396" s="29"/>
      <c r="M396" s="29"/>
      <c r="N396" s="29"/>
      <c r="P396" s="4">
        <f t="shared" si="26"/>
        <v>-1.1159124629268106E-2</v>
      </c>
      <c r="Q396" s="4">
        <f t="shared" si="26"/>
        <v>1.631884756499465E-3</v>
      </c>
      <c r="R396" s="4">
        <f t="shared" si="26"/>
        <v>-1.9281147164686766E-2</v>
      </c>
      <c r="S396" s="4">
        <f t="shared" si="26"/>
        <v>-6.1682167554482584E-3</v>
      </c>
      <c r="T396" s="4">
        <f t="shared" si="26"/>
        <v>-1.0443268114019242E-2</v>
      </c>
      <c r="U396" s="35"/>
      <c r="V396" s="35"/>
      <c r="W396" s="35"/>
      <c r="X396" s="35"/>
    </row>
    <row r="397" spans="4:24" x14ac:dyDescent="0.3">
      <c r="D397" s="23">
        <v>40156</v>
      </c>
      <c r="E397" s="5">
        <v>83.871619999999993</v>
      </c>
      <c r="F397" s="28">
        <v>52.984000000000002</v>
      </c>
      <c r="G397" s="28">
        <v>110.84</v>
      </c>
      <c r="H397" s="28">
        <v>38.61551</v>
      </c>
      <c r="I397" s="28">
        <v>42.460270000000001</v>
      </c>
      <c r="J397" s="29"/>
      <c r="K397" s="29"/>
      <c r="L397" s="29"/>
      <c r="M397" s="29"/>
      <c r="N397" s="29"/>
      <c r="P397" s="4">
        <f t="shared" si="26"/>
        <v>3.7336211613845233E-3</v>
      </c>
      <c r="Q397" s="4">
        <f t="shared" si="26"/>
        <v>-1.0033844076368433E-3</v>
      </c>
      <c r="R397" s="4">
        <f t="shared" si="26"/>
        <v>-9.919293838252291E-4</v>
      </c>
      <c r="S397" s="4">
        <f t="shared" si="26"/>
        <v>1.0032153656009261E-2</v>
      </c>
      <c r="T397" s="4">
        <f t="shared" si="26"/>
        <v>3.2525547453684891E-3</v>
      </c>
      <c r="U397" s="35"/>
      <c r="V397" s="35"/>
      <c r="W397" s="35"/>
      <c r="X397" s="35"/>
    </row>
    <row r="398" spans="4:24" x14ac:dyDescent="0.3">
      <c r="D398" s="23">
        <v>40157</v>
      </c>
      <c r="E398" s="5">
        <v>84.344261000000003</v>
      </c>
      <c r="F398" s="28">
        <v>52.910760000000003</v>
      </c>
      <c r="G398" s="28">
        <v>110.82</v>
      </c>
      <c r="H398" s="28">
        <v>38.808250000000001</v>
      </c>
      <c r="I398" s="28">
        <v>42.674779999999998</v>
      </c>
      <c r="J398" s="29"/>
      <c r="K398" s="29"/>
      <c r="L398" s="29"/>
      <c r="M398" s="29"/>
      <c r="N398" s="29"/>
      <c r="P398" s="4">
        <f t="shared" si="26"/>
        <v>5.6194723228614281E-3</v>
      </c>
      <c r="Q398" s="4">
        <f t="shared" si="26"/>
        <v>-1.3832603554354034E-3</v>
      </c>
      <c r="R398" s="4">
        <f t="shared" si="26"/>
        <v>-1.8045655557418747E-4</v>
      </c>
      <c r="S398" s="4">
        <f t="shared" si="26"/>
        <v>4.9788436560205488E-3</v>
      </c>
      <c r="T398" s="4">
        <f t="shared" si="26"/>
        <v>5.0392982431590851E-3</v>
      </c>
      <c r="U398" s="35"/>
      <c r="V398" s="35"/>
      <c r="W398" s="35"/>
      <c r="X398" s="35"/>
    </row>
    <row r="399" spans="4:24" x14ac:dyDescent="0.3">
      <c r="D399" s="23">
        <v>40158</v>
      </c>
      <c r="E399" s="5">
        <v>84.702567999999999</v>
      </c>
      <c r="F399" s="28">
        <v>52.85089</v>
      </c>
      <c r="G399" s="28">
        <v>109.32</v>
      </c>
      <c r="H399" s="28">
        <v>38.659309999999998</v>
      </c>
      <c r="I399" s="28">
        <v>42.889249999999997</v>
      </c>
      <c r="J399" s="29"/>
      <c r="K399" s="29"/>
      <c r="L399" s="29"/>
      <c r="M399" s="29"/>
      <c r="N399" s="29"/>
      <c r="P399" s="4">
        <f t="shared" si="26"/>
        <v>4.2391512304155573E-3</v>
      </c>
      <c r="Q399" s="4">
        <f t="shared" si="26"/>
        <v>-1.132168539260634E-3</v>
      </c>
      <c r="R399" s="4">
        <f t="shared" si="26"/>
        <v>-1.3627902379336298E-2</v>
      </c>
      <c r="S399" s="4">
        <f t="shared" si="26"/>
        <v>-3.8452271767958532E-3</v>
      </c>
      <c r="T399" s="4">
        <f t="shared" si="26"/>
        <v>5.0130983581858782E-3</v>
      </c>
      <c r="U399" s="35"/>
      <c r="V399" s="35"/>
      <c r="W399" s="35"/>
      <c r="X399" s="35"/>
    </row>
    <row r="400" spans="4:24" x14ac:dyDescent="0.3">
      <c r="D400" s="23">
        <v>40161</v>
      </c>
      <c r="E400" s="5">
        <v>85.281914</v>
      </c>
      <c r="F400" s="28">
        <v>52.804299999999998</v>
      </c>
      <c r="G400" s="28">
        <v>110.24</v>
      </c>
      <c r="H400" s="28">
        <v>39.027230000000003</v>
      </c>
      <c r="I400" s="28">
        <v>43.210979999999999</v>
      </c>
      <c r="J400" s="29"/>
      <c r="K400" s="29"/>
      <c r="L400" s="29"/>
      <c r="M400" s="29"/>
      <c r="N400" s="29"/>
      <c r="P400" s="4">
        <f t="shared" si="26"/>
        <v>6.8164839099587394E-3</v>
      </c>
      <c r="Q400" s="4">
        <f t="shared" si="26"/>
        <v>-8.8192549783467202E-4</v>
      </c>
      <c r="R400" s="4">
        <f t="shared" si="26"/>
        <v>8.3804462054811318E-3</v>
      </c>
      <c r="S400" s="4">
        <f t="shared" si="26"/>
        <v>9.4719819099499652E-3</v>
      </c>
      <c r="T400" s="4">
        <f t="shared" si="26"/>
        <v>7.4734178395709444E-3</v>
      </c>
      <c r="U400" s="35"/>
      <c r="V400" s="35"/>
      <c r="W400" s="35"/>
      <c r="X400" s="35"/>
    </row>
    <row r="401" spans="4:24" x14ac:dyDescent="0.3">
      <c r="D401" s="23">
        <v>40162</v>
      </c>
      <c r="E401" s="5">
        <v>84.885529000000005</v>
      </c>
      <c r="F401" s="28">
        <v>52.757759999999998</v>
      </c>
      <c r="G401" s="28">
        <v>110.21</v>
      </c>
      <c r="H401" s="28">
        <v>38.808250000000001</v>
      </c>
      <c r="I401" s="28">
        <v>43.02713</v>
      </c>
      <c r="J401" s="29"/>
      <c r="K401" s="29"/>
      <c r="L401" s="29"/>
      <c r="M401" s="29"/>
      <c r="N401" s="29"/>
      <c r="P401" s="4">
        <f t="shared" si="26"/>
        <v>-4.6587726764331641E-3</v>
      </c>
      <c r="Q401" s="4">
        <f t="shared" si="26"/>
        <v>-8.8175624870116842E-4</v>
      </c>
      <c r="R401" s="4">
        <f t="shared" si="26"/>
        <v>-2.7217056189787119E-4</v>
      </c>
      <c r="S401" s="4">
        <f t="shared" si="26"/>
        <v>-5.6267547331540595E-3</v>
      </c>
      <c r="T401" s="4">
        <f t="shared" si="26"/>
        <v>-4.2637826485355749E-3</v>
      </c>
      <c r="U401" s="35"/>
      <c r="V401" s="35"/>
      <c r="W401" s="35"/>
      <c r="X401" s="35"/>
    </row>
    <row r="402" spans="4:24" x14ac:dyDescent="0.3">
      <c r="D402" s="23">
        <v>40163</v>
      </c>
      <c r="E402" s="5">
        <v>85.015120999999994</v>
      </c>
      <c r="F402" s="28">
        <v>52.784329999999997</v>
      </c>
      <c r="G402" s="28">
        <v>111.59</v>
      </c>
      <c r="H402" s="28">
        <v>38.860790000000001</v>
      </c>
      <c r="I402" s="28">
        <v>43.13438</v>
      </c>
      <c r="J402" s="29"/>
      <c r="K402" s="29"/>
      <c r="L402" s="29"/>
      <c r="M402" s="29"/>
      <c r="N402" s="29"/>
      <c r="P402" s="4">
        <f t="shared" si="26"/>
        <v>1.5255035826145494E-3</v>
      </c>
      <c r="Q402" s="4">
        <f t="shared" si="26"/>
        <v>5.0349581974935712E-4</v>
      </c>
      <c r="R402" s="4">
        <f t="shared" si="26"/>
        <v>1.2443803494159257E-2</v>
      </c>
      <c r="S402" s="4">
        <f t="shared" si="26"/>
        <v>1.3529202373060811E-3</v>
      </c>
      <c r="T402" s="4">
        <f t="shared" si="26"/>
        <v>2.4895119733084167E-3</v>
      </c>
      <c r="U402" s="35"/>
      <c r="V402" s="35"/>
      <c r="W402" s="35"/>
      <c r="X402" s="35"/>
    </row>
    <row r="403" spans="4:24" x14ac:dyDescent="0.3">
      <c r="D403" s="23">
        <v>40164</v>
      </c>
      <c r="E403" s="5">
        <v>83.993567999999996</v>
      </c>
      <c r="F403" s="28">
        <v>52.930759999999999</v>
      </c>
      <c r="G403" s="28">
        <v>107.34</v>
      </c>
      <c r="H403" s="28">
        <v>38.387740000000001</v>
      </c>
      <c r="I403" s="28">
        <v>42.651780000000002</v>
      </c>
      <c r="J403" s="29"/>
      <c r="K403" s="29"/>
      <c r="L403" s="29"/>
      <c r="M403" s="29"/>
      <c r="N403" s="29"/>
      <c r="P403" s="4">
        <f t="shared" si="26"/>
        <v>-1.2088910303680608E-2</v>
      </c>
      <c r="Q403" s="4">
        <f t="shared" si="26"/>
        <v>2.7702779924293568E-3</v>
      </c>
      <c r="R403" s="4">
        <f t="shared" si="26"/>
        <v>-3.8830073448927076E-2</v>
      </c>
      <c r="S403" s="4">
        <f t="shared" si="26"/>
        <v>-1.2247635347635333E-2</v>
      </c>
      <c r="T403" s="4">
        <f t="shared" si="26"/>
        <v>-1.1251350827068927E-2</v>
      </c>
      <c r="U403" s="35"/>
      <c r="V403" s="35"/>
      <c r="W403" s="35"/>
      <c r="X403" s="35"/>
    </row>
    <row r="404" spans="4:24" x14ac:dyDescent="0.3">
      <c r="D404" s="23">
        <v>40165</v>
      </c>
      <c r="E404" s="5">
        <v>84.468781000000007</v>
      </c>
      <c r="F404" s="28">
        <v>52.917409999999997</v>
      </c>
      <c r="G404" s="28">
        <v>108.95</v>
      </c>
      <c r="H404" s="28">
        <v>39.013390000000001</v>
      </c>
      <c r="I404" s="28">
        <v>42.912230000000001</v>
      </c>
      <c r="J404" s="29"/>
      <c r="K404" s="29"/>
      <c r="L404" s="29"/>
      <c r="M404" s="29"/>
      <c r="N404" s="29"/>
      <c r="P404" s="4">
        <f t="shared" si="26"/>
        <v>5.6417859932832394E-3</v>
      </c>
      <c r="Q404" s="4">
        <f t="shared" si="26"/>
        <v>-2.5224810350128355E-4</v>
      </c>
      <c r="R404" s="4">
        <f t="shared" si="26"/>
        <v>1.488769464194604E-2</v>
      </c>
      <c r="S404" s="4">
        <f t="shared" si="26"/>
        <v>1.6166782755013331E-2</v>
      </c>
      <c r="T404" s="4">
        <f t="shared" si="26"/>
        <v>6.0878587714591498E-3</v>
      </c>
      <c r="U404" s="35"/>
      <c r="V404" s="35"/>
      <c r="W404" s="35"/>
      <c r="X404" s="35"/>
    </row>
    <row r="405" spans="4:24" x14ac:dyDescent="0.3">
      <c r="D405" s="23">
        <v>40168</v>
      </c>
      <c r="E405" s="5">
        <v>85.327179000000001</v>
      </c>
      <c r="F405" s="28">
        <v>52.671250000000001</v>
      </c>
      <c r="G405" s="28">
        <v>106.95</v>
      </c>
      <c r="H405" s="28">
        <v>39.45214</v>
      </c>
      <c r="I405" s="28">
        <v>43.333539999999999</v>
      </c>
      <c r="J405" s="29"/>
      <c r="K405" s="29"/>
      <c r="L405" s="29"/>
      <c r="M405" s="29"/>
      <c r="N405" s="29"/>
      <c r="P405" s="4">
        <f t="shared" ref="P405:T420" si="27">LN(E405/E404)</f>
        <v>1.0111021640567765E-2</v>
      </c>
      <c r="Q405" s="4">
        <f t="shared" si="27"/>
        <v>-4.6626303612945022E-3</v>
      </c>
      <c r="R405" s="4">
        <f t="shared" si="27"/>
        <v>-1.8527625862214275E-2</v>
      </c>
      <c r="S405" s="4">
        <f t="shared" si="27"/>
        <v>1.1183371163912518E-2</v>
      </c>
      <c r="T405" s="4">
        <f t="shared" si="27"/>
        <v>9.7700641158499271E-3</v>
      </c>
      <c r="U405" s="35"/>
      <c r="V405" s="35"/>
      <c r="W405" s="35"/>
      <c r="X405" s="35"/>
    </row>
    <row r="406" spans="4:24" x14ac:dyDescent="0.3">
      <c r="D406" s="23">
        <v>40169</v>
      </c>
      <c r="E406" s="5">
        <v>85.633797000000001</v>
      </c>
      <c r="F406" s="28">
        <v>52.558109999999999</v>
      </c>
      <c r="G406" s="28">
        <v>106.17</v>
      </c>
      <c r="H406" s="28">
        <v>39.689070000000001</v>
      </c>
      <c r="I406" s="28">
        <v>43.55556</v>
      </c>
      <c r="J406" s="29"/>
      <c r="K406" s="29"/>
      <c r="L406" s="29"/>
      <c r="M406" s="29"/>
      <c r="N406" s="29"/>
      <c r="P406" s="4">
        <f t="shared" si="27"/>
        <v>3.5869978744116353E-3</v>
      </c>
      <c r="Q406" s="4">
        <f t="shared" si="27"/>
        <v>-2.1503512631210787E-3</v>
      </c>
      <c r="R406" s="4">
        <f t="shared" si="27"/>
        <v>-7.3198525029329643E-3</v>
      </c>
      <c r="S406" s="4">
        <f t="shared" si="27"/>
        <v>5.9875432240991617E-3</v>
      </c>
      <c r="T406" s="4">
        <f t="shared" si="27"/>
        <v>5.110433488185062E-3</v>
      </c>
      <c r="U406" s="35"/>
      <c r="V406" s="35"/>
      <c r="W406" s="35"/>
      <c r="X406" s="35"/>
    </row>
    <row r="407" spans="4:24" x14ac:dyDescent="0.3">
      <c r="D407" s="23">
        <v>40170</v>
      </c>
      <c r="E407" s="5">
        <v>85.802361000000005</v>
      </c>
      <c r="F407" s="28">
        <v>52.551439999999999</v>
      </c>
      <c r="G407" s="28">
        <v>106.55</v>
      </c>
      <c r="H407" s="28">
        <v>39.978630000000003</v>
      </c>
      <c r="I407" s="28">
        <v>43.702010000000001</v>
      </c>
      <c r="J407" s="29"/>
      <c r="K407" s="29"/>
      <c r="L407" s="29"/>
      <c r="M407" s="29"/>
      <c r="N407" s="29"/>
      <c r="P407" s="4">
        <f t="shared" si="27"/>
        <v>1.9664936065718077E-3</v>
      </c>
      <c r="Q407" s="4">
        <f t="shared" si="27"/>
        <v>-1.2691520435493165E-4</v>
      </c>
      <c r="R407" s="4">
        <f t="shared" si="27"/>
        <v>3.5727755191444321E-3</v>
      </c>
      <c r="S407" s="4">
        <f t="shared" si="27"/>
        <v>7.2692264259658062E-3</v>
      </c>
      <c r="T407" s="4">
        <f t="shared" si="27"/>
        <v>3.3567319720741225E-3</v>
      </c>
      <c r="U407" s="35"/>
      <c r="V407" s="35"/>
      <c r="W407" s="35"/>
      <c r="X407" s="35"/>
    </row>
    <row r="408" spans="4:24" x14ac:dyDescent="0.3">
      <c r="D408" s="23">
        <v>40171</v>
      </c>
      <c r="E408" s="5">
        <v>86.208618000000001</v>
      </c>
      <c r="F408" s="28">
        <v>52.338560000000001</v>
      </c>
      <c r="G408" s="28">
        <v>108.36</v>
      </c>
      <c r="H408" s="28">
        <v>40.347180000000002</v>
      </c>
      <c r="I408" s="28">
        <v>43.92559</v>
      </c>
      <c r="J408" s="29"/>
      <c r="K408" s="29"/>
      <c r="L408" s="29"/>
      <c r="M408" s="29"/>
      <c r="N408" s="29"/>
      <c r="P408" s="4">
        <f t="shared" si="27"/>
        <v>4.723625872609152E-3</v>
      </c>
      <c r="Q408" s="4">
        <f t="shared" si="27"/>
        <v>-4.0591151166274909E-3</v>
      </c>
      <c r="R408" s="4">
        <f t="shared" si="27"/>
        <v>1.6844658672268288E-2</v>
      </c>
      <c r="S408" s="4">
        <f t="shared" si="27"/>
        <v>9.1764424462523926E-3</v>
      </c>
      <c r="T408" s="4">
        <f t="shared" si="27"/>
        <v>5.1029695021645944E-3</v>
      </c>
      <c r="U408" s="35"/>
      <c r="V408" s="35"/>
      <c r="W408" s="35"/>
      <c r="X408" s="35"/>
    </row>
    <row r="409" spans="4:24" x14ac:dyDescent="0.3">
      <c r="D409" s="23">
        <v>40175</v>
      </c>
      <c r="E409" s="5">
        <v>86.392562999999996</v>
      </c>
      <c r="F409" s="28">
        <v>52.39528</v>
      </c>
      <c r="G409" s="28">
        <v>108.55</v>
      </c>
      <c r="H409" s="28">
        <v>40.557780000000001</v>
      </c>
      <c r="I409" s="28">
        <v>43.979550000000003</v>
      </c>
      <c r="J409" s="29"/>
      <c r="K409" s="29"/>
      <c r="L409" s="29"/>
      <c r="M409" s="29"/>
      <c r="N409" s="29"/>
      <c r="P409" s="4">
        <f t="shared" si="27"/>
        <v>2.1314462458918377E-3</v>
      </c>
      <c r="Q409" s="4">
        <f t="shared" si="27"/>
        <v>1.0831266292756405E-3</v>
      </c>
      <c r="R409" s="4">
        <f t="shared" si="27"/>
        <v>1.7518791074065331E-3</v>
      </c>
      <c r="S409" s="4">
        <f t="shared" si="27"/>
        <v>5.2061202593638462E-3</v>
      </c>
      <c r="T409" s="4">
        <f t="shared" si="27"/>
        <v>1.2276871813741686E-3</v>
      </c>
      <c r="U409" s="35"/>
      <c r="V409" s="35"/>
      <c r="W409" s="35"/>
      <c r="X409" s="35"/>
    </row>
    <row r="410" spans="4:24" x14ac:dyDescent="0.3">
      <c r="D410" s="23">
        <v>40176</v>
      </c>
      <c r="E410" s="5">
        <v>86.269867000000005</v>
      </c>
      <c r="F410" s="28">
        <v>52.428640000000001</v>
      </c>
      <c r="G410" s="28">
        <v>107.47</v>
      </c>
      <c r="H410" s="28">
        <v>40.391069999999999</v>
      </c>
      <c r="I410" s="28">
        <v>43.902470000000001</v>
      </c>
      <c r="J410" s="29"/>
      <c r="K410" s="29"/>
      <c r="L410" s="29"/>
      <c r="M410" s="29"/>
      <c r="N410" s="29"/>
      <c r="P410" s="4">
        <f t="shared" si="27"/>
        <v>-1.4212243005334337E-3</v>
      </c>
      <c r="Q410" s="4">
        <f t="shared" si="27"/>
        <v>6.3649596630717289E-4</v>
      </c>
      <c r="R410" s="4">
        <f t="shared" si="27"/>
        <v>-9.9991574712388967E-3</v>
      </c>
      <c r="S410" s="4">
        <f t="shared" si="27"/>
        <v>-4.1189031268817214E-3</v>
      </c>
      <c r="T410" s="4">
        <f t="shared" si="27"/>
        <v>-1.7541704154121658E-3</v>
      </c>
      <c r="U410" s="35"/>
      <c r="V410" s="35"/>
      <c r="W410" s="35"/>
      <c r="X410" s="35"/>
    </row>
    <row r="411" spans="4:24" x14ac:dyDescent="0.3">
      <c r="D411" s="23">
        <v>40177</v>
      </c>
      <c r="E411" s="5">
        <v>86.239243000000002</v>
      </c>
      <c r="F411" s="28">
        <v>52.502079999999999</v>
      </c>
      <c r="G411" s="28">
        <v>106.93</v>
      </c>
      <c r="H411" s="28">
        <v>40.513910000000003</v>
      </c>
      <c r="I411" s="28">
        <v>43.887039999999999</v>
      </c>
      <c r="J411" s="29"/>
      <c r="K411" s="29"/>
      <c r="L411" s="29"/>
      <c r="M411" s="29"/>
      <c r="N411" s="29"/>
      <c r="P411" s="4">
        <f t="shared" si="27"/>
        <v>-3.5504212295451687E-4</v>
      </c>
      <c r="Q411" s="4">
        <f t="shared" si="27"/>
        <v>1.39978096007437E-3</v>
      </c>
      <c r="R411" s="4">
        <f t="shared" si="27"/>
        <v>-5.0373240844965817E-3</v>
      </c>
      <c r="S411" s="4">
        <f t="shared" si="27"/>
        <v>3.036651004544858E-3</v>
      </c>
      <c r="T411" s="4">
        <f t="shared" si="27"/>
        <v>-3.5152263998032145E-4</v>
      </c>
      <c r="U411" s="35"/>
      <c r="V411" s="35"/>
      <c r="W411" s="35"/>
      <c r="X411" s="35"/>
    </row>
    <row r="412" spans="4:24" x14ac:dyDescent="0.3">
      <c r="D412" s="23">
        <v>40178</v>
      </c>
      <c r="E412" s="5">
        <v>85.411490999999998</v>
      </c>
      <c r="F412" s="28">
        <v>52.462009999999999</v>
      </c>
      <c r="G412" s="28">
        <v>107.31</v>
      </c>
      <c r="H412" s="28">
        <v>40.145339999999997</v>
      </c>
      <c r="I412" s="28">
        <v>43.455329999999996</v>
      </c>
      <c r="J412" s="29"/>
      <c r="K412" s="29"/>
      <c r="L412" s="29"/>
      <c r="M412" s="29"/>
      <c r="N412" s="29"/>
      <c r="P412" s="4">
        <f t="shared" si="27"/>
        <v>-9.6446825149119654E-3</v>
      </c>
      <c r="Q412" s="4">
        <f t="shared" si="27"/>
        <v>-7.6349924905749224E-4</v>
      </c>
      <c r="R412" s="4">
        <f t="shared" si="27"/>
        <v>3.5474271704708203E-3</v>
      </c>
      <c r="S412" s="4">
        <f t="shared" si="27"/>
        <v>-9.139003035260362E-3</v>
      </c>
      <c r="T412" s="4">
        <f t="shared" si="27"/>
        <v>-9.8855461718623892E-3</v>
      </c>
      <c r="U412" s="35"/>
      <c r="V412" s="35"/>
      <c r="W412" s="35"/>
      <c r="X412" s="35"/>
    </row>
    <row r="413" spans="4:24" x14ac:dyDescent="0.3">
      <c r="D413" s="23">
        <v>40182</v>
      </c>
      <c r="E413" s="5">
        <v>86.860068999999996</v>
      </c>
      <c r="F413" s="28">
        <v>52.522089999999999</v>
      </c>
      <c r="G413" s="28">
        <v>109.8</v>
      </c>
      <c r="H413" s="28">
        <v>40.733280000000001</v>
      </c>
      <c r="I413" s="28">
        <v>44.179960000000001</v>
      </c>
      <c r="J413" s="29"/>
      <c r="K413" s="29"/>
      <c r="L413" s="29"/>
      <c r="M413" s="29"/>
      <c r="N413" s="29"/>
      <c r="P413" s="4">
        <f t="shared" si="27"/>
        <v>1.6817774710187746E-2</v>
      </c>
      <c r="Q413" s="4">
        <f t="shared" si="27"/>
        <v>1.144554395546673E-3</v>
      </c>
      <c r="R413" s="4">
        <f t="shared" si="27"/>
        <v>2.2938687136394076E-2</v>
      </c>
      <c r="S413" s="4">
        <f t="shared" si="27"/>
        <v>1.4539079839984306E-2</v>
      </c>
      <c r="T413" s="4">
        <f t="shared" si="27"/>
        <v>1.6537778681096144E-2</v>
      </c>
      <c r="U413" s="35"/>
      <c r="V413" s="35"/>
      <c r="W413" s="35"/>
      <c r="X413" s="35"/>
    </row>
    <row r="414" spans="4:24" x14ac:dyDescent="0.3">
      <c r="D414" s="23">
        <v>40183</v>
      </c>
      <c r="E414" s="5">
        <v>87.089966000000004</v>
      </c>
      <c r="F414" s="28">
        <v>52.675669999999997</v>
      </c>
      <c r="G414" s="28">
        <v>109.7</v>
      </c>
      <c r="H414" s="28">
        <v>40.733280000000001</v>
      </c>
      <c r="I414" s="28">
        <v>44.349580000000003</v>
      </c>
      <c r="J414" s="29"/>
      <c r="K414" s="29"/>
      <c r="L414" s="29"/>
      <c r="M414" s="29"/>
      <c r="N414" s="29"/>
      <c r="P414" s="4">
        <f t="shared" si="27"/>
        <v>2.6432548157131106E-3</v>
      </c>
      <c r="Q414" s="4">
        <f t="shared" si="27"/>
        <v>2.919836108895056E-3</v>
      </c>
      <c r="R414" s="4">
        <f t="shared" si="27"/>
        <v>-9.11161794245659E-4</v>
      </c>
      <c r="S414" s="4">
        <f t="shared" si="27"/>
        <v>0</v>
      </c>
      <c r="T414" s="4">
        <f t="shared" si="27"/>
        <v>3.8319459822248204E-3</v>
      </c>
      <c r="U414" s="35"/>
      <c r="V414" s="35"/>
      <c r="W414" s="35"/>
      <c r="X414" s="35"/>
    </row>
    <row r="415" spans="4:24" x14ac:dyDescent="0.3">
      <c r="D415" s="23">
        <v>40184</v>
      </c>
      <c r="E415" s="5">
        <v>87.151291000000001</v>
      </c>
      <c r="F415" s="28">
        <v>52.655610000000003</v>
      </c>
      <c r="G415" s="28">
        <v>111.51</v>
      </c>
      <c r="H415" s="28">
        <v>40.487560000000002</v>
      </c>
      <c r="I415" s="28">
        <v>44.411239999999999</v>
      </c>
      <c r="J415" s="29"/>
      <c r="K415" s="29"/>
      <c r="L415" s="29"/>
      <c r="M415" s="29"/>
      <c r="N415" s="29"/>
      <c r="P415" s="4">
        <f t="shared" si="27"/>
        <v>7.039090923471968E-4</v>
      </c>
      <c r="Q415" s="4">
        <f t="shared" si="27"/>
        <v>-3.8089350556677002E-4</v>
      </c>
      <c r="R415" s="4">
        <f t="shared" si="27"/>
        <v>1.6364905696085945E-2</v>
      </c>
      <c r="S415" s="4">
        <f t="shared" si="27"/>
        <v>-6.0506823043394867E-3</v>
      </c>
      <c r="T415" s="4">
        <f t="shared" si="27"/>
        <v>1.389351966746501E-3</v>
      </c>
      <c r="U415" s="35"/>
      <c r="V415" s="35"/>
      <c r="W415" s="35"/>
      <c r="X415" s="35"/>
    </row>
    <row r="416" spans="4:24" x14ac:dyDescent="0.3">
      <c r="D416" s="23">
        <v>40185</v>
      </c>
      <c r="E416" s="5">
        <v>87.519188</v>
      </c>
      <c r="F416" s="28">
        <v>52.615569999999998</v>
      </c>
      <c r="G416" s="28">
        <v>110.82</v>
      </c>
      <c r="H416" s="28">
        <v>40.513910000000003</v>
      </c>
      <c r="I416" s="28">
        <v>44.596249999999998</v>
      </c>
      <c r="J416" s="29"/>
      <c r="K416" s="29"/>
      <c r="L416" s="29"/>
      <c r="M416" s="29"/>
      <c r="N416" s="29"/>
      <c r="P416" s="4">
        <f t="shared" si="27"/>
        <v>4.2124753551050307E-3</v>
      </c>
      <c r="Q416" s="4">
        <f t="shared" si="27"/>
        <v>-7.6070206358144646E-4</v>
      </c>
      <c r="R416" s="4">
        <f t="shared" si="27"/>
        <v>-6.2070095380669325E-3</v>
      </c>
      <c r="S416" s="4">
        <f t="shared" si="27"/>
        <v>6.5060549961544402E-4</v>
      </c>
      <c r="T416" s="4">
        <f t="shared" si="27"/>
        <v>4.157184220068234E-3</v>
      </c>
      <c r="U416" s="35"/>
      <c r="V416" s="35"/>
      <c r="W416" s="35"/>
      <c r="X416" s="35"/>
    </row>
    <row r="417" spans="4:24" x14ac:dyDescent="0.3">
      <c r="D417" s="23">
        <v>40186</v>
      </c>
      <c r="E417" s="5">
        <v>87.81044</v>
      </c>
      <c r="F417" s="28">
        <v>52.668970000000002</v>
      </c>
      <c r="G417" s="28">
        <v>111.37</v>
      </c>
      <c r="H417" s="28">
        <v>40.847349999999999</v>
      </c>
      <c r="I417" s="28">
        <v>44.742739999999998</v>
      </c>
      <c r="J417" s="29"/>
      <c r="K417" s="29"/>
      <c r="L417" s="29"/>
      <c r="M417" s="29"/>
      <c r="N417" s="29"/>
      <c r="P417" s="4">
        <f t="shared" si="27"/>
        <v>3.3223394268740189E-3</v>
      </c>
      <c r="Q417" s="4">
        <f t="shared" si="27"/>
        <v>1.0143940331416878E-3</v>
      </c>
      <c r="R417" s="4">
        <f t="shared" si="27"/>
        <v>4.9507279658052685E-3</v>
      </c>
      <c r="S417" s="4">
        <f t="shared" si="27"/>
        <v>8.1965757859029584E-3</v>
      </c>
      <c r="T417" s="4">
        <f t="shared" si="27"/>
        <v>3.2794221489827026E-3</v>
      </c>
      <c r="U417" s="35"/>
      <c r="V417" s="35"/>
      <c r="W417" s="35"/>
      <c r="X417" s="35"/>
    </row>
    <row r="418" spans="4:24" x14ac:dyDescent="0.3">
      <c r="D418" s="23">
        <v>40189</v>
      </c>
      <c r="E418" s="5">
        <v>87.933075000000002</v>
      </c>
      <c r="F418" s="28">
        <v>52.689019999999999</v>
      </c>
      <c r="G418" s="28">
        <v>112.85</v>
      </c>
      <c r="H418" s="28">
        <v>40.680630000000001</v>
      </c>
      <c r="I418" s="28">
        <v>44.804409999999997</v>
      </c>
      <c r="J418" s="29"/>
      <c r="K418" s="29"/>
      <c r="L418" s="29"/>
      <c r="M418" s="29"/>
      <c r="N418" s="29"/>
      <c r="P418" s="4">
        <f t="shared" si="27"/>
        <v>1.3956136009350506E-3</v>
      </c>
      <c r="Q418" s="4">
        <f t="shared" si="27"/>
        <v>3.8060711374696333E-4</v>
      </c>
      <c r="R418" s="4">
        <f t="shared" si="27"/>
        <v>1.3201511858535761E-2</v>
      </c>
      <c r="S418" s="4">
        <f t="shared" si="27"/>
        <v>-4.0898899346333475E-3</v>
      </c>
      <c r="T418" s="4">
        <f t="shared" si="27"/>
        <v>1.377375153756007E-3</v>
      </c>
      <c r="U418" s="35"/>
      <c r="V418" s="35"/>
      <c r="W418" s="35"/>
      <c r="X418" s="35"/>
    </row>
    <row r="419" spans="4:24" x14ac:dyDescent="0.3">
      <c r="D419" s="23">
        <v>40190</v>
      </c>
      <c r="E419" s="5">
        <v>87.112983999999997</v>
      </c>
      <c r="F419" s="28">
        <v>52.889270000000003</v>
      </c>
      <c r="G419" s="28">
        <v>110.49</v>
      </c>
      <c r="H419" s="28">
        <v>40.171680000000002</v>
      </c>
      <c r="I419" s="28">
        <v>44.341880000000003</v>
      </c>
      <c r="J419" s="29"/>
      <c r="K419" s="29"/>
      <c r="L419" s="29"/>
      <c r="M419" s="29"/>
      <c r="N419" s="29"/>
      <c r="P419" s="4">
        <f t="shared" si="27"/>
        <v>-9.3700709960317513E-3</v>
      </c>
      <c r="Q419" s="4">
        <f t="shared" si="27"/>
        <v>3.7933980580834351E-3</v>
      </c>
      <c r="R419" s="4">
        <f t="shared" si="27"/>
        <v>-2.113448413846112E-2</v>
      </c>
      <c r="S419" s="4">
        <f t="shared" si="27"/>
        <v>-1.2589788034025608E-2</v>
      </c>
      <c r="T419" s="4">
        <f t="shared" si="27"/>
        <v>-1.0376969147808427E-2</v>
      </c>
      <c r="U419" s="35"/>
      <c r="V419" s="35"/>
      <c r="W419" s="35"/>
      <c r="X419" s="35"/>
    </row>
    <row r="420" spans="4:24" x14ac:dyDescent="0.3">
      <c r="D420" s="23">
        <v>40191</v>
      </c>
      <c r="E420" s="5">
        <v>87.848785000000007</v>
      </c>
      <c r="F420" s="28">
        <v>52.769129999999997</v>
      </c>
      <c r="G420" s="28">
        <v>111.54</v>
      </c>
      <c r="H420" s="28">
        <v>40.671849999999999</v>
      </c>
      <c r="I420" s="28">
        <v>44.758139999999997</v>
      </c>
      <c r="J420" s="29"/>
      <c r="K420" s="29"/>
      <c r="L420" s="29"/>
      <c r="M420" s="29"/>
      <c r="N420" s="29"/>
      <c r="P420" s="4">
        <f t="shared" si="27"/>
        <v>8.4110413616838089E-3</v>
      </c>
      <c r="Q420" s="4">
        <f t="shared" si="27"/>
        <v>-2.274122110057506E-3</v>
      </c>
      <c r="R420" s="4">
        <f t="shared" si="27"/>
        <v>9.4582518363240387E-3</v>
      </c>
      <c r="S420" s="4">
        <f t="shared" si="27"/>
        <v>1.2373937207250748E-2</v>
      </c>
      <c r="T420" s="4">
        <f t="shared" si="27"/>
        <v>9.3437246920293569E-3</v>
      </c>
      <c r="U420" s="35"/>
      <c r="V420" s="35"/>
      <c r="W420" s="35"/>
      <c r="X420" s="35"/>
    </row>
    <row r="421" spans="4:24" x14ac:dyDescent="0.3">
      <c r="D421" s="23">
        <v>40192</v>
      </c>
      <c r="E421" s="5">
        <v>88.086365000000001</v>
      </c>
      <c r="F421" s="28">
        <v>52.895910000000001</v>
      </c>
      <c r="G421" s="28">
        <v>112.03</v>
      </c>
      <c r="H421" s="28">
        <v>40.706960000000002</v>
      </c>
      <c r="I421" s="28">
        <v>44.835239999999999</v>
      </c>
      <c r="J421" s="29"/>
      <c r="K421" s="29"/>
      <c r="L421" s="29"/>
      <c r="M421" s="29"/>
      <c r="N421" s="29"/>
      <c r="P421" s="4">
        <f t="shared" ref="P421:T436" si="28">LN(E421/E420)</f>
        <v>2.7007695098120944E-3</v>
      </c>
      <c r="Q421" s="4">
        <f t="shared" si="28"/>
        <v>2.3996595437266949E-3</v>
      </c>
      <c r="R421" s="4">
        <f t="shared" si="28"/>
        <v>4.3834216092242745E-3</v>
      </c>
      <c r="S421" s="4">
        <f t="shared" si="28"/>
        <v>8.6287824013290388E-4</v>
      </c>
      <c r="T421" s="4">
        <f t="shared" si="28"/>
        <v>1.721109730032594E-3</v>
      </c>
      <c r="U421" s="35"/>
      <c r="V421" s="35"/>
      <c r="W421" s="35"/>
      <c r="X421" s="35"/>
    </row>
    <row r="422" spans="4:24" x14ac:dyDescent="0.3">
      <c r="D422" s="23">
        <v>40193</v>
      </c>
      <c r="E422" s="5">
        <v>87.097663999999995</v>
      </c>
      <c r="F422" s="28">
        <v>52.929340000000003</v>
      </c>
      <c r="G422" s="28">
        <v>110.86</v>
      </c>
      <c r="H422" s="28">
        <v>40.233110000000003</v>
      </c>
      <c r="I422" s="28">
        <v>44.326439999999998</v>
      </c>
      <c r="J422" s="29"/>
      <c r="K422" s="29"/>
      <c r="L422" s="29"/>
      <c r="M422" s="29"/>
      <c r="N422" s="29"/>
      <c r="P422" s="4">
        <f t="shared" si="28"/>
        <v>-1.1287689903178261E-2</v>
      </c>
      <c r="Q422" s="4">
        <f t="shared" si="28"/>
        <v>6.3179630781896976E-4</v>
      </c>
      <c r="R422" s="4">
        <f t="shared" si="28"/>
        <v>-1.0498548578973331E-2</v>
      </c>
      <c r="S422" s="4">
        <f t="shared" si="28"/>
        <v>-1.1708796732268845E-2</v>
      </c>
      <c r="T422" s="4">
        <f t="shared" si="28"/>
        <v>-1.1413098608325239E-2</v>
      </c>
      <c r="U422" s="35"/>
      <c r="V422" s="35"/>
      <c r="W422" s="35"/>
      <c r="X422" s="35"/>
    </row>
    <row r="423" spans="4:24" x14ac:dyDescent="0.3">
      <c r="D423" s="23">
        <v>40197</v>
      </c>
      <c r="E423" s="5">
        <v>88.185974000000002</v>
      </c>
      <c r="F423" s="28">
        <v>52.9026</v>
      </c>
      <c r="G423" s="28">
        <v>111.52</v>
      </c>
      <c r="H423" s="28">
        <v>40.882449999999999</v>
      </c>
      <c r="I423" s="28">
        <v>44.912320000000001</v>
      </c>
      <c r="J423" s="29"/>
      <c r="K423" s="29"/>
      <c r="L423" s="29"/>
      <c r="M423" s="29"/>
      <c r="N423" s="29"/>
      <c r="P423" s="4">
        <f t="shared" si="28"/>
        <v>1.2417861672243605E-2</v>
      </c>
      <c r="Q423" s="4">
        <f t="shared" si="28"/>
        <v>-5.0532949824080029E-4</v>
      </c>
      <c r="R423" s="4">
        <f t="shared" si="28"/>
        <v>5.9358030205550376E-3</v>
      </c>
      <c r="S423" s="4">
        <f t="shared" si="28"/>
        <v>1.6010587139283234E-2</v>
      </c>
      <c r="T423" s="4">
        <f t="shared" si="28"/>
        <v>1.3130805896460233E-2</v>
      </c>
      <c r="U423" s="35"/>
      <c r="V423" s="35"/>
      <c r="W423" s="35"/>
      <c r="X423" s="35"/>
    </row>
    <row r="424" spans="4:24" x14ac:dyDescent="0.3">
      <c r="D424" s="23">
        <v>40198</v>
      </c>
      <c r="E424" s="5">
        <v>87.289260999999996</v>
      </c>
      <c r="F424" s="28">
        <v>53.029470000000003</v>
      </c>
      <c r="G424" s="28">
        <v>108.94</v>
      </c>
      <c r="H424" s="28">
        <v>40.294530000000002</v>
      </c>
      <c r="I424" s="28">
        <v>44.496049999999997</v>
      </c>
      <c r="J424" s="29"/>
      <c r="K424" s="29"/>
      <c r="L424" s="29"/>
      <c r="M424" s="29"/>
      <c r="N424" s="29"/>
      <c r="P424" s="4">
        <f t="shared" si="28"/>
        <v>-1.0220482744971083E-2</v>
      </c>
      <c r="Q424" s="4">
        <f t="shared" si="28"/>
        <v>2.395309761431293E-3</v>
      </c>
      <c r="R424" s="4">
        <f t="shared" si="28"/>
        <v>-2.3406675056685287E-2</v>
      </c>
      <c r="S424" s="4">
        <f t="shared" si="28"/>
        <v>-1.4485147876188331E-2</v>
      </c>
      <c r="T424" s="4">
        <f t="shared" si="28"/>
        <v>-9.3117234511856106E-3</v>
      </c>
      <c r="U424" s="35"/>
      <c r="V424" s="35"/>
      <c r="W424" s="35"/>
      <c r="X424" s="35"/>
    </row>
    <row r="425" spans="4:24" x14ac:dyDescent="0.3">
      <c r="D425" s="23">
        <v>40199</v>
      </c>
      <c r="E425" s="5">
        <v>85.610748000000001</v>
      </c>
      <c r="F425" s="28">
        <v>53.08952</v>
      </c>
      <c r="G425" s="28">
        <v>107.37</v>
      </c>
      <c r="H425" s="28">
        <v>39.917200000000001</v>
      </c>
      <c r="I425" s="28">
        <v>43.678899999999999</v>
      </c>
      <c r="J425" s="29"/>
      <c r="K425" s="29"/>
      <c r="L425" s="29"/>
      <c r="M425" s="29"/>
      <c r="N425" s="29"/>
      <c r="P425" s="4">
        <f t="shared" si="28"/>
        <v>-1.9416606665387845E-2</v>
      </c>
      <c r="Q425" s="4">
        <f t="shared" si="28"/>
        <v>1.1317485477313242E-3</v>
      </c>
      <c r="R425" s="4">
        <f t="shared" si="28"/>
        <v>-1.4516458509484268E-2</v>
      </c>
      <c r="S425" s="4">
        <f t="shared" si="28"/>
        <v>-9.4084190275312493E-3</v>
      </c>
      <c r="T425" s="4">
        <f t="shared" si="28"/>
        <v>-1.8535273218124121E-2</v>
      </c>
      <c r="U425" s="35"/>
      <c r="V425" s="35"/>
      <c r="W425" s="35"/>
      <c r="X425" s="35"/>
    </row>
    <row r="426" spans="4:24" x14ac:dyDescent="0.3">
      <c r="D426" s="23">
        <v>40200</v>
      </c>
      <c r="E426" s="5">
        <v>83.702347000000003</v>
      </c>
      <c r="F426" s="28">
        <v>53.069519999999997</v>
      </c>
      <c r="G426" s="28">
        <v>107.17</v>
      </c>
      <c r="H426" s="28">
        <v>38.750140000000002</v>
      </c>
      <c r="I426" s="28">
        <v>42.71528</v>
      </c>
      <c r="J426" s="29"/>
      <c r="K426" s="29"/>
      <c r="L426" s="29"/>
      <c r="M426" s="29"/>
      <c r="N426" s="29"/>
      <c r="P426" s="4">
        <f t="shared" si="28"/>
        <v>-2.254381828970381E-2</v>
      </c>
      <c r="Q426" s="4">
        <f t="shared" si="28"/>
        <v>-3.7679316309988348E-4</v>
      </c>
      <c r="R426" s="4">
        <f t="shared" si="28"/>
        <v>-1.8644547211384493E-3</v>
      </c>
      <c r="S426" s="4">
        <f t="shared" si="28"/>
        <v>-2.9672940006702318E-2</v>
      </c>
      <c r="T426" s="4">
        <f t="shared" si="28"/>
        <v>-2.2308446312938098E-2</v>
      </c>
      <c r="U426" s="35"/>
      <c r="V426" s="35"/>
      <c r="W426" s="35"/>
      <c r="X426" s="35"/>
    </row>
    <row r="427" spans="4:24" x14ac:dyDescent="0.3">
      <c r="D427" s="23">
        <v>40203</v>
      </c>
      <c r="E427" s="5">
        <v>84.131538000000006</v>
      </c>
      <c r="F427" s="28">
        <v>52.996090000000002</v>
      </c>
      <c r="G427" s="28">
        <v>107.48</v>
      </c>
      <c r="H427" s="28">
        <v>38.881770000000003</v>
      </c>
      <c r="I427" s="28">
        <v>42.900300000000001</v>
      </c>
      <c r="J427" s="29"/>
      <c r="K427" s="29"/>
      <c r="L427" s="29"/>
      <c r="M427" s="29"/>
      <c r="N427" s="29"/>
      <c r="P427" s="4">
        <f t="shared" si="28"/>
        <v>5.114484903484838E-3</v>
      </c>
      <c r="Q427" s="4">
        <f t="shared" si="28"/>
        <v>-1.3846148950900472E-3</v>
      </c>
      <c r="R427" s="4">
        <f t="shared" si="28"/>
        <v>2.8884250223847763E-3</v>
      </c>
      <c r="S427" s="4">
        <f t="shared" si="28"/>
        <v>3.3911345513238877E-3</v>
      </c>
      <c r="T427" s="4">
        <f t="shared" si="28"/>
        <v>4.3221172600859349E-3</v>
      </c>
      <c r="U427" s="35"/>
      <c r="V427" s="35"/>
      <c r="W427" s="35"/>
      <c r="X427" s="35"/>
    </row>
    <row r="428" spans="4:24" x14ac:dyDescent="0.3">
      <c r="D428" s="23">
        <v>40204</v>
      </c>
      <c r="E428" s="5">
        <v>83.778998999999999</v>
      </c>
      <c r="F428" s="28">
        <v>53.122920000000001</v>
      </c>
      <c r="G428" s="28">
        <v>107.56</v>
      </c>
      <c r="H428" s="28">
        <v>38.91686</v>
      </c>
      <c r="I428" s="28">
        <v>42.707569999999997</v>
      </c>
      <c r="J428" s="29"/>
      <c r="K428" s="29"/>
      <c r="L428" s="29"/>
      <c r="M428" s="29"/>
      <c r="N428" s="29"/>
      <c r="P428" s="4">
        <f t="shared" si="28"/>
        <v>-4.1991351384788236E-3</v>
      </c>
      <c r="Q428" s="4">
        <f t="shared" si="28"/>
        <v>2.3903362910966289E-3</v>
      </c>
      <c r="R428" s="4">
        <f t="shared" si="28"/>
        <v>7.4404765337333001E-4</v>
      </c>
      <c r="S428" s="4">
        <f t="shared" si="28"/>
        <v>9.0207250126362226E-4</v>
      </c>
      <c r="T428" s="4">
        <f t="shared" si="28"/>
        <v>-4.5026310224092732E-3</v>
      </c>
      <c r="U428" s="35"/>
      <c r="V428" s="35"/>
      <c r="W428" s="35"/>
      <c r="X428" s="35"/>
    </row>
    <row r="429" spans="4:24" x14ac:dyDescent="0.3">
      <c r="D429" s="23">
        <v>40205</v>
      </c>
      <c r="E429" s="5">
        <v>84.177574000000007</v>
      </c>
      <c r="F429" s="28">
        <v>53.049500000000002</v>
      </c>
      <c r="G429" s="28">
        <v>106.53</v>
      </c>
      <c r="H429" s="28">
        <v>39.223990000000001</v>
      </c>
      <c r="I429" s="28">
        <v>42.915709999999997</v>
      </c>
      <c r="J429" s="29"/>
      <c r="K429" s="29"/>
      <c r="L429" s="29"/>
      <c r="M429" s="29"/>
      <c r="N429" s="29"/>
      <c r="P429" s="4">
        <f t="shared" si="28"/>
        <v>4.7461762416134527E-3</v>
      </c>
      <c r="Q429" s="4">
        <f t="shared" si="28"/>
        <v>-1.3830335920200962E-3</v>
      </c>
      <c r="R429" s="4">
        <f t="shared" si="28"/>
        <v>-9.6221957775577648E-3</v>
      </c>
      <c r="S429" s="4">
        <f t="shared" si="28"/>
        <v>7.8609736543055163E-3</v>
      </c>
      <c r="T429" s="4">
        <f t="shared" si="28"/>
        <v>4.8617714710418739E-3</v>
      </c>
      <c r="U429" s="35"/>
      <c r="V429" s="35"/>
      <c r="W429" s="35"/>
      <c r="X429" s="35"/>
    </row>
    <row r="430" spans="4:24" x14ac:dyDescent="0.3">
      <c r="D430" s="23">
        <v>40206</v>
      </c>
      <c r="E430" s="5">
        <v>83.211838</v>
      </c>
      <c r="F430" s="28">
        <v>53.069519999999997</v>
      </c>
      <c r="G430" s="28">
        <v>106.48</v>
      </c>
      <c r="H430" s="28">
        <v>38.214880000000001</v>
      </c>
      <c r="I430" s="28">
        <v>42.406910000000003</v>
      </c>
      <c r="J430" s="29"/>
      <c r="K430" s="29"/>
      <c r="L430" s="29"/>
      <c r="M430" s="29"/>
      <c r="N430" s="29"/>
      <c r="P430" s="4">
        <f t="shared" si="28"/>
        <v>-1.1538922370534622E-2</v>
      </c>
      <c r="Q430" s="4">
        <f t="shared" si="28"/>
        <v>3.7731219601370731E-4</v>
      </c>
      <c r="R430" s="4">
        <f t="shared" si="28"/>
        <v>-4.6946153624994507E-4</v>
      </c>
      <c r="S430" s="4">
        <f t="shared" si="28"/>
        <v>-2.606358084125291E-2</v>
      </c>
      <c r="T430" s="4">
        <f t="shared" si="28"/>
        <v>-1.1926638707565131E-2</v>
      </c>
      <c r="U430" s="35"/>
      <c r="V430" s="35"/>
      <c r="W430" s="35"/>
      <c r="X430" s="35"/>
    </row>
    <row r="431" spans="4:24" x14ac:dyDescent="0.3">
      <c r="D431" s="23">
        <v>40207</v>
      </c>
      <c r="E431" s="5">
        <v>82.307449000000005</v>
      </c>
      <c r="F431" s="28">
        <v>53.13626</v>
      </c>
      <c r="G431" s="28">
        <v>105.96</v>
      </c>
      <c r="H431" s="28">
        <v>37.547980000000003</v>
      </c>
      <c r="I431" s="28">
        <v>41.905850000000001</v>
      </c>
      <c r="J431" s="29"/>
      <c r="K431" s="29"/>
      <c r="L431" s="29"/>
      <c r="M431" s="29"/>
      <c r="N431" s="29"/>
      <c r="P431" s="4">
        <f t="shared" si="28"/>
        <v>-1.0928007444370362E-2</v>
      </c>
      <c r="Q431" s="4">
        <f t="shared" si="28"/>
        <v>1.2568055860047321E-3</v>
      </c>
      <c r="R431" s="4">
        <f t="shared" si="28"/>
        <v>-4.8955096829873829E-3</v>
      </c>
      <c r="S431" s="4">
        <f t="shared" si="28"/>
        <v>-1.7605386738631067E-2</v>
      </c>
      <c r="T431" s="4">
        <f t="shared" si="28"/>
        <v>-1.1885885336769065E-2</v>
      </c>
      <c r="U431" s="35"/>
      <c r="V431" s="35"/>
      <c r="W431" s="35"/>
      <c r="X431" s="35"/>
    </row>
    <row r="432" spans="4:24" x14ac:dyDescent="0.3">
      <c r="D432" s="23">
        <v>40210</v>
      </c>
      <c r="E432" s="5">
        <v>83.587387000000007</v>
      </c>
      <c r="F432" s="28">
        <v>53.101439999999997</v>
      </c>
      <c r="G432" s="28">
        <v>108.35</v>
      </c>
      <c r="H432" s="28">
        <v>37.960389999999997</v>
      </c>
      <c r="I432" s="28">
        <v>42.54569</v>
      </c>
      <c r="J432" s="29"/>
      <c r="K432" s="29"/>
      <c r="L432" s="29"/>
      <c r="M432" s="29"/>
      <c r="N432" s="29"/>
      <c r="P432" s="4">
        <f t="shared" si="28"/>
        <v>1.5431021587127735E-2</v>
      </c>
      <c r="Q432" s="4">
        <f t="shared" si="28"/>
        <v>-6.5551120264903927E-4</v>
      </c>
      <c r="R432" s="4">
        <f t="shared" si="28"/>
        <v>2.2305063578499016E-2</v>
      </c>
      <c r="S432" s="4">
        <f t="shared" si="28"/>
        <v>1.0923665838488691E-2</v>
      </c>
      <c r="T432" s="4">
        <f t="shared" si="28"/>
        <v>1.5153121971185155E-2</v>
      </c>
      <c r="U432" s="35"/>
      <c r="V432" s="35"/>
      <c r="W432" s="35"/>
      <c r="X432" s="35"/>
    </row>
    <row r="433" spans="4:24" x14ac:dyDescent="0.3">
      <c r="D433" s="23">
        <v>40211</v>
      </c>
      <c r="E433" s="5">
        <v>84.599097999999998</v>
      </c>
      <c r="F433" s="28">
        <v>53.134920000000001</v>
      </c>
      <c r="G433" s="28">
        <v>109.13</v>
      </c>
      <c r="H433" s="28">
        <v>38.302619999999997</v>
      </c>
      <c r="I433" s="28">
        <v>43.09301</v>
      </c>
      <c r="J433" s="29"/>
      <c r="K433" s="29"/>
      <c r="L433" s="29"/>
      <c r="M433" s="29"/>
      <c r="N433" s="29"/>
      <c r="P433" s="4">
        <f t="shared" si="28"/>
        <v>1.203096911439709E-2</v>
      </c>
      <c r="Q433" s="4">
        <f t="shared" si="28"/>
        <v>6.3029270032194146E-4</v>
      </c>
      <c r="R433" s="4">
        <f t="shared" si="28"/>
        <v>7.1731041426304687E-3</v>
      </c>
      <c r="S433" s="4">
        <f t="shared" si="28"/>
        <v>8.9750534960789437E-3</v>
      </c>
      <c r="T433" s="4">
        <f t="shared" si="28"/>
        <v>1.2782245690470996E-2</v>
      </c>
      <c r="U433" s="35"/>
      <c r="V433" s="35"/>
      <c r="W433" s="35"/>
      <c r="X433" s="35"/>
    </row>
    <row r="434" spans="4:24" x14ac:dyDescent="0.3">
      <c r="D434" s="23">
        <v>40212</v>
      </c>
      <c r="E434" s="5">
        <v>84.177574000000007</v>
      </c>
      <c r="F434" s="28">
        <v>53.101439999999997</v>
      </c>
      <c r="G434" s="28">
        <v>108.7</v>
      </c>
      <c r="H434" s="28">
        <v>38.513219999999997</v>
      </c>
      <c r="I434" s="28">
        <v>42.877160000000003</v>
      </c>
      <c r="J434" s="29"/>
      <c r="K434" s="29"/>
      <c r="L434" s="29"/>
      <c r="M434" s="29"/>
      <c r="N434" s="29"/>
      <c r="P434" s="4">
        <f t="shared" si="28"/>
        <v>-4.9950608866197177E-3</v>
      </c>
      <c r="Q434" s="4">
        <f t="shared" si="28"/>
        <v>-6.3029270032195252E-4</v>
      </c>
      <c r="R434" s="4">
        <f t="shared" si="28"/>
        <v>-3.9480379978346627E-3</v>
      </c>
      <c r="S434" s="4">
        <f t="shared" si="28"/>
        <v>5.4832578192226316E-3</v>
      </c>
      <c r="T434" s="4">
        <f t="shared" si="28"/>
        <v>-5.0215197565969772E-3</v>
      </c>
      <c r="U434" s="35"/>
      <c r="V434" s="35"/>
      <c r="W434" s="35"/>
      <c r="X434" s="35"/>
    </row>
    <row r="435" spans="4:24" x14ac:dyDescent="0.3">
      <c r="D435" s="23">
        <v>40213</v>
      </c>
      <c r="E435" s="5">
        <v>81.579314999999994</v>
      </c>
      <c r="F435" s="28">
        <v>53.201889999999999</v>
      </c>
      <c r="G435" s="28">
        <v>104.37</v>
      </c>
      <c r="H435" s="28">
        <v>37.398800000000001</v>
      </c>
      <c r="I435" s="28">
        <v>41.543520000000001</v>
      </c>
      <c r="J435" s="29"/>
      <c r="K435" s="29"/>
      <c r="L435" s="29"/>
      <c r="M435" s="29"/>
      <c r="N435" s="29"/>
      <c r="P435" s="4">
        <f t="shared" si="28"/>
        <v>-3.1352806541874098E-2</v>
      </c>
      <c r="Q435" s="4">
        <f t="shared" si="28"/>
        <v>1.8898755080864712E-3</v>
      </c>
      <c r="R435" s="4">
        <f t="shared" si="28"/>
        <v>-4.0649516295203407E-2</v>
      </c>
      <c r="S435" s="4">
        <f t="shared" si="28"/>
        <v>-2.9362940632618083E-2</v>
      </c>
      <c r="T435" s="4">
        <f t="shared" si="28"/>
        <v>-3.1597730765621362E-2</v>
      </c>
      <c r="U435" s="35"/>
      <c r="V435" s="35"/>
      <c r="W435" s="35"/>
      <c r="X435" s="35"/>
    </row>
    <row r="436" spans="4:24" x14ac:dyDescent="0.3">
      <c r="D436" s="23">
        <v>40214</v>
      </c>
      <c r="E436" s="5">
        <v>81.74794</v>
      </c>
      <c r="F436" s="28">
        <v>53.288939999999997</v>
      </c>
      <c r="G436" s="28">
        <v>104.68</v>
      </c>
      <c r="H436" s="28">
        <v>37.714709999999997</v>
      </c>
      <c r="I436" s="28">
        <v>41.612879999999997</v>
      </c>
      <c r="J436" s="29"/>
      <c r="K436" s="29"/>
      <c r="L436" s="29"/>
      <c r="M436" s="29"/>
      <c r="N436" s="29"/>
      <c r="P436" s="4">
        <f t="shared" si="28"/>
        <v>2.0648734947992238E-3</v>
      </c>
      <c r="Q436" s="4">
        <f t="shared" si="28"/>
        <v>1.6348829169466298E-3</v>
      </c>
      <c r="R436" s="4">
        <f t="shared" si="28"/>
        <v>2.9657998299848095E-3</v>
      </c>
      <c r="S436" s="4">
        <f t="shared" si="28"/>
        <v>8.4115856834856232E-3</v>
      </c>
      <c r="T436" s="4">
        <f t="shared" si="28"/>
        <v>1.6681822706313689E-3</v>
      </c>
      <c r="U436" s="35"/>
      <c r="V436" s="35"/>
      <c r="W436" s="35"/>
      <c r="X436" s="35"/>
    </row>
    <row r="437" spans="4:24" x14ac:dyDescent="0.3">
      <c r="D437" s="23">
        <v>40217</v>
      </c>
      <c r="E437" s="5">
        <v>81.157768000000004</v>
      </c>
      <c r="F437" s="28">
        <v>53.29562</v>
      </c>
      <c r="G437" s="28">
        <v>104.04</v>
      </c>
      <c r="H437" s="28">
        <v>37.442680000000003</v>
      </c>
      <c r="I437" s="28">
        <v>41.28913</v>
      </c>
      <c r="J437" s="29"/>
      <c r="K437" s="29"/>
      <c r="L437" s="29"/>
      <c r="M437" s="29"/>
      <c r="N437" s="29"/>
      <c r="P437" s="4">
        <f t="shared" ref="P437:T452" si="29">LN(E437/E436)</f>
        <v>-7.2455973357956381E-3</v>
      </c>
      <c r="Q437" s="4">
        <f t="shared" si="29"/>
        <v>1.2534648562128638E-4</v>
      </c>
      <c r="R437" s="4">
        <f t="shared" si="29"/>
        <v>-6.1326370814943571E-3</v>
      </c>
      <c r="S437" s="4">
        <f t="shared" si="29"/>
        <v>-7.2389737835610729E-3</v>
      </c>
      <c r="T437" s="4">
        <f t="shared" si="29"/>
        <v>-7.8104655319807068E-3</v>
      </c>
      <c r="U437" s="35"/>
      <c r="V437" s="35"/>
      <c r="W437" s="35"/>
      <c r="X437" s="35"/>
    </row>
    <row r="438" spans="4:24" x14ac:dyDescent="0.3">
      <c r="D438" s="23">
        <v>40218</v>
      </c>
      <c r="E438" s="5">
        <v>82.177138999999997</v>
      </c>
      <c r="F438" s="28">
        <v>53.188499999999998</v>
      </c>
      <c r="G438" s="28">
        <v>105.41</v>
      </c>
      <c r="H438" s="28">
        <v>37.828769999999999</v>
      </c>
      <c r="I438" s="28">
        <v>41.836460000000002</v>
      </c>
      <c r="J438" s="29"/>
      <c r="K438" s="29"/>
      <c r="L438" s="29"/>
      <c r="M438" s="29"/>
      <c r="N438" s="29"/>
      <c r="P438" s="4">
        <f t="shared" si="29"/>
        <v>1.2482135678619622E-2</v>
      </c>
      <c r="Q438" s="4">
        <f t="shared" si="29"/>
        <v>-2.0119438679573332E-3</v>
      </c>
      <c r="R438" s="4">
        <f t="shared" si="29"/>
        <v>1.3082067686646911E-2</v>
      </c>
      <c r="S438" s="4">
        <f t="shared" si="29"/>
        <v>1.0258693994314682E-2</v>
      </c>
      <c r="T438" s="4">
        <f t="shared" si="29"/>
        <v>1.3168938947713378E-2</v>
      </c>
      <c r="U438" s="35"/>
      <c r="V438" s="35"/>
      <c r="W438" s="35"/>
      <c r="X438" s="35"/>
    </row>
    <row r="439" spans="4:24" x14ac:dyDescent="0.3">
      <c r="D439" s="23">
        <v>40219</v>
      </c>
      <c r="E439" s="5">
        <v>82.016204999999999</v>
      </c>
      <c r="F439" s="28">
        <v>53.067970000000003</v>
      </c>
      <c r="G439" s="28">
        <v>105.12</v>
      </c>
      <c r="H439" s="28">
        <v>37.749789999999997</v>
      </c>
      <c r="I439" s="28">
        <v>41.774790000000003</v>
      </c>
      <c r="J439" s="29"/>
      <c r="K439" s="29"/>
      <c r="L439" s="29"/>
      <c r="M439" s="29"/>
      <c r="N439" s="29"/>
      <c r="P439" s="4">
        <f t="shared" si="29"/>
        <v>-1.9602993351066455E-3</v>
      </c>
      <c r="Q439" s="4">
        <f t="shared" si="29"/>
        <v>-2.2686628248730035E-3</v>
      </c>
      <c r="R439" s="4">
        <f t="shared" si="29"/>
        <v>-2.7549535307973627E-3</v>
      </c>
      <c r="S439" s="4">
        <f t="shared" si="29"/>
        <v>-2.0900114728222914E-3</v>
      </c>
      <c r="T439" s="4">
        <f t="shared" si="29"/>
        <v>-1.475160607773108E-3</v>
      </c>
      <c r="U439" s="35"/>
      <c r="V439" s="35"/>
      <c r="W439" s="35"/>
      <c r="X439" s="35"/>
    </row>
    <row r="440" spans="4:24" x14ac:dyDescent="0.3">
      <c r="D440" s="23">
        <v>40220</v>
      </c>
      <c r="E440" s="5">
        <v>82.874588000000003</v>
      </c>
      <c r="F440" s="28">
        <v>52.980899999999998</v>
      </c>
      <c r="G440" s="28">
        <v>107.13</v>
      </c>
      <c r="H440" s="28">
        <v>38.320180000000001</v>
      </c>
      <c r="I440" s="28">
        <v>42.221910000000001</v>
      </c>
      <c r="J440" s="29"/>
      <c r="K440" s="29"/>
      <c r="L440" s="29"/>
      <c r="M440" s="29"/>
      <c r="N440" s="29"/>
      <c r="P440" s="4">
        <f t="shared" si="29"/>
        <v>1.0411627460459264E-2</v>
      </c>
      <c r="Q440" s="4">
        <f t="shared" si="29"/>
        <v>-1.6420734999754605E-3</v>
      </c>
      <c r="R440" s="4">
        <f t="shared" si="29"/>
        <v>1.894049553816636E-2</v>
      </c>
      <c r="S440" s="4">
        <f t="shared" si="29"/>
        <v>1.4996737611986836E-2</v>
      </c>
      <c r="T440" s="4">
        <f t="shared" si="29"/>
        <v>1.0646233081188443E-2</v>
      </c>
      <c r="U440" s="35"/>
      <c r="V440" s="35"/>
      <c r="W440" s="35"/>
      <c r="X440" s="35"/>
    </row>
    <row r="441" spans="4:24" x14ac:dyDescent="0.3">
      <c r="D441" s="23">
        <v>40221</v>
      </c>
      <c r="E441" s="5">
        <v>82.805617999999996</v>
      </c>
      <c r="F441" s="28">
        <v>53.054569999999998</v>
      </c>
      <c r="G441" s="28">
        <v>107.04</v>
      </c>
      <c r="H441" s="28">
        <v>38.399149999999999</v>
      </c>
      <c r="I441" s="28">
        <v>42.221910000000001</v>
      </c>
      <c r="J441" s="29"/>
      <c r="K441" s="29"/>
      <c r="L441" s="29"/>
      <c r="M441" s="29"/>
      <c r="N441" s="29"/>
      <c r="P441" s="4">
        <f t="shared" si="29"/>
        <v>-8.3256782024998175E-4</v>
      </c>
      <c r="Q441" s="4">
        <f t="shared" si="29"/>
        <v>1.3895352536948263E-3</v>
      </c>
      <c r="R441" s="4">
        <f t="shared" si="29"/>
        <v>-8.4045389454839587E-4</v>
      </c>
      <c r="S441" s="4">
        <f t="shared" si="29"/>
        <v>2.0586735543823877E-3</v>
      </c>
      <c r="T441" s="4">
        <f t="shared" si="29"/>
        <v>0</v>
      </c>
      <c r="U441" s="35"/>
      <c r="V441" s="35"/>
      <c r="W441" s="35"/>
      <c r="X441" s="35"/>
    </row>
    <row r="442" spans="4:24" x14ac:dyDescent="0.3">
      <c r="D442" s="23">
        <v>40225</v>
      </c>
      <c r="E442" s="5">
        <v>84.108559</v>
      </c>
      <c r="F442" s="28">
        <v>53.121510000000001</v>
      </c>
      <c r="G442" s="28">
        <v>109.62</v>
      </c>
      <c r="H442" s="28">
        <v>38.890549999999998</v>
      </c>
      <c r="I442" s="28">
        <v>42.931109999999997</v>
      </c>
      <c r="J442" s="29"/>
      <c r="K442" s="29"/>
      <c r="L442" s="29"/>
      <c r="M442" s="29"/>
      <c r="N442" s="29"/>
      <c r="P442" s="4">
        <f t="shared" si="29"/>
        <v>1.5612424169834513E-2</v>
      </c>
      <c r="Q442" s="4">
        <f t="shared" si="29"/>
        <v>1.2609244731801425E-3</v>
      </c>
      <c r="R442" s="4">
        <f t="shared" si="29"/>
        <v>2.3817243238052069E-2</v>
      </c>
      <c r="S442" s="4">
        <f t="shared" si="29"/>
        <v>1.2715966588702606E-2</v>
      </c>
      <c r="T442" s="4">
        <f t="shared" si="29"/>
        <v>1.6657457326902624E-2</v>
      </c>
      <c r="U442" s="35"/>
      <c r="V442" s="35"/>
      <c r="W442" s="35"/>
      <c r="X442" s="35"/>
    </row>
    <row r="443" spans="4:24" x14ac:dyDescent="0.3">
      <c r="D443" s="23">
        <v>40226</v>
      </c>
      <c r="E443" s="5">
        <v>84.507095000000007</v>
      </c>
      <c r="F443" s="28">
        <v>53.001010000000001</v>
      </c>
      <c r="G443" s="28">
        <v>109.25</v>
      </c>
      <c r="H443" s="28">
        <v>39.109909999999999</v>
      </c>
      <c r="I443" s="28">
        <v>43.170099999999998</v>
      </c>
      <c r="J443" s="29"/>
      <c r="K443" s="29"/>
      <c r="L443" s="29"/>
      <c r="M443" s="29"/>
      <c r="N443" s="29"/>
      <c r="P443" s="4">
        <f t="shared" si="29"/>
        <v>4.7271618344776759E-3</v>
      </c>
      <c r="Q443" s="4">
        <f t="shared" si="29"/>
        <v>-2.2709609946601574E-3</v>
      </c>
      <c r="R443" s="4">
        <f t="shared" si="29"/>
        <v>-3.3810056422708549E-3</v>
      </c>
      <c r="S443" s="4">
        <f t="shared" si="29"/>
        <v>5.6245970423111653E-3</v>
      </c>
      <c r="T443" s="4">
        <f t="shared" si="29"/>
        <v>5.5513880412140296E-3</v>
      </c>
      <c r="U443" s="35"/>
      <c r="V443" s="35"/>
      <c r="W443" s="35"/>
      <c r="X443" s="35"/>
    </row>
    <row r="444" spans="4:24" x14ac:dyDescent="0.3">
      <c r="D444" s="23">
        <v>40227</v>
      </c>
      <c r="E444" s="5">
        <v>85.005302</v>
      </c>
      <c r="F444" s="28">
        <v>52.927309999999999</v>
      </c>
      <c r="G444" s="28">
        <v>109.98</v>
      </c>
      <c r="H444" s="28">
        <v>39.355609999999999</v>
      </c>
      <c r="I444" s="28">
        <v>43.416800000000002</v>
      </c>
      <c r="J444" s="29"/>
      <c r="K444" s="29"/>
      <c r="L444" s="29"/>
      <c r="M444" s="29"/>
      <c r="N444" s="29"/>
      <c r="P444" s="4">
        <f t="shared" si="29"/>
        <v>5.8781356802249411E-3</v>
      </c>
      <c r="Q444" s="4">
        <f t="shared" si="29"/>
        <v>-1.3915072360642545E-3</v>
      </c>
      <c r="R444" s="4">
        <f t="shared" si="29"/>
        <v>6.6596971039691952E-3</v>
      </c>
      <c r="S444" s="4">
        <f t="shared" si="29"/>
        <v>6.2626438477300138E-3</v>
      </c>
      <c r="T444" s="4">
        <f t="shared" si="29"/>
        <v>5.6983369897800713E-3</v>
      </c>
      <c r="U444" s="35"/>
      <c r="V444" s="35"/>
      <c r="W444" s="35"/>
      <c r="X444" s="35"/>
    </row>
    <row r="445" spans="4:24" x14ac:dyDescent="0.3">
      <c r="D445" s="23">
        <v>40228</v>
      </c>
      <c r="E445" s="5">
        <v>85.181563999999995</v>
      </c>
      <c r="F445" s="28">
        <v>52.927309999999999</v>
      </c>
      <c r="G445" s="28">
        <v>109.47</v>
      </c>
      <c r="H445" s="28">
        <v>39.338070000000002</v>
      </c>
      <c r="I445" s="28">
        <v>43.570970000000003</v>
      </c>
      <c r="J445" s="29"/>
      <c r="K445" s="29"/>
      <c r="L445" s="29"/>
      <c r="M445" s="29"/>
      <c r="N445" s="29"/>
      <c r="P445" s="4">
        <f t="shared" si="29"/>
        <v>2.0713944285638466E-3</v>
      </c>
      <c r="Q445" s="4">
        <f t="shared" si="29"/>
        <v>0</v>
      </c>
      <c r="R445" s="4">
        <f t="shared" si="29"/>
        <v>-4.647991963202684E-3</v>
      </c>
      <c r="S445" s="4">
        <f t="shared" si="29"/>
        <v>-4.4577913475276915E-4</v>
      </c>
      <c r="T445" s="4">
        <f t="shared" si="29"/>
        <v>3.5446399286249005E-3</v>
      </c>
      <c r="U445" s="35"/>
      <c r="V445" s="35"/>
      <c r="W445" s="35"/>
      <c r="X445" s="35"/>
    </row>
    <row r="446" spans="4:24" x14ac:dyDescent="0.3">
      <c r="D446" s="23">
        <v>40231</v>
      </c>
      <c r="E446" s="5">
        <v>85.196899000000002</v>
      </c>
      <c r="F446" s="28">
        <v>52.907269999999997</v>
      </c>
      <c r="G446" s="28">
        <v>109.07</v>
      </c>
      <c r="H446" s="28">
        <v>39.259099999999997</v>
      </c>
      <c r="I446" s="28">
        <v>43.501600000000003</v>
      </c>
      <c r="J446" s="29"/>
      <c r="K446" s="29"/>
      <c r="L446" s="29"/>
      <c r="M446" s="29"/>
      <c r="N446" s="29"/>
      <c r="P446" s="4">
        <f t="shared" si="29"/>
        <v>1.8001101514128199E-4</v>
      </c>
      <c r="Q446" s="4">
        <f t="shared" si="29"/>
        <v>-3.7870420498686103E-4</v>
      </c>
      <c r="R446" s="4">
        <f t="shared" si="29"/>
        <v>-3.6606611758145053E-3</v>
      </c>
      <c r="S446" s="4">
        <f t="shared" si="29"/>
        <v>-2.0094877862314778E-3</v>
      </c>
      <c r="T446" s="4">
        <f t="shared" si="29"/>
        <v>-1.5933838791434948E-3</v>
      </c>
      <c r="U446" s="35"/>
      <c r="V446" s="35"/>
      <c r="W446" s="35"/>
      <c r="X446" s="35"/>
    </row>
    <row r="447" spans="4:24" x14ac:dyDescent="0.3">
      <c r="D447" s="23">
        <v>40232</v>
      </c>
      <c r="E447" s="5">
        <v>84.162186000000005</v>
      </c>
      <c r="F447" s="28">
        <v>53.108110000000003</v>
      </c>
      <c r="G447" s="28">
        <v>107.89</v>
      </c>
      <c r="H447" s="28">
        <v>38.750140000000002</v>
      </c>
      <c r="I447" s="28">
        <v>42.977379999999997</v>
      </c>
      <c r="J447" s="29"/>
      <c r="K447" s="29"/>
      <c r="L447" s="29"/>
      <c r="M447" s="29"/>
      <c r="N447" s="29"/>
      <c r="P447" s="4">
        <f t="shared" si="29"/>
        <v>-1.2219313472605218E-2</v>
      </c>
      <c r="Q447" s="4">
        <f t="shared" si="29"/>
        <v>3.7888887492767034E-3</v>
      </c>
      <c r="R447" s="4">
        <f t="shared" si="29"/>
        <v>-1.0877688377402713E-2</v>
      </c>
      <c r="S447" s="4">
        <f t="shared" si="29"/>
        <v>-1.3048895793726754E-2</v>
      </c>
      <c r="T447" s="4">
        <f t="shared" si="29"/>
        <v>-1.2123788256481369E-2</v>
      </c>
      <c r="U447" s="35"/>
      <c r="V447" s="35"/>
      <c r="W447" s="35"/>
      <c r="X447" s="35"/>
    </row>
    <row r="448" spans="4:24" x14ac:dyDescent="0.3">
      <c r="D448" s="23">
        <v>40233</v>
      </c>
      <c r="E448" s="5">
        <v>84.936310000000006</v>
      </c>
      <c r="F448" s="28">
        <v>53.1751</v>
      </c>
      <c r="G448" s="28">
        <v>107.36</v>
      </c>
      <c r="H448" s="28">
        <v>39.145000000000003</v>
      </c>
      <c r="I448" s="28">
        <v>43.362839999999998</v>
      </c>
      <c r="J448" s="29"/>
      <c r="K448" s="29"/>
      <c r="L448" s="29"/>
      <c r="M448" s="29"/>
      <c r="N448" s="29"/>
      <c r="P448" s="4">
        <f t="shared" si="29"/>
        <v>9.1559585248515915E-3</v>
      </c>
      <c r="Q448" s="4">
        <f t="shared" si="29"/>
        <v>1.2605943849669839E-3</v>
      </c>
      <c r="R448" s="4">
        <f t="shared" si="29"/>
        <v>-4.9245163398770947E-3</v>
      </c>
      <c r="S448" s="4">
        <f t="shared" si="29"/>
        <v>1.0138331663822222E-2</v>
      </c>
      <c r="T448" s="4">
        <f t="shared" si="29"/>
        <v>8.9289223705361926E-3</v>
      </c>
      <c r="U448" s="35"/>
      <c r="V448" s="35"/>
      <c r="W448" s="35"/>
      <c r="X448" s="35"/>
    </row>
    <row r="449" spans="4:24" x14ac:dyDescent="0.3">
      <c r="D449" s="23">
        <v>40234</v>
      </c>
      <c r="E449" s="5">
        <v>84.821365</v>
      </c>
      <c r="F449" s="28">
        <v>53.248759999999997</v>
      </c>
      <c r="G449" s="28">
        <v>108.31</v>
      </c>
      <c r="H449" s="28">
        <v>39.136249999999997</v>
      </c>
      <c r="I449" s="28">
        <v>43.347410000000004</v>
      </c>
      <c r="J449" s="29"/>
      <c r="K449" s="29"/>
      <c r="L449" s="29"/>
      <c r="M449" s="29"/>
      <c r="N449" s="29"/>
      <c r="P449" s="4">
        <f t="shared" si="29"/>
        <v>-1.3542246919523839E-3</v>
      </c>
      <c r="Q449" s="4">
        <f t="shared" si="29"/>
        <v>1.3842762659124143E-3</v>
      </c>
      <c r="R449" s="4">
        <f t="shared" si="29"/>
        <v>8.809812624274025E-3</v>
      </c>
      <c r="S449" s="4">
        <f t="shared" si="29"/>
        <v>-2.2355289514274499E-4</v>
      </c>
      <c r="T449" s="4">
        <f t="shared" si="29"/>
        <v>-3.5589795123098394E-4</v>
      </c>
      <c r="U449" s="35"/>
      <c r="V449" s="35"/>
      <c r="W449" s="35"/>
      <c r="X449" s="35"/>
    </row>
    <row r="450" spans="4:24" x14ac:dyDescent="0.3">
      <c r="D450" s="23">
        <v>40235</v>
      </c>
      <c r="E450" s="5">
        <v>84.874968999999993</v>
      </c>
      <c r="F450" s="28">
        <v>53.30903</v>
      </c>
      <c r="G450" s="28">
        <v>109.43</v>
      </c>
      <c r="H450" s="28">
        <v>39.276649999999997</v>
      </c>
      <c r="I450" s="28">
        <v>43.347410000000004</v>
      </c>
      <c r="J450" s="29"/>
      <c r="K450" s="29"/>
      <c r="L450" s="29"/>
      <c r="M450" s="29"/>
      <c r="N450" s="29"/>
      <c r="P450" s="4">
        <f t="shared" si="29"/>
        <v>6.317638162164637E-4</v>
      </c>
      <c r="Q450" s="4">
        <f t="shared" si="29"/>
        <v>1.1312172751904983E-3</v>
      </c>
      <c r="R450" s="4">
        <f t="shared" si="29"/>
        <v>1.0287589582705993E-2</v>
      </c>
      <c r="S450" s="4">
        <f t="shared" si="29"/>
        <v>3.5810472521636649E-3</v>
      </c>
      <c r="T450" s="4">
        <f t="shared" si="29"/>
        <v>0</v>
      </c>
      <c r="U450" s="35"/>
      <c r="V450" s="35"/>
      <c r="W450" s="35"/>
      <c r="X450" s="35"/>
    </row>
    <row r="451" spans="4:24" x14ac:dyDescent="0.3">
      <c r="D451" s="23">
        <v>40238</v>
      </c>
      <c r="E451" s="5">
        <v>85.756377999999998</v>
      </c>
      <c r="F451" s="28">
        <v>53.36542</v>
      </c>
      <c r="G451" s="28">
        <v>109.43</v>
      </c>
      <c r="H451" s="28">
        <v>39.847009999999997</v>
      </c>
      <c r="I451" s="28">
        <v>43.863889999999998</v>
      </c>
      <c r="J451" s="29"/>
      <c r="K451" s="29"/>
      <c r="L451" s="29"/>
      <c r="M451" s="29"/>
      <c r="N451" s="29"/>
      <c r="P451" s="4">
        <f t="shared" si="29"/>
        <v>1.0331241653025222E-2</v>
      </c>
      <c r="Q451" s="4">
        <f t="shared" si="29"/>
        <v>1.0572354533344424E-3</v>
      </c>
      <c r="R451" s="4">
        <f t="shared" si="29"/>
        <v>0</v>
      </c>
      <c r="S451" s="4">
        <f t="shared" si="29"/>
        <v>1.4417176336702963E-2</v>
      </c>
      <c r="T451" s="4">
        <f t="shared" si="29"/>
        <v>1.1844475157141005E-2</v>
      </c>
      <c r="U451" s="35"/>
      <c r="V451" s="35"/>
      <c r="W451" s="35"/>
      <c r="X451" s="35"/>
    </row>
    <row r="452" spans="4:24" x14ac:dyDescent="0.3">
      <c r="D452" s="23">
        <v>40239</v>
      </c>
      <c r="E452" s="5">
        <v>85.993995999999996</v>
      </c>
      <c r="F452" s="28">
        <v>53.405740000000002</v>
      </c>
      <c r="G452" s="28">
        <v>111.02</v>
      </c>
      <c r="H452" s="28">
        <v>39.96987</v>
      </c>
      <c r="I452" s="28">
        <v>44.002679999999998</v>
      </c>
      <c r="J452" s="29"/>
      <c r="K452" s="29"/>
      <c r="L452" s="29"/>
      <c r="M452" s="29"/>
      <c r="N452" s="29"/>
      <c r="P452" s="4">
        <f t="shared" si="29"/>
        <v>2.7670175740974966E-3</v>
      </c>
      <c r="Q452" s="4">
        <f t="shared" si="29"/>
        <v>7.5526016419800166E-4</v>
      </c>
      <c r="R452" s="4">
        <f t="shared" si="29"/>
        <v>1.4425289831663496E-2</v>
      </c>
      <c r="S452" s="4">
        <f t="shared" si="29"/>
        <v>3.0785492250119052E-3</v>
      </c>
      <c r="T452" s="4">
        <f t="shared" si="29"/>
        <v>3.1591108069151156E-3</v>
      </c>
      <c r="U452" s="35"/>
      <c r="V452" s="35"/>
      <c r="W452" s="35"/>
      <c r="X452" s="35"/>
    </row>
    <row r="453" spans="4:24" x14ac:dyDescent="0.3">
      <c r="D453" s="23">
        <v>40240</v>
      </c>
      <c r="E453" s="5">
        <v>86.070617999999996</v>
      </c>
      <c r="F453" s="28">
        <v>53.412399999999998</v>
      </c>
      <c r="G453" s="28">
        <v>111.63</v>
      </c>
      <c r="H453" s="28">
        <v>40.013739999999999</v>
      </c>
      <c r="I453" s="28">
        <v>44.056640000000002</v>
      </c>
      <c r="J453" s="29"/>
      <c r="K453" s="29"/>
      <c r="L453" s="29"/>
      <c r="M453" s="29"/>
      <c r="N453" s="29"/>
      <c r="P453" s="4">
        <f t="shared" ref="P453:T468" si="30">LN(E453/E452)</f>
        <v>8.9061897485475977E-4</v>
      </c>
      <c r="Q453" s="4">
        <f t="shared" si="30"/>
        <v>1.246979213198944E-4</v>
      </c>
      <c r="R453" s="4">
        <f t="shared" si="30"/>
        <v>5.4794657646255705E-3</v>
      </c>
      <c r="S453" s="4">
        <f t="shared" si="30"/>
        <v>1.0969748527043497E-3</v>
      </c>
      <c r="T453" s="4">
        <f t="shared" si="30"/>
        <v>1.2255376660582666E-3</v>
      </c>
      <c r="U453" s="35"/>
      <c r="V453" s="35"/>
      <c r="W453" s="35"/>
      <c r="X453" s="35"/>
    </row>
    <row r="454" spans="4:24" x14ac:dyDescent="0.3">
      <c r="D454" s="23">
        <v>40241</v>
      </c>
      <c r="E454" s="5">
        <v>86.331230000000005</v>
      </c>
      <c r="F454" s="28">
        <v>53.452770000000001</v>
      </c>
      <c r="G454" s="28">
        <v>110.83</v>
      </c>
      <c r="H454" s="28">
        <v>40.145339999999997</v>
      </c>
      <c r="I454" s="28">
        <v>44.172260000000001</v>
      </c>
      <c r="J454" s="29"/>
      <c r="K454" s="29"/>
      <c r="L454" s="29"/>
      <c r="M454" s="29"/>
      <c r="N454" s="29"/>
      <c r="P454" s="4">
        <f t="shared" si="30"/>
        <v>3.0233109625174884E-3</v>
      </c>
      <c r="Q454" s="4">
        <f t="shared" si="30"/>
        <v>7.55531515466815E-4</v>
      </c>
      <c r="R454" s="4">
        <f t="shared" si="30"/>
        <v>-7.192335239079169E-3</v>
      </c>
      <c r="S454" s="4">
        <f t="shared" si="30"/>
        <v>3.2834737682568781E-3</v>
      </c>
      <c r="T454" s="4">
        <f t="shared" si="30"/>
        <v>2.6209114288971171E-3</v>
      </c>
      <c r="U454" s="35"/>
      <c r="V454" s="35"/>
      <c r="W454" s="35"/>
      <c r="X454" s="35"/>
    </row>
    <row r="455" spans="4:24" x14ac:dyDescent="0.3">
      <c r="D455" s="23">
        <v>40242</v>
      </c>
      <c r="E455" s="5">
        <v>87.565185999999997</v>
      </c>
      <c r="F455" s="28">
        <v>53.372169999999997</v>
      </c>
      <c r="G455" s="28">
        <v>110.81</v>
      </c>
      <c r="H455" s="28">
        <v>40.750819999999997</v>
      </c>
      <c r="I455" s="28">
        <v>44.87379</v>
      </c>
      <c r="J455" s="29"/>
      <c r="K455" s="29"/>
      <c r="L455" s="29"/>
      <c r="M455" s="29"/>
      <c r="N455" s="29"/>
      <c r="P455" s="4">
        <f t="shared" si="30"/>
        <v>1.4192089058443448E-2</v>
      </c>
      <c r="Q455" s="4">
        <f t="shared" si="30"/>
        <v>-1.5090111970973354E-3</v>
      </c>
      <c r="R455" s="4">
        <f t="shared" si="30"/>
        <v>-1.8047283932759442E-4</v>
      </c>
      <c r="S455" s="4">
        <f t="shared" si="30"/>
        <v>1.4969593284224507E-2</v>
      </c>
      <c r="T455" s="4">
        <f t="shared" si="30"/>
        <v>1.5756892407370476E-2</v>
      </c>
      <c r="U455" s="35"/>
      <c r="V455" s="35"/>
      <c r="W455" s="35"/>
      <c r="X455" s="35"/>
    </row>
    <row r="456" spans="4:24" x14ac:dyDescent="0.3">
      <c r="D456" s="23">
        <v>40245</v>
      </c>
      <c r="E456" s="5">
        <v>87.580528000000001</v>
      </c>
      <c r="F456" s="28">
        <v>53.284829999999999</v>
      </c>
      <c r="G456" s="28">
        <v>109.88</v>
      </c>
      <c r="H456" s="28">
        <v>40.829799999999999</v>
      </c>
      <c r="I456" s="28">
        <v>44.881489999999999</v>
      </c>
      <c r="J456" s="29"/>
      <c r="K456" s="29"/>
      <c r="L456" s="29"/>
      <c r="M456" s="29"/>
      <c r="N456" s="29"/>
      <c r="P456" s="4">
        <f t="shared" si="30"/>
        <v>1.7519127004440581E-4</v>
      </c>
      <c r="Q456" s="4">
        <f t="shared" si="30"/>
        <v>-1.6377737893001156E-3</v>
      </c>
      <c r="R456" s="4">
        <f t="shared" si="30"/>
        <v>-8.4281617211610423E-3</v>
      </c>
      <c r="S456" s="4">
        <f t="shared" si="30"/>
        <v>1.9362447766382996E-3</v>
      </c>
      <c r="T456" s="4">
        <f t="shared" si="30"/>
        <v>1.7157765022610008E-4</v>
      </c>
      <c r="U456" s="35"/>
      <c r="V456" s="35"/>
      <c r="W456" s="35"/>
      <c r="X456" s="35"/>
    </row>
    <row r="457" spans="4:24" x14ac:dyDescent="0.3">
      <c r="D457" s="23">
        <v>40246</v>
      </c>
      <c r="E457" s="5">
        <v>87.726134999999999</v>
      </c>
      <c r="F457" s="28">
        <v>53.318440000000002</v>
      </c>
      <c r="G457" s="28">
        <v>109.72</v>
      </c>
      <c r="H457" s="28">
        <v>41.057960000000001</v>
      </c>
      <c r="I457" s="28">
        <v>44.973999999999997</v>
      </c>
      <c r="J457" s="29"/>
      <c r="K457" s="29"/>
      <c r="L457" s="29"/>
      <c r="M457" s="29"/>
      <c r="N457" s="29"/>
      <c r="P457" s="4">
        <f t="shared" si="30"/>
        <v>1.6611694158292696E-3</v>
      </c>
      <c r="Q457" s="4">
        <f t="shared" si="30"/>
        <v>6.3056229163785513E-4</v>
      </c>
      <c r="R457" s="4">
        <f t="shared" si="30"/>
        <v>-1.4571951576705601E-3</v>
      </c>
      <c r="S457" s="4">
        <f t="shared" si="30"/>
        <v>5.5725200059287532E-3</v>
      </c>
      <c r="T457" s="4">
        <f t="shared" si="30"/>
        <v>2.0590847078024053E-3</v>
      </c>
      <c r="U457" s="35"/>
      <c r="V457" s="35"/>
      <c r="W457" s="35"/>
      <c r="X457" s="35"/>
    </row>
    <row r="458" spans="4:24" x14ac:dyDescent="0.3">
      <c r="D458" s="23">
        <v>40247</v>
      </c>
      <c r="E458" s="5">
        <v>88.117019999999997</v>
      </c>
      <c r="F458" s="28">
        <v>53.278109999999998</v>
      </c>
      <c r="G458" s="28">
        <v>108.47</v>
      </c>
      <c r="H458" s="28">
        <v>41.391399999999997</v>
      </c>
      <c r="I458" s="28">
        <v>45.212969999999999</v>
      </c>
      <c r="J458" s="29"/>
      <c r="K458" s="29"/>
      <c r="L458" s="29"/>
      <c r="M458" s="29"/>
      <c r="N458" s="29"/>
      <c r="P458" s="4">
        <f t="shared" si="30"/>
        <v>4.4458442961542921E-3</v>
      </c>
      <c r="Q458" s="4">
        <f t="shared" si="30"/>
        <v>-7.5668493819591146E-4</v>
      </c>
      <c r="R458" s="4">
        <f t="shared" si="30"/>
        <v>-1.1458029017276342E-2</v>
      </c>
      <c r="S458" s="4">
        <f t="shared" si="30"/>
        <v>8.0884028175489207E-3</v>
      </c>
      <c r="T458" s="4">
        <f t="shared" si="30"/>
        <v>5.2994475648105955E-3</v>
      </c>
      <c r="U458" s="35"/>
      <c r="V458" s="35"/>
      <c r="W458" s="35"/>
      <c r="X458" s="35"/>
    </row>
    <row r="459" spans="4:24" x14ac:dyDescent="0.3">
      <c r="D459" s="23">
        <v>40248</v>
      </c>
      <c r="E459" s="5">
        <v>88.484909000000002</v>
      </c>
      <c r="F459" s="28">
        <v>53.271410000000003</v>
      </c>
      <c r="G459" s="28">
        <v>108.6</v>
      </c>
      <c r="H459" s="28">
        <v>41.549329999999998</v>
      </c>
      <c r="I459" s="28">
        <v>45.382570000000001</v>
      </c>
      <c r="J459" s="29"/>
      <c r="K459" s="29"/>
      <c r="L459" s="29"/>
      <c r="M459" s="29"/>
      <c r="N459" s="29"/>
      <c r="P459" s="4">
        <f t="shared" si="30"/>
        <v>4.1663138589673613E-3</v>
      </c>
      <c r="Q459" s="4">
        <f t="shared" si="30"/>
        <v>-1.2576311951152127E-4</v>
      </c>
      <c r="R459" s="4">
        <f t="shared" si="30"/>
        <v>1.197770447708845E-3</v>
      </c>
      <c r="S459" s="4">
        <f t="shared" si="30"/>
        <v>3.8082662371091438E-3</v>
      </c>
      <c r="T459" s="4">
        <f t="shared" si="30"/>
        <v>3.7441180465828863E-3</v>
      </c>
      <c r="U459" s="35"/>
      <c r="V459" s="35"/>
      <c r="W459" s="35"/>
      <c r="X459" s="35"/>
    </row>
    <row r="460" spans="4:24" x14ac:dyDescent="0.3">
      <c r="D460" s="23">
        <v>40249</v>
      </c>
      <c r="E460" s="5">
        <v>88.492560999999995</v>
      </c>
      <c r="F460" s="28">
        <v>53.291539999999998</v>
      </c>
      <c r="G460" s="28">
        <v>107.95</v>
      </c>
      <c r="H460" s="28">
        <v>41.558120000000002</v>
      </c>
      <c r="I460" s="28">
        <v>45.382570000000001</v>
      </c>
      <c r="J460" s="29"/>
      <c r="K460" s="29"/>
      <c r="L460" s="29"/>
      <c r="M460" s="29"/>
      <c r="N460" s="29"/>
      <c r="P460" s="4">
        <f t="shared" si="30"/>
        <v>8.6474284040277178E-5</v>
      </c>
      <c r="Q460" s="4">
        <f t="shared" si="30"/>
        <v>3.7780486068441223E-4</v>
      </c>
      <c r="R460" s="4">
        <f t="shared" si="30"/>
        <v>-6.0032505390186048E-3</v>
      </c>
      <c r="S460" s="4">
        <f t="shared" si="30"/>
        <v>2.1153338317522296E-4</v>
      </c>
      <c r="T460" s="4">
        <f t="shared" si="30"/>
        <v>0</v>
      </c>
      <c r="U460" s="35"/>
      <c r="V460" s="35"/>
      <c r="W460" s="35"/>
      <c r="X460" s="35"/>
    </row>
    <row r="461" spans="4:24" x14ac:dyDescent="0.3">
      <c r="D461" s="23">
        <v>40252</v>
      </c>
      <c r="E461" s="5">
        <v>88.515556000000004</v>
      </c>
      <c r="F461" s="28">
        <v>53.36542</v>
      </c>
      <c r="G461" s="28">
        <v>108.36</v>
      </c>
      <c r="H461" s="28">
        <v>41.452820000000003</v>
      </c>
      <c r="I461" s="28">
        <v>45.367159999999998</v>
      </c>
      <c r="J461" s="29"/>
      <c r="K461" s="29"/>
      <c r="L461" s="29"/>
      <c r="M461" s="29"/>
      <c r="N461" s="29"/>
      <c r="P461" s="4">
        <f t="shared" si="30"/>
        <v>2.5981859497855377E-4</v>
      </c>
      <c r="Q461" s="4">
        <f t="shared" si="30"/>
        <v>1.3853762907980085E-3</v>
      </c>
      <c r="R461" s="4">
        <f t="shared" si="30"/>
        <v>3.7908602560779332E-3</v>
      </c>
      <c r="S461" s="4">
        <f t="shared" si="30"/>
        <v>-2.5370163614545143E-3</v>
      </c>
      <c r="T461" s="4">
        <f t="shared" si="30"/>
        <v>-3.3961533875894866E-4</v>
      </c>
      <c r="U461" s="35"/>
      <c r="V461" s="35"/>
      <c r="W461" s="35"/>
      <c r="X461" s="35"/>
    </row>
    <row r="462" spans="4:24" x14ac:dyDescent="0.3">
      <c r="D462" s="23">
        <v>40253</v>
      </c>
      <c r="E462" s="5">
        <v>89.220650000000006</v>
      </c>
      <c r="F462" s="28">
        <v>53.459449999999997</v>
      </c>
      <c r="G462" s="28">
        <v>110.4</v>
      </c>
      <c r="H462" s="28">
        <v>41.716070000000002</v>
      </c>
      <c r="I462" s="28">
        <v>45.737180000000002</v>
      </c>
      <c r="J462" s="29"/>
      <c r="K462" s="29"/>
      <c r="L462" s="29"/>
      <c r="M462" s="29"/>
      <c r="N462" s="29"/>
      <c r="P462" s="4">
        <f t="shared" si="30"/>
        <v>7.934204456865223E-3</v>
      </c>
      <c r="Q462" s="4">
        <f t="shared" si="30"/>
        <v>1.7604519300560739E-3</v>
      </c>
      <c r="R462" s="4">
        <f t="shared" si="30"/>
        <v>1.8651116626100733E-2</v>
      </c>
      <c r="S462" s="4">
        <f t="shared" si="30"/>
        <v>6.3305132280459548E-3</v>
      </c>
      <c r="T462" s="4">
        <f t="shared" si="30"/>
        <v>8.1230385864575639E-3</v>
      </c>
      <c r="U462" s="35"/>
      <c r="V462" s="35"/>
      <c r="W462" s="35"/>
      <c r="X462" s="35"/>
    </row>
    <row r="463" spans="4:24" x14ac:dyDescent="0.3">
      <c r="D463" s="23">
        <v>40254</v>
      </c>
      <c r="E463" s="5">
        <v>89.749534999999995</v>
      </c>
      <c r="F463" s="28">
        <v>53.47289</v>
      </c>
      <c r="G463" s="28">
        <v>109.59</v>
      </c>
      <c r="H463" s="28">
        <v>41.83014</v>
      </c>
      <c r="I463" s="28">
        <v>46.03013</v>
      </c>
      <c r="J463" s="29"/>
      <c r="K463" s="29"/>
      <c r="L463" s="29"/>
      <c r="M463" s="29"/>
      <c r="N463" s="29"/>
      <c r="P463" s="4">
        <f t="shared" si="30"/>
        <v>5.9103312608636419E-3</v>
      </c>
      <c r="Q463" s="4">
        <f t="shared" si="30"/>
        <v>2.5137390747775857E-4</v>
      </c>
      <c r="R463" s="4">
        <f t="shared" si="30"/>
        <v>-7.3640043676941385E-3</v>
      </c>
      <c r="S463" s="4">
        <f t="shared" si="30"/>
        <v>2.7307060579447508E-3</v>
      </c>
      <c r="T463" s="4">
        <f t="shared" si="30"/>
        <v>6.3846481964862324E-3</v>
      </c>
      <c r="U463" s="35"/>
      <c r="V463" s="35"/>
      <c r="W463" s="35"/>
      <c r="X463" s="35"/>
    </row>
    <row r="464" spans="4:24" x14ac:dyDescent="0.3">
      <c r="D464" s="23">
        <v>40255</v>
      </c>
      <c r="E464" s="5">
        <v>89.703552000000002</v>
      </c>
      <c r="F464" s="28">
        <v>53.37885</v>
      </c>
      <c r="G464" s="28">
        <v>110.34</v>
      </c>
      <c r="H464" s="28">
        <v>41.970550000000003</v>
      </c>
      <c r="I464" s="28">
        <v>45.97616</v>
      </c>
      <c r="J464" s="29"/>
      <c r="K464" s="29"/>
      <c r="L464" s="29"/>
      <c r="M464" s="29"/>
      <c r="N464" s="29"/>
      <c r="P464" s="4">
        <f t="shared" si="30"/>
        <v>-5.1247935351919887E-4</v>
      </c>
      <c r="Q464" s="4">
        <f t="shared" si="30"/>
        <v>-1.760196404481079E-3</v>
      </c>
      <c r="R464" s="4">
        <f t="shared" si="30"/>
        <v>6.8203783689840041E-3</v>
      </c>
      <c r="S464" s="4">
        <f t="shared" si="30"/>
        <v>3.3510495294221281E-3</v>
      </c>
      <c r="T464" s="4">
        <f t="shared" si="30"/>
        <v>-1.1731807942728049E-3</v>
      </c>
      <c r="U464" s="35"/>
      <c r="V464" s="35"/>
      <c r="W464" s="35"/>
      <c r="X464" s="35"/>
    </row>
    <row r="465" spans="4:24" x14ac:dyDescent="0.3">
      <c r="D465" s="23">
        <v>40256</v>
      </c>
      <c r="E465" s="5">
        <v>89.249465999999998</v>
      </c>
      <c r="F465" s="28">
        <v>53.419159999999998</v>
      </c>
      <c r="G465" s="28">
        <v>108.28</v>
      </c>
      <c r="H465" s="28">
        <v>41.716679999999997</v>
      </c>
      <c r="I465" s="28">
        <v>45.675510000000003</v>
      </c>
      <c r="J465" s="29"/>
      <c r="K465" s="29"/>
      <c r="L465" s="29"/>
      <c r="M465" s="29"/>
      <c r="N465" s="29"/>
      <c r="P465" s="4">
        <f t="shared" si="30"/>
        <v>-5.0749294943796932E-3</v>
      </c>
      <c r="Q465" s="4">
        <f t="shared" si="30"/>
        <v>7.5488301540844939E-4</v>
      </c>
      <c r="R465" s="4">
        <f t="shared" si="30"/>
        <v>-1.8846043098184329E-2</v>
      </c>
      <c r="S465" s="4">
        <f t="shared" si="30"/>
        <v>-6.0671330320751565E-3</v>
      </c>
      <c r="T465" s="4">
        <f t="shared" si="30"/>
        <v>-6.5607332285651928E-3</v>
      </c>
      <c r="U465" s="35"/>
      <c r="V465" s="35"/>
      <c r="W465" s="35"/>
      <c r="X465" s="35"/>
    </row>
    <row r="466" spans="4:24" x14ac:dyDescent="0.3">
      <c r="D466" s="23">
        <v>40259</v>
      </c>
      <c r="E466" s="5">
        <v>89.726630999999998</v>
      </c>
      <c r="F466" s="28">
        <v>53.47289</v>
      </c>
      <c r="G466" s="28">
        <v>107.75</v>
      </c>
      <c r="H466" s="28">
        <v>42.094410000000003</v>
      </c>
      <c r="I466" s="28">
        <v>45.999270000000003</v>
      </c>
      <c r="J466" s="29"/>
      <c r="K466" s="29"/>
      <c r="L466" s="29"/>
      <c r="M466" s="29"/>
      <c r="N466" s="29"/>
      <c r="P466" s="4">
        <f t="shared" si="30"/>
        <v>5.3321771852797607E-3</v>
      </c>
      <c r="Q466" s="4">
        <f t="shared" si="30"/>
        <v>1.0053133890726598E-3</v>
      </c>
      <c r="R466" s="4">
        <f t="shared" si="30"/>
        <v>-4.9067357622433212E-3</v>
      </c>
      <c r="S466" s="4">
        <f t="shared" si="30"/>
        <v>9.0139039489412799E-3</v>
      </c>
      <c r="T466" s="4">
        <f t="shared" si="30"/>
        <v>7.0632587505732418E-3</v>
      </c>
      <c r="U466" s="35"/>
      <c r="V466" s="35"/>
      <c r="W466" s="35"/>
      <c r="X466" s="35"/>
    </row>
    <row r="467" spans="4:24" x14ac:dyDescent="0.3">
      <c r="D467" s="23">
        <v>40260</v>
      </c>
      <c r="E467" s="5">
        <v>90.357688999999993</v>
      </c>
      <c r="F467" s="28">
        <v>53.47289</v>
      </c>
      <c r="G467" s="28">
        <v>108.32</v>
      </c>
      <c r="H467" s="28">
        <v>42.384279999999997</v>
      </c>
      <c r="I467" s="28">
        <v>46.323070000000001</v>
      </c>
      <c r="J467" s="29"/>
      <c r="K467" s="29"/>
      <c r="L467" s="29"/>
      <c r="M467" s="29"/>
      <c r="N467" s="29"/>
      <c r="P467" s="4">
        <f t="shared" si="30"/>
        <v>7.0085011630183786E-3</v>
      </c>
      <c r="Q467" s="4">
        <f t="shared" si="30"/>
        <v>0</v>
      </c>
      <c r="R467" s="4">
        <f t="shared" si="30"/>
        <v>5.2760801801075554E-3</v>
      </c>
      <c r="S467" s="4">
        <f t="shared" si="30"/>
        <v>6.8625859993843913E-3</v>
      </c>
      <c r="T467" s="4">
        <f t="shared" si="30"/>
        <v>7.0145823361215413E-3</v>
      </c>
      <c r="U467" s="35"/>
      <c r="V467" s="35"/>
      <c r="W467" s="35"/>
      <c r="X467" s="35"/>
    </row>
    <row r="468" spans="4:24" x14ac:dyDescent="0.3">
      <c r="D468" s="23">
        <v>40261</v>
      </c>
      <c r="E468" s="5">
        <v>89.919037000000003</v>
      </c>
      <c r="F468" s="28">
        <v>53.20429</v>
      </c>
      <c r="G468" s="28">
        <v>106.3</v>
      </c>
      <c r="H468" s="28">
        <v>42.182229999999997</v>
      </c>
      <c r="I468" s="28">
        <v>46.053260000000002</v>
      </c>
      <c r="J468" s="29"/>
      <c r="K468" s="29"/>
      <c r="L468" s="29"/>
      <c r="M468" s="29"/>
      <c r="N468" s="29"/>
      <c r="P468" s="4">
        <f t="shared" si="30"/>
        <v>-4.8664392284093541E-3</v>
      </c>
      <c r="Q468" s="4">
        <f t="shared" si="30"/>
        <v>-5.0357643052987627E-3</v>
      </c>
      <c r="R468" s="4">
        <f t="shared" si="30"/>
        <v>-1.882452381606262E-2</v>
      </c>
      <c r="S468" s="4">
        <f t="shared" si="30"/>
        <v>-4.7784964631461518E-3</v>
      </c>
      <c r="T468" s="4">
        <f t="shared" si="30"/>
        <v>-5.8415563217184604E-3</v>
      </c>
      <c r="U468" s="35"/>
      <c r="V468" s="35"/>
      <c r="W468" s="35"/>
      <c r="X468" s="35"/>
    </row>
    <row r="469" spans="4:24" x14ac:dyDescent="0.3">
      <c r="D469" s="23">
        <v>40262</v>
      </c>
      <c r="E469" s="5">
        <v>89.772789000000003</v>
      </c>
      <c r="F469" s="28">
        <v>53.036349999999999</v>
      </c>
      <c r="G469" s="28">
        <v>106.78</v>
      </c>
      <c r="H469" s="28">
        <v>42.120750000000001</v>
      </c>
      <c r="I469" s="28">
        <v>45.972769999999997</v>
      </c>
      <c r="J469" s="29"/>
      <c r="K469" s="29"/>
      <c r="L469" s="29"/>
      <c r="M469" s="29"/>
      <c r="N469" s="29"/>
      <c r="P469" s="4">
        <f t="shared" ref="P469:T484" si="31">LN(E469/E468)</f>
        <v>-1.6277649968539849E-3</v>
      </c>
      <c r="Q469" s="4">
        <f t="shared" si="31"/>
        <v>-3.1615046724410801E-3</v>
      </c>
      <c r="R469" s="4">
        <f t="shared" si="31"/>
        <v>4.5053577241379794E-3</v>
      </c>
      <c r="S469" s="4">
        <f t="shared" si="31"/>
        <v>-1.4585489362106939E-3</v>
      </c>
      <c r="T469" s="4">
        <f t="shared" si="31"/>
        <v>-1.7492881204375721E-3</v>
      </c>
      <c r="U469" s="35"/>
      <c r="V469" s="35"/>
      <c r="W469" s="35"/>
      <c r="X469" s="35"/>
    </row>
    <row r="470" spans="4:24" x14ac:dyDescent="0.3">
      <c r="D470" s="23">
        <v>40263</v>
      </c>
      <c r="E470" s="5">
        <v>89.718918000000002</v>
      </c>
      <c r="F470" s="28">
        <v>53.150559999999999</v>
      </c>
      <c r="G470" s="28">
        <v>108.59</v>
      </c>
      <c r="H470" s="28">
        <v>42.164679999999997</v>
      </c>
      <c r="I470" s="28">
        <v>45.965029999999999</v>
      </c>
      <c r="J470" s="29"/>
      <c r="K470" s="29"/>
      <c r="L470" s="29"/>
      <c r="M470" s="29"/>
      <c r="N470" s="29"/>
      <c r="P470" s="4">
        <f t="shared" si="31"/>
        <v>-6.0026173373618828E-4</v>
      </c>
      <c r="Q470" s="4">
        <f t="shared" si="31"/>
        <v>2.1511134289570162E-3</v>
      </c>
      <c r="R470" s="4">
        <f t="shared" si="31"/>
        <v>1.6808679156769025E-2</v>
      </c>
      <c r="S470" s="4">
        <f t="shared" si="31"/>
        <v>1.0424103899791522E-3</v>
      </c>
      <c r="T470" s="4">
        <f t="shared" si="31"/>
        <v>-1.68374705905157E-4</v>
      </c>
      <c r="U470" s="35"/>
      <c r="V470" s="35"/>
      <c r="W470" s="35"/>
      <c r="X470" s="35"/>
    </row>
    <row r="471" spans="4:24" x14ac:dyDescent="0.3">
      <c r="D471" s="23">
        <v>40266</v>
      </c>
      <c r="E471" s="5">
        <v>90.288414000000003</v>
      </c>
      <c r="F471" s="28">
        <v>53.036349999999999</v>
      </c>
      <c r="G471" s="28">
        <v>108.75</v>
      </c>
      <c r="H471" s="28">
        <v>42.366720000000001</v>
      </c>
      <c r="I471" s="28">
        <v>46.235880000000002</v>
      </c>
      <c r="J471" s="29"/>
      <c r="K471" s="29"/>
      <c r="L471" s="29"/>
      <c r="M471" s="29"/>
      <c r="N471" s="29"/>
      <c r="P471" s="4">
        <f t="shared" si="31"/>
        <v>6.3274967053547895E-3</v>
      </c>
      <c r="Q471" s="4">
        <f t="shared" si="31"/>
        <v>-2.1511134289569061E-3</v>
      </c>
      <c r="R471" s="4">
        <f t="shared" si="31"/>
        <v>1.4723477399844534E-3</v>
      </c>
      <c r="S471" s="4">
        <f t="shared" si="31"/>
        <v>4.7802446127740116E-3</v>
      </c>
      <c r="T471" s="4">
        <f t="shared" si="31"/>
        <v>5.8752300624145531E-3</v>
      </c>
      <c r="U471" s="35"/>
      <c r="V471" s="35"/>
      <c r="W471" s="35"/>
      <c r="X471" s="35"/>
    </row>
    <row r="472" spans="4:24" x14ac:dyDescent="0.3">
      <c r="D472" s="23">
        <v>40267</v>
      </c>
      <c r="E472" s="5">
        <v>90.350005999999993</v>
      </c>
      <c r="F472" s="28">
        <v>53.143819999999998</v>
      </c>
      <c r="G472" s="28">
        <v>107.97</v>
      </c>
      <c r="H472" s="28">
        <v>42.507280000000002</v>
      </c>
      <c r="I472" s="28">
        <v>46.259120000000003</v>
      </c>
      <c r="J472" s="29"/>
      <c r="K472" s="29"/>
      <c r="L472" s="29"/>
      <c r="M472" s="29"/>
      <c r="N472" s="29"/>
      <c r="P472" s="4">
        <f t="shared" si="31"/>
        <v>6.8193690342145403E-4</v>
      </c>
      <c r="Q472" s="4">
        <f t="shared" si="31"/>
        <v>2.0242958115243514E-3</v>
      </c>
      <c r="R472" s="4">
        <f t="shared" si="31"/>
        <v>-7.1982592097444079E-3</v>
      </c>
      <c r="S472" s="4">
        <f t="shared" si="31"/>
        <v>3.3122070010515535E-3</v>
      </c>
      <c r="T472" s="4">
        <f t="shared" si="31"/>
        <v>5.0251365996110801E-4</v>
      </c>
      <c r="U472" s="35"/>
      <c r="V472" s="35"/>
      <c r="W472" s="35"/>
      <c r="X472" s="35"/>
    </row>
    <row r="473" spans="4:24" x14ac:dyDescent="0.3">
      <c r="D473" s="23">
        <v>40268</v>
      </c>
      <c r="E473" s="5">
        <v>90.042152000000002</v>
      </c>
      <c r="F473" s="28">
        <v>53.190829999999998</v>
      </c>
      <c r="G473" s="28">
        <v>108.95</v>
      </c>
      <c r="H473" s="28">
        <v>42.305210000000002</v>
      </c>
      <c r="I473" s="28">
        <v>46.11983</v>
      </c>
      <c r="J473" s="29"/>
      <c r="K473" s="29"/>
      <c r="L473" s="29"/>
      <c r="M473" s="29"/>
      <c r="N473" s="29"/>
      <c r="P473" s="4">
        <f t="shared" si="31"/>
        <v>-3.4131672050558177E-3</v>
      </c>
      <c r="Q473" s="4">
        <f t="shared" si="31"/>
        <v>8.8418973613340322E-4</v>
      </c>
      <c r="R473" s="4">
        <f t="shared" si="31"/>
        <v>9.0356506315797877E-3</v>
      </c>
      <c r="S473" s="4">
        <f t="shared" si="31"/>
        <v>-4.7651090624605827E-3</v>
      </c>
      <c r="T473" s="4">
        <f t="shared" si="31"/>
        <v>-3.0156243507526198E-3</v>
      </c>
      <c r="U473" s="35"/>
      <c r="V473" s="35"/>
      <c r="W473" s="35"/>
      <c r="X473" s="35"/>
    </row>
    <row r="474" spans="4:24" x14ac:dyDescent="0.3">
      <c r="D474" s="23">
        <v>40269</v>
      </c>
      <c r="E474" s="5">
        <v>90.657814000000002</v>
      </c>
      <c r="F474" s="28">
        <v>53.173969999999997</v>
      </c>
      <c r="G474" s="28">
        <v>110.26</v>
      </c>
      <c r="H474" s="28">
        <v>42.305210000000002</v>
      </c>
      <c r="I474" s="28">
        <v>46.452620000000003</v>
      </c>
      <c r="J474" s="29"/>
      <c r="K474" s="29"/>
      <c r="L474" s="29"/>
      <c r="M474" s="29"/>
      <c r="N474" s="29"/>
      <c r="P474" s="4">
        <f t="shared" si="31"/>
        <v>6.8142169133477253E-3</v>
      </c>
      <c r="Q474" s="4">
        <f t="shared" si="31"/>
        <v>-3.1702217540399344E-4</v>
      </c>
      <c r="R474" s="4">
        <f t="shared" si="31"/>
        <v>1.1952151770908772E-2</v>
      </c>
      <c r="S474" s="4">
        <f t="shared" si="31"/>
        <v>0</v>
      </c>
      <c r="T474" s="4">
        <f t="shared" si="31"/>
        <v>7.1898590477977873E-3</v>
      </c>
      <c r="U474" s="35"/>
      <c r="V474" s="35"/>
      <c r="W474" s="35"/>
      <c r="X474" s="35"/>
    </row>
    <row r="475" spans="4:24" x14ac:dyDescent="0.3">
      <c r="D475" s="23">
        <v>40273</v>
      </c>
      <c r="E475" s="5">
        <v>91.396629000000004</v>
      </c>
      <c r="F475" s="28">
        <v>52.864060000000002</v>
      </c>
      <c r="G475" s="28">
        <v>110.89</v>
      </c>
      <c r="H475" s="28">
        <v>42.700530000000001</v>
      </c>
      <c r="I475" s="28">
        <v>46.901510000000002</v>
      </c>
      <c r="J475" s="29"/>
      <c r="K475" s="29"/>
      <c r="L475" s="29"/>
      <c r="M475" s="29"/>
      <c r="N475" s="29"/>
      <c r="P475" s="4">
        <f t="shared" si="31"/>
        <v>8.1164627869392599E-3</v>
      </c>
      <c r="Q475" s="4">
        <f t="shared" si="31"/>
        <v>-5.8452780082361164E-3</v>
      </c>
      <c r="R475" s="4">
        <f t="shared" si="31"/>
        <v>5.697505803586812E-3</v>
      </c>
      <c r="S475" s="4">
        <f t="shared" si="31"/>
        <v>9.3010860191390515E-3</v>
      </c>
      <c r="T475" s="4">
        <f t="shared" si="31"/>
        <v>9.6170026905595916E-3</v>
      </c>
      <c r="U475" s="35"/>
      <c r="V475" s="35"/>
      <c r="W475" s="35"/>
      <c r="X475" s="35"/>
    </row>
    <row r="476" spans="4:24" x14ac:dyDescent="0.3">
      <c r="D476" s="23">
        <v>40274</v>
      </c>
      <c r="E476" s="5">
        <v>91.612128999999996</v>
      </c>
      <c r="F476" s="28">
        <v>52.904499999999999</v>
      </c>
      <c r="G476" s="28">
        <v>111.03</v>
      </c>
      <c r="H476" s="28">
        <v>42.823509999999999</v>
      </c>
      <c r="I476" s="28">
        <v>47.033079999999998</v>
      </c>
      <c r="J476" s="29"/>
      <c r="K476" s="29"/>
      <c r="L476" s="29"/>
      <c r="M476" s="29"/>
      <c r="N476" s="29"/>
      <c r="P476" s="4">
        <f t="shared" si="31"/>
        <v>2.3550796361787077E-3</v>
      </c>
      <c r="Q476" s="4">
        <f t="shared" si="31"/>
        <v>7.646885231413921E-4</v>
      </c>
      <c r="R476" s="4">
        <f t="shared" si="31"/>
        <v>1.2617161010499117E-3</v>
      </c>
      <c r="S476" s="4">
        <f t="shared" si="31"/>
        <v>2.875918508129465E-3</v>
      </c>
      <c r="T476" s="4">
        <f t="shared" si="31"/>
        <v>2.8013128292714812E-3</v>
      </c>
      <c r="U476" s="35"/>
      <c r="V476" s="35"/>
      <c r="W476" s="35"/>
      <c r="X476" s="35"/>
    </row>
    <row r="477" spans="4:24" x14ac:dyDescent="0.3">
      <c r="D477" s="23">
        <v>40275</v>
      </c>
      <c r="E477" s="5">
        <v>91.088768000000002</v>
      </c>
      <c r="F477" s="28">
        <v>53.1066</v>
      </c>
      <c r="G477" s="28">
        <v>112.49</v>
      </c>
      <c r="H477" s="28">
        <v>42.718089999999997</v>
      </c>
      <c r="I477" s="28">
        <v>46.785420000000002</v>
      </c>
      <c r="J477" s="29"/>
      <c r="K477" s="29"/>
      <c r="L477" s="29"/>
      <c r="M477" s="29"/>
      <c r="N477" s="29"/>
      <c r="P477" s="4">
        <f t="shared" si="31"/>
        <v>-5.7291719978839889E-3</v>
      </c>
      <c r="Q477" s="4">
        <f t="shared" si="31"/>
        <v>3.8128129004676692E-3</v>
      </c>
      <c r="R477" s="4">
        <f t="shared" si="31"/>
        <v>1.3063893738560123E-2</v>
      </c>
      <c r="S477" s="4">
        <f t="shared" si="31"/>
        <v>-2.4647669290623459E-3</v>
      </c>
      <c r="T477" s="4">
        <f t="shared" si="31"/>
        <v>-5.2795680013919821E-3</v>
      </c>
      <c r="U477" s="35"/>
      <c r="V477" s="35"/>
      <c r="W477" s="35"/>
      <c r="X477" s="35"/>
    </row>
    <row r="478" spans="4:24" x14ac:dyDescent="0.3">
      <c r="D478" s="23">
        <v>40276</v>
      </c>
      <c r="E478" s="5">
        <v>91.404365999999996</v>
      </c>
      <c r="F478" s="28">
        <v>53.079700000000003</v>
      </c>
      <c r="G478" s="28">
        <v>112.65</v>
      </c>
      <c r="H478" s="28">
        <v>42.814709999999998</v>
      </c>
      <c r="I478" s="28">
        <v>46.89378</v>
      </c>
      <c r="J478" s="29"/>
      <c r="K478" s="29"/>
      <c r="L478" s="29"/>
      <c r="M478" s="29"/>
      <c r="N478" s="29"/>
      <c r="P478" s="4">
        <f t="shared" si="31"/>
        <v>3.4587417915906563E-3</v>
      </c>
      <c r="Q478" s="4">
        <f t="shared" si="31"/>
        <v>-5.0665670760606551E-4</v>
      </c>
      <c r="R478" s="4">
        <f t="shared" si="31"/>
        <v>1.4213380735189672E-3</v>
      </c>
      <c r="S478" s="4">
        <f t="shared" si="31"/>
        <v>2.2592512135098039E-3</v>
      </c>
      <c r="T478" s="4">
        <f t="shared" si="31"/>
        <v>2.3134281319246667E-3</v>
      </c>
      <c r="U478" s="35"/>
      <c r="V478" s="35"/>
      <c r="W478" s="35"/>
      <c r="X478" s="35"/>
    </row>
    <row r="479" spans="4:24" x14ac:dyDescent="0.3">
      <c r="D479" s="23">
        <v>40277</v>
      </c>
      <c r="E479" s="5">
        <v>92.004608000000005</v>
      </c>
      <c r="F479" s="28">
        <v>53.180729999999997</v>
      </c>
      <c r="G479" s="28">
        <v>113.64</v>
      </c>
      <c r="H479" s="28">
        <v>43.069470000000003</v>
      </c>
      <c r="I479" s="28">
        <v>47.211080000000003</v>
      </c>
      <c r="J479" s="29"/>
      <c r="K479" s="29"/>
      <c r="L479" s="29"/>
      <c r="M479" s="29"/>
      <c r="N479" s="29"/>
      <c r="P479" s="4">
        <f t="shared" si="31"/>
        <v>6.5454173794887837E-3</v>
      </c>
      <c r="Q479" s="4">
        <f t="shared" si="31"/>
        <v>1.9015550839189602E-3</v>
      </c>
      <c r="R479" s="4">
        <f t="shared" si="31"/>
        <v>8.7498901077337314E-3</v>
      </c>
      <c r="S479" s="4">
        <f t="shared" si="31"/>
        <v>5.93265831308812E-3</v>
      </c>
      <c r="T479" s="4">
        <f t="shared" si="31"/>
        <v>6.7435667499467439E-3</v>
      </c>
      <c r="U479" s="35"/>
      <c r="V479" s="35"/>
      <c r="W479" s="35"/>
      <c r="X479" s="35"/>
    </row>
    <row r="480" spans="4:24" x14ac:dyDescent="0.3">
      <c r="D480" s="23">
        <v>40280</v>
      </c>
      <c r="E480" s="5">
        <v>92.150825999999995</v>
      </c>
      <c r="F480" s="28">
        <v>53.234589999999997</v>
      </c>
      <c r="G480" s="28">
        <v>113.01</v>
      </c>
      <c r="H480" s="28">
        <v>43.104579999999999</v>
      </c>
      <c r="I480" s="28">
        <v>47.319429999999997</v>
      </c>
      <c r="J480" s="29"/>
      <c r="K480" s="29"/>
      <c r="L480" s="29"/>
      <c r="M480" s="29"/>
      <c r="N480" s="29"/>
      <c r="P480" s="4">
        <f t="shared" si="31"/>
        <v>1.587984970635506E-3</v>
      </c>
      <c r="Q480" s="4">
        <f t="shared" si="31"/>
        <v>1.0122603512175751E-3</v>
      </c>
      <c r="R480" s="4">
        <f t="shared" si="31"/>
        <v>-5.5592466139277484E-3</v>
      </c>
      <c r="S480" s="4">
        <f t="shared" si="31"/>
        <v>8.1486252399083582E-4</v>
      </c>
      <c r="T480" s="4">
        <f t="shared" si="31"/>
        <v>2.2923825852292907E-3</v>
      </c>
      <c r="U480" s="35"/>
      <c r="V480" s="35"/>
      <c r="W480" s="35"/>
      <c r="X480" s="35"/>
    </row>
    <row r="481" spans="4:24" x14ac:dyDescent="0.3">
      <c r="D481" s="23">
        <v>40281</v>
      </c>
      <c r="E481" s="5">
        <v>92.220084999999997</v>
      </c>
      <c r="F481" s="28">
        <v>53.342410000000001</v>
      </c>
      <c r="G481" s="28">
        <v>112.69</v>
      </c>
      <c r="H481" s="28">
        <v>43.324210000000001</v>
      </c>
      <c r="I481" s="28">
        <v>47.365879999999997</v>
      </c>
      <c r="J481" s="29"/>
      <c r="K481" s="29"/>
      <c r="L481" s="29"/>
      <c r="M481" s="29"/>
      <c r="N481" s="29"/>
      <c r="P481" s="4">
        <f t="shared" si="31"/>
        <v>7.5130076520355817E-4</v>
      </c>
      <c r="Q481" s="4">
        <f t="shared" si="31"/>
        <v>2.0233265485657894E-3</v>
      </c>
      <c r="R481" s="4">
        <f t="shared" si="31"/>
        <v>-2.8356244078015561E-3</v>
      </c>
      <c r="S481" s="4">
        <f t="shared" si="31"/>
        <v>5.0823451944111099E-3</v>
      </c>
      <c r="T481" s="4">
        <f t="shared" si="31"/>
        <v>9.8114488353547068E-4</v>
      </c>
      <c r="U481" s="35"/>
      <c r="V481" s="35"/>
      <c r="W481" s="35"/>
      <c r="X481" s="35"/>
    </row>
    <row r="482" spans="4:24" x14ac:dyDescent="0.3">
      <c r="D482" s="23">
        <v>40282</v>
      </c>
      <c r="E482" s="5">
        <v>93.266746999999995</v>
      </c>
      <c r="F482" s="28">
        <v>53.301969999999997</v>
      </c>
      <c r="G482" s="28">
        <v>113.03</v>
      </c>
      <c r="H482" s="28">
        <v>43.842480000000002</v>
      </c>
      <c r="I482" s="28">
        <v>47.946330000000003</v>
      </c>
      <c r="J482" s="29"/>
      <c r="K482" s="29"/>
      <c r="L482" s="29"/>
      <c r="M482" s="29"/>
      <c r="N482" s="29"/>
      <c r="P482" s="4">
        <f t="shared" si="31"/>
        <v>1.1285686405329589E-2</v>
      </c>
      <c r="Q482" s="4">
        <f t="shared" si="31"/>
        <v>-7.5840849631965065E-4</v>
      </c>
      <c r="R482" s="4">
        <f t="shared" si="31"/>
        <v>3.0125842383817254E-3</v>
      </c>
      <c r="S482" s="4">
        <f t="shared" si="31"/>
        <v>1.1891609223239751E-2</v>
      </c>
      <c r="T482" s="4">
        <f t="shared" si="31"/>
        <v>1.2180122065269645E-2</v>
      </c>
      <c r="U482" s="35"/>
      <c r="V482" s="35"/>
      <c r="W482" s="35"/>
      <c r="X482" s="35"/>
    </row>
    <row r="483" spans="4:24" x14ac:dyDescent="0.3">
      <c r="D483" s="23">
        <v>40283</v>
      </c>
      <c r="E483" s="5">
        <v>93.343681000000004</v>
      </c>
      <c r="F483" s="28">
        <v>53.382809999999999</v>
      </c>
      <c r="G483" s="28">
        <v>113.65</v>
      </c>
      <c r="H483" s="28">
        <v>44.035739999999997</v>
      </c>
      <c r="I483" s="28">
        <v>48.008249999999997</v>
      </c>
      <c r="J483" s="29"/>
      <c r="K483" s="29"/>
      <c r="L483" s="29"/>
      <c r="M483" s="29"/>
      <c r="N483" s="29"/>
      <c r="P483" s="4">
        <f t="shared" si="31"/>
        <v>8.2454132047486705E-4</v>
      </c>
      <c r="Q483" s="4">
        <f t="shared" si="31"/>
        <v>1.5154929404593716E-3</v>
      </c>
      <c r="R483" s="4">
        <f t="shared" si="31"/>
        <v>5.4702800959125358E-3</v>
      </c>
      <c r="S483" s="4">
        <f t="shared" si="31"/>
        <v>4.3983665477347412E-3</v>
      </c>
      <c r="T483" s="4">
        <f t="shared" si="31"/>
        <v>1.2906107992943813E-3</v>
      </c>
      <c r="U483" s="35"/>
      <c r="V483" s="35"/>
      <c r="W483" s="35"/>
      <c r="X483" s="35"/>
    </row>
    <row r="484" spans="4:24" x14ac:dyDescent="0.3">
      <c r="D484" s="23">
        <v>40284</v>
      </c>
      <c r="E484" s="5">
        <v>91.858397999999994</v>
      </c>
      <c r="F484" s="28">
        <v>53.497329999999998</v>
      </c>
      <c r="G484" s="28">
        <v>111.24</v>
      </c>
      <c r="H484" s="28">
        <v>43.508679999999998</v>
      </c>
      <c r="I484" s="28">
        <v>47.257530000000003</v>
      </c>
      <c r="J484" s="29"/>
      <c r="K484" s="29"/>
      <c r="L484" s="29"/>
      <c r="M484" s="29"/>
      <c r="N484" s="29"/>
      <c r="P484" s="4">
        <f t="shared" si="31"/>
        <v>-1.6039937049292723E-2</v>
      </c>
      <c r="Q484" s="4">
        <f t="shared" si="31"/>
        <v>2.1429620849246407E-3</v>
      </c>
      <c r="R484" s="4">
        <f t="shared" si="31"/>
        <v>-2.1433520932788233E-2</v>
      </c>
      <c r="S484" s="4">
        <f t="shared" si="31"/>
        <v>-1.2041118511556011E-2</v>
      </c>
      <c r="T484" s="4">
        <f t="shared" si="31"/>
        <v>-1.5760864817223691E-2</v>
      </c>
      <c r="U484" s="35"/>
      <c r="V484" s="35"/>
      <c r="W484" s="35"/>
      <c r="X484" s="35"/>
    </row>
    <row r="485" spans="4:24" x14ac:dyDescent="0.3">
      <c r="D485" s="23">
        <v>40287</v>
      </c>
      <c r="E485" s="5">
        <v>92.204704000000007</v>
      </c>
      <c r="F485" s="28">
        <v>53.429960000000001</v>
      </c>
      <c r="G485" s="28">
        <v>111.15</v>
      </c>
      <c r="H485" s="28">
        <v>43.482320000000001</v>
      </c>
      <c r="I485" s="28">
        <v>47.381360000000001</v>
      </c>
      <c r="J485" s="29"/>
      <c r="K485" s="29"/>
      <c r="L485" s="29"/>
      <c r="M485" s="29"/>
      <c r="N485" s="29"/>
      <c r="P485" s="4">
        <f t="shared" ref="P485:T500" si="32">LN(E485/E484)</f>
        <v>3.7629096202697818E-3</v>
      </c>
      <c r="Q485" s="4">
        <f t="shared" si="32"/>
        <v>-1.2601087882164561E-3</v>
      </c>
      <c r="R485" s="4">
        <f t="shared" si="32"/>
        <v>-8.0938895555836179E-4</v>
      </c>
      <c r="S485" s="4">
        <f t="shared" si="32"/>
        <v>-6.0603972380581493E-4</v>
      </c>
      <c r="T485" s="4">
        <f t="shared" si="32"/>
        <v>2.6168960913878513E-3</v>
      </c>
      <c r="U485" s="35"/>
      <c r="V485" s="35"/>
      <c r="W485" s="35"/>
      <c r="X485" s="35"/>
    </row>
    <row r="486" spans="4:24" x14ac:dyDescent="0.3">
      <c r="D486" s="23">
        <v>40288</v>
      </c>
      <c r="E486" s="5">
        <v>93.02816</v>
      </c>
      <c r="F486" s="28">
        <v>53.483890000000002</v>
      </c>
      <c r="G486" s="28">
        <v>111.46</v>
      </c>
      <c r="H486" s="28">
        <v>43.701929999999997</v>
      </c>
      <c r="I486" s="28">
        <v>47.830249999999999</v>
      </c>
      <c r="J486" s="29"/>
      <c r="K486" s="29"/>
      <c r="L486" s="29"/>
      <c r="M486" s="29"/>
      <c r="N486" s="29"/>
      <c r="P486" s="4">
        <f t="shared" si="32"/>
        <v>8.8910942349416829E-3</v>
      </c>
      <c r="Q486" s="4">
        <f t="shared" si="32"/>
        <v>1.0088497341375938E-3</v>
      </c>
      <c r="R486" s="4">
        <f t="shared" si="32"/>
        <v>2.7851417311845392E-3</v>
      </c>
      <c r="S486" s="4">
        <f t="shared" si="32"/>
        <v>5.0378471908216083E-3</v>
      </c>
      <c r="T486" s="4">
        <f t="shared" si="32"/>
        <v>9.4293821103824428E-3</v>
      </c>
      <c r="U486" s="35"/>
      <c r="V486" s="35"/>
      <c r="W486" s="35"/>
      <c r="X486" s="35"/>
    </row>
    <row r="487" spans="4:24" x14ac:dyDescent="0.3">
      <c r="D487" s="23">
        <v>40289</v>
      </c>
      <c r="E487" s="5">
        <v>92.858870999999994</v>
      </c>
      <c r="F487" s="28">
        <v>53.524320000000003</v>
      </c>
      <c r="G487" s="28">
        <v>112.31</v>
      </c>
      <c r="H487" s="28">
        <v>43.94791</v>
      </c>
      <c r="I487" s="28">
        <v>47.791550000000001</v>
      </c>
      <c r="J487" s="29"/>
      <c r="K487" s="29"/>
      <c r="L487" s="29"/>
      <c r="M487" s="29"/>
      <c r="N487" s="29"/>
      <c r="P487" s="4">
        <f t="shared" si="32"/>
        <v>-1.8214185883928919E-3</v>
      </c>
      <c r="Q487" s="4">
        <f t="shared" si="32"/>
        <v>7.5564299082805247E-4</v>
      </c>
      <c r="R487" s="4">
        <f t="shared" si="32"/>
        <v>7.5971228335544004E-3</v>
      </c>
      <c r="S487" s="4">
        <f t="shared" si="32"/>
        <v>5.6128030757411186E-3</v>
      </c>
      <c r="T487" s="4">
        <f t="shared" si="32"/>
        <v>-8.0943889600471075E-4</v>
      </c>
      <c r="U487" s="35"/>
      <c r="V487" s="35"/>
      <c r="W487" s="35"/>
      <c r="X487" s="35"/>
    </row>
    <row r="488" spans="4:24" x14ac:dyDescent="0.3">
      <c r="D488" s="23">
        <v>40290</v>
      </c>
      <c r="E488" s="5">
        <v>93.135909999999996</v>
      </c>
      <c r="F488" s="28">
        <v>53.490609999999997</v>
      </c>
      <c r="G488" s="28">
        <v>111.84</v>
      </c>
      <c r="H488" s="28">
        <v>44.193860000000001</v>
      </c>
      <c r="I488" s="28">
        <v>48.023739999999997</v>
      </c>
      <c r="J488" s="29"/>
      <c r="K488" s="29"/>
      <c r="L488" s="29"/>
      <c r="M488" s="29"/>
      <c r="N488" s="29"/>
      <c r="P488" s="4">
        <f t="shared" si="32"/>
        <v>2.978999769681323E-3</v>
      </c>
      <c r="Q488" s="4">
        <f t="shared" si="32"/>
        <v>-6.3000557239974479E-4</v>
      </c>
      <c r="R488" s="4">
        <f t="shared" si="32"/>
        <v>-4.1936264894445905E-3</v>
      </c>
      <c r="S488" s="4">
        <f t="shared" si="32"/>
        <v>5.5807964452794755E-3</v>
      </c>
      <c r="T488" s="4">
        <f t="shared" si="32"/>
        <v>4.8466263475822691E-3</v>
      </c>
      <c r="U488" s="35"/>
      <c r="V488" s="35"/>
      <c r="W488" s="35"/>
      <c r="X488" s="35"/>
    </row>
    <row r="489" spans="4:24" x14ac:dyDescent="0.3">
      <c r="D489" s="23">
        <v>40291</v>
      </c>
      <c r="E489" s="5">
        <v>93.743896000000007</v>
      </c>
      <c r="F489" s="28">
        <v>53.45017</v>
      </c>
      <c r="G489" s="28">
        <v>113.19</v>
      </c>
      <c r="H489" s="28">
        <v>44.378329999999998</v>
      </c>
      <c r="I489" s="28">
        <v>48.348799999999997</v>
      </c>
      <c r="J489" s="29"/>
      <c r="K489" s="29"/>
      <c r="L489" s="29"/>
      <c r="M489" s="29"/>
      <c r="N489" s="29"/>
      <c r="P489" s="4">
        <f t="shared" si="32"/>
        <v>6.5067291973790308E-3</v>
      </c>
      <c r="Q489" s="4">
        <f t="shared" si="32"/>
        <v>-7.5630647032188158E-4</v>
      </c>
      <c r="R489" s="4">
        <f t="shared" si="32"/>
        <v>1.1998544158828582E-2</v>
      </c>
      <c r="S489" s="4">
        <f t="shared" si="32"/>
        <v>4.1654218265157637E-3</v>
      </c>
      <c r="T489" s="4">
        <f t="shared" si="32"/>
        <v>6.7459305881850916E-3</v>
      </c>
      <c r="U489" s="35"/>
      <c r="V489" s="35"/>
      <c r="W489" s="35"/>
      <c r="X489" s="35"/>
    </row>
    <row r="490" spans="4:24" x14ac:dyDescent="0.3">
      <c r="D490" s="23">
        <v>40294</v>
      </c>
      <c r="E490" s="5">
        <v>93.389885000000007</v>
      </c>
      <c r="F490" s="28">
        <v>53.423229999999997</v>
      </c>
      <c r="G490" s="28">
        <v>112.75</v>
      </c>
      <c r="H490" s="28">
        <v>44.281700000000001</v>
      </c>
      <c r="I490" s="28">
        <v>48.178519999999999</v>
      </c>
      <c r="J490" s="29"/>
      <c r="K490" s="29"/>
      <c r="L490" s="29"/>
      <c r="M490" s="29"/>
      <c r="N490" s="29"/>
      <c r="P490" s="4">
        <f t="shared" si="32"/>
        <v>-3.7835116718381943E-3</v>
      </c>
      <c r="Q490" s="4">
        <f t="shared" si="32"/>
        <v>-5.0414790903261484E-4</v>
      </c>
      <c r="R490" s="4">
        <f t="shared" si="32"/>
        <v>-3.8948442615410737E-3</v>
      </c>
      <c r="S490" s="4">
        <f t="shared" si="32"/>
        <v>-2.1797880795044579E-3</v>
      </c>
      <c r="T490" s="4">
        <f t="shared" si="32"/>
        <v>-3.5281239887783719E-3</v>
      </c>
      <c r="U490" s="35"/>
      <c r="V490" s="35"/>
      <c r="W490" s="35"/>
      <c r="X490" s="35"/>
    </row>
    <row r="491" spans="4:24" x14ac:dyDescent="0.3">
      <c r="D491" s="23">
        <v>40295</v>
      </c>
      <c r="E491" s="5">
        <v>91.181145000000001</v>
      </c>
      <c r="F491" s="28">
        <v>53.618639999999999</v>
      </c>
      <c r="G491" s="28">
        <v>114.63</v>
      </c>
      <c r="H491" s="28">
        <v>43.34178</v>
      </c>
      <c r="I491" s="28">
        <v>47.017600000000002</v>
      </c>
      <c r="J491" s="29"/>
      <c r="K491" s="29"/>
      <c r="L491" s="29"/>
      <c r="M491" s="29"/>
      <c r="N491" s="29"/>
      <c r="P491" s="4">
        <f t="shared" si="32"/>
        <v>-2.3934909440778116E-2</v>
      </c>
      <c r="Q491" s="4">
        <f t="shared" si="32"/>
        <v>3.6510987163506938E-3</v>
      </c>
      <c r="R491" s="4">
        <f t="shared" si="32"/>
        <v>1.6536571744130479E-2</v>
      </c>
      <c r="S491" s="4">
        <f t="shared" si="32"/>
        <v>-2.1454433284706264E-2</v>
      </c>
      <c r="T491" s="4">
        <f t="shared" si="32"/>
        <v>-2.439127887511619E-2</v>
      </c>
      <c r="U491" s="35"/>
      <c r="V491" s="35"/>
      <c r="W491" s="35"/>
      <c r="X491" s="35"/>
    </row>
    <row r="492" spans="4:24" x14ac:dyDescent="0.3">
      <c r="D492" s="23">
        <v>40296</v>
      </c>
      <c r="E492" s="5">
        <v>91.873763999999994</v>
      </c>
      <c r="F492" s="28">
        <v>53.584919999999997</v>
      </c>
      <c r="G492" s="28">
        <v>114.31</v>
      </c>
      <c r="H492" s="28">
        <v>43.368119999999998</v>
      </c>
      <c r="I492" s="28">
        <v>47.327170000000002</v>
      </c>
      <c r="J492" s="29"/>
      <c r="K492" s="29"/>
      <c r="L492" s="29"/>
      <c r="M492" s="29"/>
      <c r="N492" s="29"/>
      <c r="P492" s="4">
        <f t="shared" si="32"/>
        <v>7.5673720964171114E-3</v>
      </c>
      <c r="Q492" s="4">
        <f t="shared" si="32"/>
        <v>-6.2908360714977469E-4</v>
      </c>
      <c r="R492" s="4">
        <f t="shared" si="32"/>
        <v>-2.7954940892311107E-3</v>
      </c>
      <c r="S492" s="4">
        <f t="shared" si="32"/>
        <v>6.0754310200324287E-4</v>
      </c>
      <c r="T492" s="4">
        <f t="shared" si="32"/>
        <v>6.5625494878323136E-3</v>
      </c>
      <c r="U492" s="35"/>
      <c r="V492" s="35"/>
      <c r="W492" s="35"/>
      <c r="X492" s="35"/>
    </row>
    <row r="493" spans="4:24" x14ac:dyDescent="0.3">
      <c r="D493" s="23">
        <v>40297</v>
      </c>
      <c r="E493" s="5">
        <v>93.012778999999995</v>
      </c>
      <c r="F493" s="28">
        <v>53.605130000000003</v>
      </c>
      <c r="G493" s="28">
        <v>114.28</v>
      </c>
      <c r="H493" s="28">
        <v>44.123579999999997</v>
      </c>
      <c r="I493" s="28">
        <v>47.946330000000003</v>
      </c>
      <c r="J493" s="29"/>
      <c r="K493" s="29"/>
      <c r="L493" s="29"/>
      <c r="M493" s="29"/>
      <c r="N493" s="29"/>
      <c r="P493" s="4">
        <f t="shared" si="32"/>
        <v>1.232138793442622E-2</v>
      </c>
      <c r="Q493" s="4">
        <f t="shared" si="32"/>
        <v>3.7708724344263147E-4</v>
      </c>
      <c r="R493" s="4">
        <f t="shared" si="32"/>
        <v>-2.624786751146845E-4</v>
      </c>
      <c r="S493" s="4">
        <f t="shared" si="32"/>
        <v>1.7269724461151038E-2</v>
      </c>
      <c r="T493" s="4">
        <f t="shared" si="32"/>
        <v>1.2997711152458364E-2</v>
      </c>
      <c r="U493" s="35"/>
      <c r="V493" s="35"/>
      <c r="W493" s="35"/>
      <c r="X493" s="35"/>
    </row>
    <row r="494" spans="4:24" x14ac:dyDescent="0.3">
      <c r="D494" s="23">
        <v>40298</v>
      </c>
      <c r="E494" s="5">
        <v>91.435112000000004</v>
      </c>
      <c r="F494" s="28">
        <v>53.760089999999998</v>
      </c>
      <c r="G494" s="28">
        <v>115.36</v>
      </c>
      <c r="H494" s="28">
        <v>43.253920000000001</v>
      </c>
      <c r="I494" s="28">
        <v>47.125950000000003</v>
      </c>
      <c r="J494" s="29"/>
      <c r="K494" s="29"/>
      <c r="L494" s="29"/>
      <c r="M494" s="29"/>
      <c r="N494" s="29"/>
      <c r="P494" s="4">
        <f t="shared" si="32"/>
        <v>-1.7107330075989802E-2</v>
      </c>
      <c r="Q494" s="4">
        <f t="shared" si="32"/>
        <v>2.8865978684651378E-3</v>
      </c>
      <c r="R494" s="4">
        <f t="shared" si="32"/>
        <v>9.4060961740666266E-3</v>
      </c>
      <c r="S494" s="4">
        <f t="shared" si="32"/>
        <v>-1.9906468323656112E-2</v>
      </c>
      <c r="T494" s="4">
        <f t="shared" si="32"/>
        <v>-1.7258455623605194E-2</v>
      </c>
      <c r="U494" s="35"/>
      <c r="V494" s="35"/>
      <c r="W494" s="35"/>
      <c r="X494" s="35"/>
    </row>
    <row r="495" spans="4:24" x14ac:dyDescent="0.3">
      <c r="D495" s="23">
        <v>40301</v>
      </c>
      <c r="E495" s="5">
        <v>92.620293000000004</v>
      </c>
      <c r="F495" s="28">
        <v>53.731029999999997</v>
      </c>
      <c r="G495" s="28">
        <v>115.73</v>
      </c>
      <c r="H495" s="28">
        <v>43.860059999999997</v>
      </c>
      <c r="I495" s="28">
        <v>47.760579999999997</v>
      </c>
      <c r="J495" s="29"/>
      <c r="K495" s="29"/>
      <c r="L495" s="29"/>
      <c r="M495" s="29"/>
      <c r="N495" s="29"/>
      <c r="P495" s="4">
        <f t="shared" si="32"/>
        <v>1.2878702271497674E-2</v>
      </c>
      <c r="Q495" s="4">
        <f t="shared" si="32"/>
        <v>-5.4069583995368885E-4</v>
      </c>
      <c r="R495" s="4">
        <f t="shared" si="32"/>
        <v>3.2022183233475789E-3</v>
      </c>
      <c r="S495" s="4">
        <f t="shared" si="32"/>
        <v>1.3916245869003155E-2</v>
      </c>
      <c r="T495" s="4">
        <f t="shared" si="32"/>
        <v>1.3376808348033875E-2</v>
      </c>
      <c r="U495" s="35"/>
      <c r="V495" s="35"/>
      <c r="W495" s="35"/>
      <c r="X495" s="35"/>
    </row>
    <row r="496" spans="4:24" x14ac:dyDescent="0.3">
      <c r="D496" s="23">
        <v>40302</v>
      </c>
      <c r="E496" s="5">
        <v>90.442359999999994</v>
      </c>
      <c r="F496" s="28">
        <v>53.886450000000004</v>
      </c>
      <c r="G496" s="28">
        <v>114.87</v>
      </c>
      <c r="H496" s="28">
        <v>42.542400000000001</v>
      </c>
      <c r="I496" s="28">
        <v>46.59966</v>
      </c>
      <c r="J496" s="29"/>
      <c r="K496" s="29"/>
      <c r="L496" s="29"/>
      <c r="M496" s="29"/>
      <c r="N496" s="29"/>
      <c r="P496" s="4">
        <f t="shared" si="32"/>
        <v>-2.3795522793521682E-2</v>
      </c>
      <c r="Q496" s="4">
        <f t="shared" si="32"/>
        <v>2.8883803644610601E-3</v>
      </c>
      <c r="R496" s="4">
        <f t="shared" si="32"/>
        <v>-7.4588377026736027E-3</v>
      </c>
      <c r="S496" s="4">
        <f t="shared" si="32"/>
        <v>-3.0502885307756328E-2</v>
      </c>
      <c r="T496" s="4">
        <f t="shared" si="32"/>
        <v>-2.460736809656534E-2</v>
      </c>
      <c r="U496" s="35"/>
      <c r="V496" s="35"/>
      <c r="W496" s="35"/>
      <c r="X496" s="35"/>
    </row>
    <row r="497" spans="4:24" x14ac:dyDescent="0.3">
      <c r="D497" s="23">
        <v>40303</v>
      </c>
      <c r="E497" s="5">
        <v>89.90361</v>
      </c>
      <c r="F497" s="28">
        <v>53.913499999999999</v>
      </c>
      <c r="G497" s="28">
        <v>115.09</v>
      </c>
      <c r="H497" s="28">
        <v>42.322800000000001</v>
      </c>
      <c r="I497" s="28">
        <v>46.220410000000001</v>
      </c>
      <c r="J497" s="29"/>
      <c r="K497" s="29"/>
      <c r="L497" s="29"/>
      <c r="M497" s="29"/>
      <c r="N497" s="29"/>
      <c r="P497" s="4">
        <f t="shared" si="32"/>
        <v>-5.9746453177531005E-3</v>
      </c>
      <c r="Q497" s="4">
        <f t="shared" si="32"/>
        <v>5.0185553087405538E-4</v>
      </c>
      <c r="R497" s="4">
        <f t="shared" si="32"/>
        <v>1.9133768230867796E-3</v>
      </c>
      <c r="S497" s="4">
        <f t="shared" si="32"/>
        <v>-5.175277737820139E-3</v>
      </c>
      <c r="T497" s="4">
        <f t="shared" si="32"/>
        <v>-8.1717695419734858E-3</v>
      </c>
      <c r="U497" s="35"/>
      <c r="V497" s="35"/>
      <c r="W497" s="35"/>
      <c r="X497" s="35"/>
    </row>
    <row r="498" spans="4:24" x14ac:dyDescent="0.3">
      <c r="D498" s="23">
        <v>40304</v>
      </c>
      <c r="E498" s="5">
        <v>86.917625000000001</v>
      </c>
      <c r="F498" s="28">
        <v>54.12294</v>
      </c>
      <c r="G498" s="28">
        <v>118.49</v>
      </c>
      <c r="H498" s="28">
        <v>40.908520000000003</v>
      </c>
      <c r="I498" s="28">
        <v>44.664790000000004</v>
      </c>
      <c r="J498" s="29"/>
      <c r="K498" s="29"/>
      <c r="L498" s="29"/>
      <c r="M498" s="29"/>
      <c r="N498" s="29"/>
      <c r="P498" s="4">
        <f t="shared" si="32"/>
        <v>-3.3777265361089936E-2</v>
      </c>
      <c r="Q498" s="4">
        <f t="shared" si="32"/>
        <v>3.8772151761454483E-3</v>
      </c>
      <c r="R498" s="4">
        <f t="shared" si="32"/>
        <v>2.911413784824874E-2</v>
      </c>
      <c r="S498" s="4">
        <f t="shared" si="32"/>
        <v>-3.3987593619226285E-2</v>
      </c>
      <c r="T498" s="4">
        <f t="shared" si="32"/>
        <v>-3.4235979950893829E-2</v>
      </c>
      <c r="U498" s="35"/>
      <c r="V498" s="35"/>
      <c r="W498" s="35"/>
      <c r="X498" s="35"/>
    </row>
    <row r="499" spans="4:24" x14ac:dyDescent="0.3">
      <c r="D499" s="23">
        <v>40305</v>
      </c>
      <c r="E499" s="5">
        <v>85.624686999999994</v>
      </c>
      <c r="F499" s="28">
        <v>53.987789999999997</v>
      </c>
      <c r="G499" s="28">
        <v>118.27</v>
      </c>
      <c r="H499" s="28">
        <v>39.889539999999997</v>
      </c>
      <c r="I499" s="28">
        <v>43.821170000000002</v>
      </c>
      <c r="J499" s="29"/>
      <c r="K499" s="29"/>
      <c r="L499" s="29"/>
      <c r="M499" s="29"/>
      <c r="N499" s="29"/>
      <c r="P499" s="4">
        <f t="shared" si="32"/>
        <v>-1.498718993759683E-2</v>
      </c>
      <c r="Q499" s="4">
        <f t="shared" si="32"/>
        <v>-2.5002156659707296E-3</v>
      </c>
      <c r="R499" s="4">
        <f t="shared" si="32"/>
        <v>-1.8584225656231284E-3</v>
      </c>
      <c r="S499" s="4">
        <f t="shared" si="32"/>
        <v>-2.5224220174443816E-2</v>
      </c>
      <c r="T499" s="4">
        <f t="shared" si="32"/>
        <v>-1.9068461526974913E-2</v>
      </c>
      <c r="U499" s="35"/>
      <c r="V499" s="35"/>
      <c r="W499" s="35"/>
      <c r="X499" s="35"/>
    </row>
    <row r="500" spans="4:24" x14ac:dyDescent="0.3">
      <c r="D500" s="23">
        <v>40308</v>
      </c>
      <c r="E500" s="5">
        <v>89.395706000000004</v>
      </c>
      <c r="F500" s="28">
        <v>53.926990000000004</v>
      </c>
      <c r="G500" s="28">
        <v>117.57</v>
      </c>
      <c r="H500" s="28">
        <v>41.96264</v>
      </c>
      <c r="I500" s="28">
        <v>45.833460000000002</v>
      </c>
      <c r="J500" s="29"/>
      <c r="K500" s="29"/>
      <c r="L500" s="29"/>
      <c r="M500" s="29"/>
      <c r="N500" s="29"/>
      <c r="P500" s="4">
        <f t="shared" si="32"/>
        <v>4.3099008604761679E-2</v>
      </c>
      <c r="Q500" s="4">
        <f t="shared" si="32"/>
        <v>-1.1268151857086032E-3</v>
      </c>
      <c r="R500" s="4">
        <f t="shared" si="32"/>
        <v>-5.9362453833757718E-3</v>
      </c>
      <c r="S500" s="4">
        <f t="shared" si="32"/>
        <v>5.0665564474155406E-2</v>
      </c>
      <c r="T500" s="4">
        <f t="shared" si="32"/>
        <v>4.4897358123259221E-2</v>
      </c>
      <c r="U500" s="35"/>
      <c r="V500" s="35"/>
      <c r="W500" s="35"/>
      <c r="X500" s="35"/>
    </row>
    <row r="501" spans="4:24" x14ac:dyDescent="0.3">
      <c r="D501" s="23">
        <v>40309</v>
      </c>
      <c r="E501" s="5">
        <v>89.141723999999996</v>
      </c>
      <c r="F501" s="28">
        <v>54.001300000000001</v>
      </c>
      <c r="G501" s="28">
        <v>120.66</v>
      </c>
      <c r="H501" s="28">
        <v>41.918709999999997</v>
      </c>
      <c r="I501" s="28">
        <v>45.794739999999997</v>
      </c>
      <c r="J501" s="29"/>
      <c r="K501" s="29"/>
      <c r="L501" s="29"/>
      <c r="M501" s="29"/>
      <c r="N501" s="29"/>
      <c r="P501" s="4">
        <f t="shared" ref="P501:T516" si="33">LN(E501/E500)</f>
        <v>-2.8451420111567541E-3</v>
      </c>
      <c r="Q501" s="4">
        <f t="shared" si="33"/>
        <v>1.3770256480893979E-3</v>
      </c>
      <c r="R501" s="4">
        <f t="shared" si="33"/>
        <v>2.5942772132966016E-2</v>
      </c>
      <c r="S501" s="4">
        <f t="shared" si="33"/>
        <v>-1.0474319742434441E-3</v>
      </c>
      <c r="T501" s="4">
        <f t="shared" si="33"/>
        <v>-8.4515470793421936E-4</v>
      </c>
      <c r="U501" s="35"/>
      <c r="V501" s="35"/>
      <c r="W501" s="35"/>
      <c r="X501" s="35"/>
    </row>
    <row r="502" spans="4:24" x14ac:dyDescent="0.3">
      <c r="D502" s="23">
        <v>40310</v>
      </c>
      <c r="E502" s="5">
        <v>90.388480999999999</v>
      </c>
      <c r="F502" s="28">
        <v>53.852649999999997</v>
      </c>
      <c r="G502" s="28">
        <v>121.4</v>
      </c>
      <c r="H502" s="28">
        <v>42.709299999999999</v>
      </c>
      <c r="I502" s="28">
        <v>46.530009999999997</v>
      </c>
      <c r="J502" s="29"/>
      <c r="K502" s="29"/>
      <c r="L502" s="29"/>
      <c r="M502" s="29"/>
      <c r="N502" s="29"/>
      <c r="P502" s="4">
        <f t="shared" si="33"/>
        <v>1.3889329017953747E-2</v>
      </c>
      <c r="Q502" s="4">
        <f t="shared" si="33"/>
        <v>-2.7565071863260974E-3</v>
      </c>
      <c r="R502" s="4">
        <f t="shared" si="33"/>
        <v>6.1142056127822539E-3</v>
      </c>
      <c r="S502" s="4">
        <f t="shared" si="33"/>
        <v>1.8684428476228001E-2</v>
      </c>
      <c r="T502" s="4">
        <f t="shared" si="33"/>
        <v>1.5928243408515643E-2</v>
      </c>
      <c r="U502" s="35"/>
      <c r="V502" s="35"/>
      <c r="W502" s="35"/>
      <c r="X502" s="35"/>
    </row>
    <row r="503" spans="4:24" x14ac:dyDescent="0.3">
      <c r="D503" s="23">
        <v>40311</v>
      </c>
      <c r="E503" s="5">
        <v>89.264861999999994</v>
      </c>
      <c r="F503" s="28">
        <v>53.954030000000003</v>
      </c>
      <c r="G503" s="28">
        <v>120.56</v>
      </c>
      <c r="H503" s="28">
        <v>42.03293</v>
      </c>
      <c r="I503" s="28">
        <v>45.972769999999997</v>
      </c>
      <c r="J503" s="29"/>
      <c r="K503" s="29"/>
      <c r="L503" s="29"/>
      <c r="M503" s="29"/>
      <c r="N503" s="29"/>
      <c r="P503" s="4">
        <f t="shared" si="33"/>
        <v>-1.2508908907746587E-2</v>
      </c>
      <c r="Q503" s="4">
        <f t="shared" si="33"/>
        <v>1.8807745472619736E-3</v>
      </c>
      <c r="R503" s="4">
        <f t="shared" si="33"/>
        <v>-6.9433243071578832E-3</v>
      </c>
      <c r="S503" s="4">
        <f t="shared" si="33"/>
        <v>-1.5963336417109474E-2</v>
      </c>
      <c r="T503" s="4">
        <f t="shared" si="33"/>
        <v>-1.2048216079722287E-2</v>
      </c>
      <c r="U503" s="35"/>
      <c r="V503" s="35"/>
      <c r="W503" s="35"/>
      <c r="X503" s="35"/>
    </row>
    <row r="504" spans="4:24" x14ac:dyDescent="0.3">
      <c r="D504" s="23">
        <v>40312</v>
      </c>
      <c r="E504" s="5">
        <v>87.648719999999997</v>
      </c>
      <c r="F504" s="28">
        <v>54.136429999999997</v>
      </c>
      <c r="G504" s="28">
        <v>120.37</v>
      </c>
      <c r="H504" s="28">
        <v>41.224769999999999</v>
      </c>
      <c r="I504" s="28">
        <v>45.144629999999999</v>
      </c>
      <c r="J504" s="29"/>
      <c r="K504" s="29"/>
      <c r="L504" s="29"/>
      <c r="M504" s="29"/>
      <c r="N504" s="29"/>
      <c r="P504" s="4">
        <f t="shared" si="33"/>
        <v>-1.8270920081250926E-2</v>
      </c>
      <c r="Q504" s="4">
        <f t="shared" si="33"/>
        <v>3.3749541473457093E-3</v>
      </c>
      <c r="R504" s="4">
        <f t="shared" si="33"/>
        <v>-1.5772219265965642E-3</v>
      </c>
      <c r="S504" s="4">
        <f t="shared" si="33"/>
        <v>-1.9414069406419283E-2</v>
      </c>
      <c r="T504" s="4">
        <f t="shared" si="33"/>
        <v>-1.8177928779553574E-2</v>
      </c>
      <c r="U504" s="35"/>
      <c r="V504" s="35"/>
      <c r="W504" s="35"/>
      <c r="X504" s="35"/>
    </row>
    <row r="505" spans="4:24" x14ac:dyDescent="0.3">
      <c r="D505" s="23">
        <v>40315</v>
      </c>
      <c r="E505" s="5">
        <v>87.694916000000006</v>
      </c>
      <c r="F505" s="28">
        <v>54.143210000000003</v>
      </c>
      <c r="G505" s="28">
        <v>119.36</v>
      </c>
      <c r="H505" s="28">
        <v>41.356520000000003</v>
      </c>
      <c r="I505" s="28">
        <v>45.175579999999997</v>
      </c>
      <c r="J505" s="29"/>
      <c r="K505" s="29"/>
      <c r="L505" s="29"/>
      <c r="M505" s="29"/>
      <c r="N505" s="29"/>
      <c r="P505" s="4">
        <f t="shared" si="33"/>
        <v>5.2691962049712735E-4</v>
      </c>
      <c r="Q505" s="4">
        <f t="shared" si="33"/>
        <v>1.2523129941826685E-4</v>
      </c>
      <c r="R505" s="4">
        <f t="shared" si="33"/>
        <v>-8.426195936192751E-3</v>
      </c>
      <c r="S505" s="4">
        <f t="shared" si="33"/>
        <v>3.1907981040497344E-3</v>
      </c>
      <c r="T505" s="4">
        <f t="shared" si="33"/>
        <v>6.8533944310815605E-4</v>
      </c>
      <c r="U505" s="35"/>
      <c r="V505" s="35"/>
      <c r="W505" s="35"/>
      <c r="X505" s="35"/>
    </row>
    <row r="506" spans="4:24" x14ac:dyDescent="0.3">
      <c r="D506" s="23">
        <v>40316</v>
      </c>
      <c r="E506" s="5">
        <v>86.502028999999993</v>
      </c>
      <c r="F506" s="28">
        <v>54.34592</v>
      </c>
      <c r="G506" s="28">
        <v>119.49</v>
      </c>
      <c r="H506" s="28">
        <v>40.785550000000001</v>
      </c>
      <c r="I506" s="28">
        <v>44.533209999999997</v>
      </c>
      <c r="J506" s="29"/>
      <c r="K506" s="29"/>
      <c r="L506" s="29"/>
      <c r="M506" s="29"/>
      <c r="N506" s="29"/>
      <c r="P506" s="4">
        <f t="shared" si="33"/>
        <v>-1.3696057034184252E-2</v>
      </c>
      <c r="Q506" s="4">
        <f t="shared" si="33"/>
        <v>3.7369685958877049E-3</v>
      </c>
      <c r="R506" s="4">
        <f t="shared" si="33"/>
        <v>1.0885494062117535E-3</v>
      </c>
      <c r="S506" s="4">
        <f t="shared" si="33"/>
        <v>-1.3902235383653552E-2</v>
      </c>
      <c r="T506" s="4">
        <f t="shared" si="33"/>
        <v>-1.432147238595218E-2</v>
      </c>
      <c r="U506" s="35"/>
      <c r="V506" s="35"/>
      <c r="W506" s="35"/>
      <c r="X506" s="35"/>
    </row>
    <row r="507" spans="4:24" x14ac:dyDescent="0.3">
      <c r="D507" s="23">
        <v>40317</v>
      </c>
      <c r="E507" s="5">
        <v>86.009499000000005</v>
      </c>
      <c r="F507" s="28">
        <v>54.359389999999998</v>
      </c>
      <c r="G507" s="28">
        <v>116.63</v>
      </c>
      <c r="H507" s="28">
        <v>40.460520000000002</v>
      </c>
      <c r="I507" s="28">
        <v>44.215899999999998</v>
      </c>
      <c r="J507" s="29"/>
      <c r="K507" s="29"/>
      <c r="L507" s="29"/>
      <c r="M507" s="29"/>
      <c r="N507" s="29"/>
      <c r="P507" s="4">
        <f t="shared" si="33"/>
        <v>-5.710126667787082E-3</v>
      </c>
      <c r="Q507" s="4">
        <f t="shared" si="33"/>
        <v>2.4782598143438349E-4</v>
      </c>
      <c r="R507" s="4">
        <f t="shared" si="33"/>
        <v>-2.4226155158704063E-2</v>
      </c>
      <c r="S507" s="4">
        <f t="shared" si="33"/>
        <v>-8.001168154909236E-3</v>
      </c>
      <c r="T507" s="4">
        <f t="shared" si="33"/>
        <v>-7.1507500658696691E-3</v>
      </c>
      <c r="U507" s="35"/>
      <c r="V507" s="35"/>
      <c r="W507" s="35"/>
      <c r="X507" s="35"/>
    </row>
    <row r="508" spans="4:24" x14ac:dyDescent="0.3">
      <c r="D508" s="23">
        <v>40318</v>
      </c>
      <c r="E508" s="5">
        <v>82.761818000000005</v>
      </c>
      <c r="F508" s="28">
        <v>54.45402</v>
      </c>
      <c r="G508" s="28">
        <v>115.84</v>
      </c>
      <c r="H508" s="28">
        <v>38.958410000000001</v>
      </c>
      <c r="I508" s="28">
        <v>42.497720000000001</v>
      </c>
      <c r="J508" s="29"/>
      <c r="K508" s="29"/>
      <c r="L508" s="29"/>
      <c r="M508" s="29"/>
      <c r="N508" s="29"/>
      <c r="P508" s="4">
        <f t="shared" si="33"/>
        <v>-3.8490923872392967E-2</v>
      </c>
      <c r="Q508" s="4">
        <f t="shared" si="33"/>
        <v>1.7393081212355695E-3</v>
      </c>
      <c r="R508" s="4">
        <f t="shared" si="33"/>
        <v>-6.7966020655522074E-3</v>
      </c>
      <c r="S508" s="4">
        <f t="shared" si="33"/>
        <v>-3.7832017003470469E-2</v>
      </c>
      <c r="T508" s="4">
        <f t="shared" si="33"/>
        <v>-3.9634025471160392E-2</v>
      </c>
      <c r="U508" s="35"/>
      <c r="V508" s="35"/>
      <c r="W508" s="35"/>
      <c r="X508" s="35"/>
    </row>
    <row r="509" spans="4:24" x14ac:dyDescent="0.3">
      <c r="D509" s="23">
        <v>40319</v>
      </c>
      <c r="E509" s="5">
        <v>83.970107999999996</v>
      </c>
      <c r="F509" s="28">
        <v>54.528350000000003</v>
      </c>
      <c r="G509" s="28">
        <v>115.22</v>
      </c>
      <c r="H509" s="28">
        <v>39.388849999999998</v>
      </c>
      <c r="I509" s="28">
        <v>43.116880000000002</v>
      </c>
      <c r="J509" s="29"/>
      <c r="K509" s="29"/>
      <c r="L509" s="29"/>
      <c r="M509" s="29"/>
      <c r="N509" s="29"/>
      <c r="P509" s="4">
        <f t="shared" si="33"/>
        <v>1.4494058598328568E-2</v>
      </c>
      <c r="Q509" s="4">
        <f t="shared" si="33"/>
        <v>1.3640740520780021E-3</v>
      </c>
      <c r="R509" s="4">
        <f t="shared" si="33"/>
        <v>-5.3665843331691804E-3</v>
      </c>
      <c r="S509" s="4">
        <f t="shared" si="33"/>
        <v>1.0988114476166934E-2</v>
      </c>
      <c r="T509" s="4">
        <f t="shared" si="33"/>
        <v>1.4464140335198456E-2</v>
      </c>
      <c r="U509" s="35"/>
      <c r="V509" s="35"/>
      <c r="W509" s="35"/>
      <c r="X509" s="35"/>
    </row>
    <row r="510" spans="4:24" x14ac:dyDescent="0.3">
      <c r="D510" s="23">
        <v>40322</v>
      </c>
      <c r="E510" s="5">
        <v>82.892632000000006</v>
      </c>
      <c r="F510" s="28">
        <v>54.521590000000003</v>
      </c>
      <c r="G510" s="28">
        <v>116.84</v>
      </c>
      <c r="H510" s="28">
        <v>39.230730000000001</v>
      </c>
      <c r="I510" s="28">
        <v>42.575119999999998</v>
      </c>
      <c r="J510" s="29"/>
      <c r="K510" s="29"/>
      <c r="L510" s="29"/>
      <c r="M510" s="29"/>
      <c r="N510" s="29"/>
      <c r="P510" s="4">
        <f t="shared" si="33"/>
        <v>-1.2914698343392686E-2</v>
      </c>
      <c r="Q510" s="4">
        <f t="shared" si="33"/>
        <v>-1.2397989414135292E-4</v>
      </c>
      <c r="R510" s="4">
        <f t="shared" si="33"/>
        <v>1.396213321530319E-2</v>
      </c>
      <c r="S510" s="4">
        <f t="shared" si="33"/>
        <v>-4.0224130730756834E-3</v>
      </c>
      <c r="T510" s="4">
        <f t="shared" si="33"/>
        <v>-1.2644522667421075E-2</v>
      </c>
      <c r="U510" s="35"/>
      <c r="V510" s="35"/>
      <c r="W510" s="35"/>
      <c r="X510" s="35"/>
    </row>
    <row r="511" spans="4:24" x14ac:dyDescent="0.3">
      <c r="D511" s="23">
        <v>40323</v>
      </c>
      <c r="E511" s="5">
        <v>82.977294999999998</v>
      </c>
      <c r="F511" s="28">
        <v>54.535110000000003</v>
      </c>
      <c r="G511" s="28">
        <v>117.36</v>
      </c>
      <c r="H511" s="28">
        <v>39.265860000000004</v>
      </c>
      <c r="I511" s="28">
        <v>42.575119999999998</v>
      </c>
      <c r="J511" s="29"/>
      <c r="K511" s="29"/>
      <c r="L511" s="29"/>
      <c r="M511" s="29"/>
      <c r="N511" s="29"/>
      <c r="P511" s="4">
        <f t="shared" si="33"/>
        <v>1.0208361320652665E-3</v>
      </c>
      <c r="Q511" s="4">
        <f t="shared" si="33"/>
        <v>2.4794441917390972E-4</v>
      </c>
      <c r="R511" s="4">
        <f t="shared" si="33"/>
        <v>4.4406563151859774E-3</v>
      </c>
      <c r="S511" s="4">
        <f t="shared" si="33"/>
        <v>8.9507078830746139E-4</v>
      </c>
      <c r="T511" s="4">
        <f t="shared" si="33"/>
        <v>0</v>
      </c>
      <c r="U511" s="35"/>
      <c r="V511" s="35"/>
      <c r="W511" s="35"/>
      <c r="X511" s="35"/>
    </row>
    <row r="512" spans="4:24" x14ac:dyDescent="0.3">
      <c r="D512" s="23">
        <v>40324</v>
      </c>
      <c r="E512" s="5">
        <v>82.477080999999998</v>
      </c>
      <c r="F512" s="28">
        <v>54.467480000000002</v>
      </c>
      <c r="G512" s="28">
        <v>118.47</v>
      </c>
      <c r="H512" s="28">
        <v>38.826639999999998</v>
      </c>
      <c r="I512" s="28">
        <v>42.397100000000002</v>
      </c>
      <c r="J512" s="29"/>
      <c r="K512" s="29"/>
      <c r="L512" s="29"/>
      <c r="M512" s="29"/>
      <c r="N512" s="29"/>
      <c r="P512" s="4">
        <f t="shared" si="33"/>
        <v>-6.0465674721732667E-3</v>
      </c>
      <c r="Q512" s="4">
        <f t="shared" si="33"/>
        <v>-1.240888105100577E-3</v>
      </c>
      <c r="R512" s="4">
        <f t="shared" si="33"/>
        <v>9.4136301319413911E-3</v>
      </c>
      <c r="S512" s="4">
        <f t="shared" si="33"/>
        <v>-1.1248830077798847E-2</v>
      </c>
      <c r="T512" s="4">
        <f t="shared" si="33"/>
        <v>-4.1900814279016126E-3</v>
      </c>
      <c r="U512" s="35"/>
      <c r="V512" s="35"/>
      <c r="W512" s="35"/>
      <c r="X512" s="35"/>
    </row>
    <row r="513" spans="4:24" x14ac:dyDescent="0.3">
      <c r="D513" s="23">
        <v>40325</v>
      </c>
      <c r="E513" s="5">
        <v>85.239913999999999</v>
      </c>
      <c r="F513" s="28">
        <v>54.258049999999997</v>
      </c>
      <c r="G513" s="28">
        <v>118.69</v>
      </c>
      <c r="H513" s="28">
        <v>40.293640000000003</v>
      </c>
      <c r="I513" s="28">
        <v>43.883090000000003</v>
      </c>
      <c r="J513" s="29"/>
      <c r="K513" s="29"/>
      <c r="L513" s="29"/>
      <c r="M513" s="29"/>
      <c r="N513" s="29"/>
      <c r="P513" s="4">
        <f t="shared" si="33"/>
        <v>3.2949349629128141E-2</v>
      </c>
      <c r="Q513" s="4">
        <f t="shared" si="33"/>
        <v>-3.852457817773216E-3</v>
      </c>
      <c r="R513" s="4">
        <f t="shared" si="33"/>
        <v>1.8552881017461409E-3</v>
      </c>
      <c r="S513" s="4">
        <f t="shared" si="33"/>
        <v>3.7087031154307941E-2</v>
      </c>
      <c r="T513" s="4">
        <f t="shared" si="33"/>
        <v>3.4449088580769879E-2</v>
      </c>
      <c r="U513" s="35"/>
      <c r="V513" s="35"/>
      <c r="W513" s="35"/>
      <c r="X513" s="35"/>
    </row>
    <row r="514" spans="4:24" x14ac:dyDescent="0.3">
      <c r="D514" s="23">
        <v>40326</v>
      </c>
      <c r="E514" s="5">
        <v>84.170174000000003</v>
      </c>
      <c r="F514" s="28">
        <v>54.366190000000003</v>
      </c>
      <c r="G514" s="28">
        <v>118.88</v>
      </c>
      <c r="H514" s="28">
        <v>40.056449999999998</v>
      </c>
      <c r="I514" s="28">
        <v>43.410989999999998</v>
      </c>
      <c r="J514" s="29"/>
      <c r="K514" s="29"/>
      <c r="L514" s="29"/>
      <c r="M514" s="29"/>
      <c r="N514" s="29"/>
      <c r="P514" s="4">
        <f t="shared" si="33"/>
        <v>-1.262916784769599E-2</v>
      </c>
      <c r="Q514" s="4">
        <f t="shared" si="33"/>
        <v>1.9910847841334138E-3</v>
      </c>
      <c r="R514" s="4">
        <f t="shared" si="33"/>
        <v>1.5995289010352824E-3</v>
      </c>
      <c r="S514" s="4">
        <f t="shared" si="33"/>
        <v>-5.9039308845925302E-3</v>
      </c>
      <c r="T514" s="4">
        <f t="shared" si="33"/>
        <v>-1.0816417396570459E-2</v>
      </c>
      <c r="U514" s="35"/>
      <c r="V514" s="35"/>
      <c r="W514" s="35"/>
      <c r="X514" s="35"/>
    </row>
    <row r="515" spans="4:24" x14ac:dyDescent="0.3">
      <c r="D515" s="23">
        <v>40330</v>
      </c>
      <c r="E515" s="5">
        <v>82.75412</v>
      </c>
      <c r="F515" s="28">
        <v>54.409559999999999</v>
      </c>
      <c r="G515" s="28">
        <v>119.91</v>
      </c>
      <c r="H515" s="28">
        <v>39.687510000000003</v>
      </c>
      <c r="I515" s="28">
        <v>42.513179999999998</v>
      </c>
      <c r="J515" s="29"/>
      <c r="K515" s="29"/>
      <c r="L515" s="29"/>
      <c r="M515" s="29"/>
      <c r="N515" s="29"/>
      <c r="P515" s="4">
        <f t="shared" si="33"/>
        <v>-1.6966828928807104E-2</v>
      </c>
      <c r="Q515" s="4">
        <f t="shared" si="33"/>
        <v>7.9742042317638431E-4</v>
      </c>
      <c r="R515" s="4">
        <f t="shared" si="33"/>
        <v>8.6268804218927967E-3</v>
      </c>
      <c r="S515" s="4">
        <f t="shared" si="33"/>
        <v>-9.2531806151761094E-3</v>
      </c>
      <c r="T515" s="4">
        <f t="shared" si="33"/>
        <v>-2.0898489355675943E-2</v>
      </c>
      <c r="U515" s="35"/>
      <c r="V515" s="35"/>
      <c r="W515" s="35"/>
      <c r="X515" s="35"/>
    </row>
    <row r="516" spans="4:24" x14ac:dyDescent="0.3">
      <c r="D516" s="23">
        <v>40331</v>
      </c>
      <c r="E516" s="5">
        <v>84.908989000000005</v>
      </c>
      <c r="F516" s="28">
        <v>54.362099999999998</v>
      </c>
      <c r="G516" s="28">
        <v>119.78</v>
      </c>
      <c r="H516" s="28">
        <v>40.627429999999997</v>
      </c>
      <c r="I516" s="28">
        <v>43.61994</v>
      </c>
      <c r="J516" s="29"/>
      <c r="K516" s="29"/>
      <c r="L516" s="29"/>
      <c r="M516" s="29"/>
      <c r="N516" s="29"/>
      <c r="P516" s="4">
        <f t="shared" si="33"/>
        <v>2.5706163678216591E-2</v>
      </c>
      <c r="Q516" s="4">
        <f t="shared" si="33"/>
        <v>-8.7265383302654567E-4</v>
      </c>
      <c r="R516" s="4">
        <f t="shared" si="33"/>
        <v>-1.0847345550254724E-3</v>
      </c>
      <c r="S516" s="4">
        <f t="shared" si="33"/>
        <v>2.3406925624265353E-2</v>
      </c>
      <c r="T516" s="4">
        <f t="shared" si="33"/>
        <v>2.5700239755826689E-2</v>
      </c>
      <c r="U516" s="35"/>
      <c r="V516" s="35"/>
      <c r="W516" s="35"/>
      <c r="X516" s="35"/>
    </row>
    <row r="517" spans="4:24" x14ac:dyDescent="0.3">
      <c r="D517" s="23">
        <v>40332</v>
      </c>
      <c r="E517" s="5">
        <v>85.201424000000003</v>
      </c>
      <c r="F517" s="28">
        <v>54.301110000000001</v>
      </c>
      <c r="G517" s="28">
        <v>117.96</v>
      </c>
      <c r="H517" s="28">
        <v>41.013930000000002</v>
      </c>
      <c r="I517" s="28">
        <v>43.852139999999999</v>
      </c>
      <c r="J517" s="29"/>
      <c r="K517" s="29"/>
      <c r="L517" s="29"/>
      <c r="M517" s="29"/>
      <c r="N517" s="29"/>
      <c r="P517" s="4">
        <f t="shared" ref="P517:T532" si="34">LN(E517/E516)</f>
        <v>3.4381820950035728E-3</v>
      </c>
      <c r="Q517" s="4">
        <f t="shared" si="34"/>
        <v>-1.1225511634445984E-3</v>
      </c>
      <c r="R517" s="4">
        <f t="shared" si="34"/>
        <v>-1.5311142889240882E-2</v>
      </c>
      <c r="S517" s="4">
        <f t="shared" si="34"/>
        <v>9.4683108521875607E-3</v>
      </c>
      <c r="T517" s="4">
        <f t="shared" si="34"/>
        <v>5.3091351072606765E-3</v>
      </c>
      <c r="U517" s="35"/>
      <c r="V517" s="35"/>
      <c r="W517" s="35"/>
      <c r="X517" s="35"/>
    </row>
    <row r="518" spans="4:24" x14ac:dyDescent="0.3">
      <c r="D518" s="23">
        <v>40333</v>
      </c>
      <c r="E518" s="5">
        <v>82.207695000000001</v>
      </c>
      <c r="F518" s="28">
        <v>54.450189999999999</v>
      </c>
      <c r="G518" s="28">
        <v>119.19</v>
      </c>
      <c r="H518" s="28">
        <v>39.608449999999998</v>
      </c>
      <c r="I518" s="28">
        <v>42.311959999999999</v>
      </c>
      <c r="J518" s="29"/>
      <c r="K518" s="29"/>
      <c r="L518" s="29"/>
      <c r="M518" s="29"/>
      <c r="N518" s="29"/>
      <c r="P518" s="4">
        <f t="shared" si="34"/>
        <v>-3.576923649123865E-2</v>
      </c>
      <c r="Q518" s="4">
        <f t="shared" si="34"/>
        <v>2.7416700928290291E-3</v>
      </c>
      <c r="R518" s="4">
        <f t="shared" si="34"/>
        <v>1.0373274547541875E-2</v>
      </c>
      <c r="S518" s="4">
        <f t="shared" si="34"/>
        <v>-3.4869285762110187E-2</v>
      </c>
      <c r="T518" s="4">
        <f t="shared" si="34"/>
        <v>-3.5753731959038117E-2</v>
      </c>
      <c r="U518" s="35"/>
      <c r="V518" s="35"/>
      <c r="W518" s="35"/>
      <c r="X518" s="35"/>
    </row>
    <row r="519" spans="4:24" x14ac:dyDescent="0.3">
      <c r="D519" s="23">
        <v>40336</v>
      </c>
      <c r="E519" s="5">
        <v>81.184180999999995</v>
      </c>
      <c r="F519" s="28">
        <v>54.619660000000003</v>
      </c>
      <c r="G519" s="28">
        <v>121.49</v>
      </c>
      <c r="H519" s="28">
        <v>38.88814</v>
      </c>
      <c r="I519" s="28">
        <v>41.623139999999999</v>
      </c>
      <c r="J519" s="29"/>
      <c r="K519" s="29"/>
      <c r="L519" s="29"/>
      <c r="M519" s="29"/>
      <c r="N519" s="29"/>
      <c r="P519" s="4">
        <f t="shared" si="34"/>
        <v>-1.2528497901647515E-2</v>
      </c>
      <c r="Q519" s="4">
        <f t="shared" si="34"/>
        <v>3.1075523873792771E-3</v>
      </c>
      <c r="R519" s="4">
        <f t="shared" si="34"/>
        <v>1.911309637203347E-2</v>
      </c>
      <c r="S519" s="4">
        <f t="shared" si="34"/>
        <v>-1.8353159516763886E-2</v>
      </c>
      <c r="T519" s="4">
        <f t="shared" si="34"/>
        <v>-1.6413525787408151E-2</v>
      </c>
      <c r="U519" s="35"/>
      <c r="V519" s="35"/>
      <c r="W519" s="35"/>
      <c r="X519" s="35"/>
    </row>
    <row r="520" spans="4:24" x14ac:dyDescent="0.3">
      <c r="D520" s="23">
        <v>40337</v>
      </c>
      <c r="E520" s="5">
        <v>82.053780000000003</v>
      </c>
      <c r="F520" s="28">
        <v>54.599290000000003</v>
      </c>
      <c r="G520" s="28">
        <v>121</v>
      </c>
      <c r="H520" s="28">
        <v>38.817860000000003</v>
      </c>
      <c r="I520" s="28">
        <v>41.979179999999999</v>
      </c>
      <c r="J520" s="29"/>
      <c r="K520" s="29"/>
      <c r="L520" s="29"/>
      <c r="M520" s="29"/>
      <c r="N520" s="29"/>
      <c r="P520" s="4">
        <f t="shared" si="34"/>
        <v>1.0654473027033668E-2</v>
      </c>
      <c r="Q520" s="4">
        <f t="shared" si="34"/>
        <v>-3.7301219680622571E-4</v>
      </c>
      <c r="R520" s="4">
        <f t="shared" si="34"/>
        <v>-4.0414092699096738E-3</v>
      </c>
      <c r="S520" s="4">
        <f t="shared" si="34"/>
        <v>-1.8088698211996177E-3</v>
      </c>
      <c r="T520" s="4">
        <f t="shared" si="34"/>
        <v>8.5175184731750425E-3</v>
      </c>
      <c r="U520" s="35"/>
      <c r="V520" s="35"/>
      <c r="W520" s="35"/>
      <c r="X520" s="35"/>
    </row>
    <row r="521" spans="4:24" x14ac:dyDescent="0.3">
      <c r="D521" s="23">
        <v>40338</v>
      </c>
      <c r="E521" s="5">
        <v>81.615111999999996</v>
      </c>
      <c r="F521" s="28">
        <v>54.599290000000003</v>
      </c>
      <c r="G521" s="28">
        <v>120.56</v>
      </c>
      <c r="H521" s="28">
        <v>38.492840000000001</v>
      </c>
      <c r="I521" s="28">
        <v>41.785679999999999</v>
      </c>
      <c r="J521" s="29"/>
      <c r="K521" s="29"/>
      <c r="L521" s="29"/>
      <c r="M521" s="29"/>
      <c r="N521" s="29"/>
      <c r="P521" s="4">
        <f t="shared" si="34"/>
        <v>-5.3604450429540398E-3</v>
      </c>
      <c r="Q521" s="4">
        <f t="shared" si="34"/>
        <v>0</v>
      </c>
      <c r="R521" s="4">
        <f t="shared" si="34"/>
        <v>-3.6429912785010919E-3</v>
      </c>
      <c r="S521" s="4">
        <f t="shared" si="34"/>
        <v>-8.4082000253110894E-3</v>
      </c>
      <c r="T521" s="4">
        <f t="shared" si="34"/>
        <v>-4.6200839872672737E-3</v>
      </c>
      <c r="U521" s="35"/>
      <c r="V521" s="35"/>
      <c r="W521" s="35"/>
      <c r="X521" s="35"/>
    </row>
    <row r="522" spans="4:24" x14ac:dyDescent="0.3">
      <c r="D522" s="23">
        <v>40339</v>
      </c>
      <c r="E522" s="5">
        <v>84.000846999999993</v>
      </c>
      <c r="F522" s="28">
        <v>54.37567</v>
      </c>
      <c r="G522" s="28">
        <v>118.97</v>
      </c>
      <c r="H522" s="28">
        <v>39.590879999999999</v>
      </c>
      <c r="I522" s="28">
        <v>43.070439999999998</v>
      </c>
      <c r="J522" s="29"/>
      <c r="K522" s="29"/>
      <c r="L522" s="29"/>
      <c r="M522" s="29"/>
      <c r="N522" s="29"/>
      <c r="P522" s="4">
        <f t="shared" si="34"/>
        <v>2.8812441223994567E-2</v>
      </c>
      <c r="Q522" s="4">
        <f t="shared" si="34"/>
        <v>-4.104067831292065E-3</v>
      </c>
      <c r="R522" s="4">
        <f t="shared" si="34"/>
        <v>-1.3276193829805442E-2</v>
      </c>
      <c r="S522" s="4">
        <f t="shared" si="34"/>
        <v>2.8126538733865402E-2</v>
      </c>
      <c r="T522" s="4">
        <f t="shared" si="34"/>
        <v>3.0283217837955904E-2</v>
      </c>
      <c r="U522" s="35"/>
      <c r="V522" s="35"/>
      <c r="W522" s="35"/>
      <c r="X522" s="35"/>
    </row>
    <row r="523" spans="4:24" x14ac:dyDescent="0.3">
      <c r="D523" s="23">
        <v>40340</v>
      </c>
      <c r="E523" s="5">
        <v>84.408744999999996</v>
      </c>
      <c r="F523" s="28">
        <v>54.463769999999997</v>
      </c>
      <c r="G523" s="28">
        <v>120.01</v>
      </c>
      <c r="H523" s="28">
        <v>39.968589999999999</v>
      </c>
      <c r="I523" s="28">
        <v>43.333579999999998</v>
      </c>
      <c r="J523" s="29"/>
      <c r="K523" s="29"/>
      <c r="L523" s="29"/>
      <c r="M523" s="29"/>
      <c r="N523" s="29"/>
      <c r="P523" s="4">
        <f t="shared" si="34"/>
        <v>4.8441278526435445E-3</v>
      </c>
      <c r="Q523" s="4">
        <f t="shared" si="34"/>
        <v>1.6188987970038305E-3</v>
      </c>
      <c r="R523" s="4">
        <f t="shared" si="34"/>
        <v>8.7037121549154179E-3</v>
      </c>
      <c r="S523" s="4">
        <f t="shared" si="34"/>
        <v>9.4951069373437127E-3</v>
      </c>
      <c r="T523" s="4">
        <f t="shared" si="34"/>
        <v>6.0909391375671591E-3</v>
      </c>
      <c r="U523" s="35"/>
      <c r="V523" s="35"/>
      <c r="W523" s="35"/>
      <c r="X523" s="35"/>
    </row>
    <row r="524" spans="4:24" x14ac:dyDescent="0.3">
      <c r="D524" s="23">
        <v>40343</v>
      </c>
      <c r="E524" s="5">
        <v>84.277923999999999</v>
      </c>
      <c r="F524" s="28">
        <v>54.477290000000004</v>
      </c>
      <c r="G524" s="28">
        <v>119.6</v>
      </c>
      <c r="H524" s="28">
        <v>39.959820000000001</v>
      </c>
      <c r="I524" s="28">
        <v>43.341320000000003</v>
      </c>
      <c r="J524" s="29"/>
      <c r="K524" s="29"/>
      <c r="L524" s="29"/>
      <c r="M524" s="29"/>
      <c r="N524" s="29"/>
      <c r="P524" s="4">
        <f t="shared" si="34"/>
        <v>-1.5510535242955641E-3</v>
      </c>
      <c r="Q524" s="4">
        <f t="shared" si="34"/>
        <v>2.4820761004932645E-4</v>
      </c>
      <c r="R524" s="4">
        <f t="shared" si="34"/>
        <v>-3.4222311268187157E-3</v>
      </c>
      <c r="S524" s="4">
        <f t="shared" si="34"/>
        <v>-2.1944637795726429E-4</v>
      </c>
      <c r="T524" s="4">
        <f t="shared" si="34"/>
        <v>1.7859841824045198E-4</v>
      </c>
      <c r="U524" s="35"/>
      <c r="V524" s="35"/>
      <c r="W524" s="35"/>
      <c r="X524" s="35"/>
    </row>
    <row r="525" spans="4:24" x14ac:dyDescent="0.3">
      <c r="D525" s="23">
        <v>40344</v>
      </c>
      <c r="E525" s="5">
        <v>86.194191000000004</v>
      </c>
      <c r="F525" s="28">
        <v>54.382489999999997</v>
      </c>
      <c r="G525" s="28">
        <v>120.99</v>
      </c>
      <c r="H525" s="28">
        <v>41.031500000000001</v>
      </c>
      <c r="I525" s="28">
        <v>44.316499999999998</v>
      </c>
      <c r="J525" s="29"/>
      <c r="K525" s="29"/>
      <c r="L525" s="29"/>
      <c r="M525" s="29"/>
      <c r="N525" s="29"/>
      <c r="P525" s="4">
        <f t="shared" si="34"/>
        <v>2.2482829153511744E-2</v>
      </c>
      <c r="Q525" s="4">
        <f t="shared" si="34"/>
        <v>-1.7416905300478398E-3</v>
      </c>
      <c r="R525" s="4">
        <f t="shared" si="34"/>
        <v>1.1555056036855027E-2</v>
      </c>
      <c r="S525" s="4">
        <f t="shared" si="34"/>
        <v>2.6465615135789048E-2</v>
      </c>
      <c r="T525" s="4">
        <f t="shared" si="34"/>
        <v>2.225061570430736E-2</v>
      </c>
      <c r="U525" s="35"/>
      <c r="V525" s="35"/>
      <c r="W525" s="35"/>
      <c r="X525" s="35"/>
    </row>
    <row r="526" spans="4:24" x14ac:dyDescent="0.3">
      <c r="D526" s="23">
        <v>40345</v>
      </c>
      <c r="E526" s="5">
        <v>86.163398999999998</v>
      </c>
      <c r="F526" s="28">
        <v>54.511209999999998</v>
      </c>
      <c r="G526" s="28">
        <v>120.33</v>
      </c>
      <c r="H526" s="28">
        <v>41.198410000000003</v>
      </c>
      <c r="I526" s="28">
        <v>44.270069999999997</v>
      </c>
      <c r="J526" s="29"/>
      <c r="K526" s="29"/>
      <c r="L526" s="29"/>
      <c r="M526" s="29"/>
      <c r="N526" s="29"/>
      <c r="P526" s="4">
        <f t="shared" si="34"/>
        <v>-3.573036769380758E-4</v>
      </c>
      <c r="Q526" s="4">
        <f t="shared" si="34"/>
        <v>2.3641415426808232E-3</v>
      </c>
      <c r="R526" s="4">
        <f t="shared" si="34"/>
        <v>-5.4699291033152757E-3</v>
      </c>
      <c r="S526" s="4">
        <f t="shared" si="34"/>
        <v>4.0595989762798098E-3</v>
      </c>
      <c r="T526" s="4">
        <f t="shared" si="34"/>
        <v>-1.0482402524777999E-3</v>
      </c>
      <c r="U526" s="35"/>
      <c r="V526" s="35"/>
      <c r="W526" s="35"/>
      <c r="X526" s="35"/>
    </row>
    <row r="527" spans="4:24" x14ac:dyDescent="0.3">
      <c r="D527" s="23">
        <v>40346</v>
      </c>
      <c r="E527" s="5">
        <v>86.301956000000004</v>
      </c>
      <c r="F527" s="28">
        <v>54.660310000000003</v>
      </c>
      <c r="G527" s="28">
        <v>121.9</v>
      </c>
      <c r="H527" s="28">
        <v>41.330170000000003</v>
      </c>
      <c r="I527" s="28">
        <v>44.347470000000001</v>
      </c>
      <c r="J527" s="29"/>
      <c r="K527" s="29"/>
      <c r="L527" s="29"/>
      <c r="M527" s="29"/>
      <c r="N527" s="29"/>
      <c r="P527" s="4">
        <f t="shared" si="34"/>
        <v>1.6067810234688055E-3</v>
      </c>
      <c r="Q527" s="4">
        <f t="shared" si="34"/>
        <v>2.7314833154825306E-3</v>
      </c>
      <c r="R527" s="4">
        <f t="shared" si="34"/>
        <v>1.2963068037154775E-2</v>
      </c>
      <c r="S527" s="4">
        <f t="shared" si="34"/>
        <v>3.1930783723482696E-3</v>
      </c>
      <c r="T527" s="4">
        <f t="shared" si="34"/>
        <v>1.746832956132515E-3</v>
      </c>
      <c r="U527" s="35"/>
      <c r="V527" s="35"/>
      <c r="W527" s="35"/>
      <c r="X527" s="35"/>
    </row>
    <row r="528" spans="4:24" x14ac:dyDescent="0.3">
      <c r="D528" s="23">
        <v>40347</v>
      </c>
      <c r="E528" s="5">
        <v>86.395508000000007</v>
      </c>
      <c r="F528" s="28">
        <v>54.640009999999997</v>
      </c>
      <c r="G528" s="28">
        <v>122.83</v>
      </c>
      <c r="H528" s="28">
        <v>41.3645</v>
      </c>
      <c r="I528" s="28">
        <v>44.378410000000002</v>
      </c>
      <c r="J528" s="29"/>
      <c r="K528" s="29"/>
      <c r="L528" s="29"/>
      <c r="M528" s="29"/>
      <c r="N528" s="29"/>
      <c r="P528" s="4">
        <f t="shared" si="34"/>
        <v>1.0834207635028643E-3</v>
      </c>
      <c r="Q528" s="4">
        <f t="shared" si="34"/>
        <v>-3.7145362856067453E-4</v>
      </c>
      <c r="R528" s="4">
        <f t="shared" si="34"/>
        <v>7.6002490637770287E-3</v>
      </c>
      <c r="S528" s="4">
        <f t="shared" si="34"/>
        <v>8.302833053731607E-4</v>
      </c>
      <c r="T528" s="4">
        <f t="shared" si="34"/>
        <v>6.97429008404716E-4</v>
      </c>
      <c r="U528" s="35"/>
      <c r="V528" s="35"/>
      <c r="W528" s="35"/>
      <c r="X528" s="35"/>
    </row>
    <row r="529" spans="4:24" x14ac:dyDescent="0.3">
      <c r="D529" s="23">
        <v>40350</v>
      </c>
      <c r="E529" s="5">
        <v>86.148064000000005</v>
      </c>
      <c r="F529" s="28">
        <v>54.653559999999999</v>
      </c>
      <c r="G529" s="28">
        <v>120.39</v>
      </c>
      <c r="H529" s="28">
        <v>41.012459999999997</v>
      </c>
      <c r="I529" s="28">
        <v>44.208150000000003</v>
      </c>
      <c r="J529" s="29"/>
      <c r="K529" s="29"/>
      <c r="L529" s="29"/>
      <c r="M529" s="29"/>
      <c r="N529" s="29"/>
      <c r="P529" s="4">
        <f t="shared" si="34"/>
        <v>-2.8681934280790746E-3</v>
      </c>
      <c r="Q529" s="4">
        <f t="shared" si="34"/>
        <v>2.4795603381664303E-4</v>
      </c>
      <c r="R529" s="4">
        <f t="shared" si="34"/>
        <v>-2.0064812604067988E-2</v>
      </c>
      <c r="S529" s="4">
        <f t="shared" si="34"/>
        <v>-8.5471020811536246E-3</v>
      </c>
      <c r="T529" s="4">
        <f t="shared" si="34"/>
        <v>-3.8439286872354247E-3</v>
      </c>
      <c r="U529" s="35"/>
      <c r="V529" s="35"/>
      <c r="W529" s="35"/>
      <c r="X529" s="35"/>
    </row>
    <row r="530" spans="4:24" x14ac:dyDescent="0.3">
      <c r="D530" s="23">
        <v>40351</v>
      </c>
      <c r="E530" s="5">
        <v>84.725288000000006</v>
      </c>
      <c r="F530" s="28">
        <v>54.782330000000002</v>
      </c>
      <c r="G530" s="28">
        <v>121.45</v>
      </c>
      <c r="H530" s="28">
        <v>40.695630000000001</v>
      </c>
      <c r="I530" s="28">
        <v>43.449680000000001</v>
      </c>
      <c r="J530" s="29"/>
      <c r="K530" s="29"/>
      <c r="L530" s="29"/>
      <c r="M530" s="29"/>
      <c r="N530" s="29"/>
      <c r="P530" s="4">
        <f t="shared" si="34"/>
        <v>-1.6653373569475039E-2</v>
      </c>
      <c r="Q530" s="4">
        <f t="shared" si="34"/>
        <v>2.3533423894066597E-3</v>
      </c>
      <c r="R530" s="4">
        <f t="shared" si="34"/>
        <v>8.7661825012464271E-3</v>
      </c>
      <c r="S530" s="4">
        <f t="shared" si="34"/>
        <v>-7.7552072978405327E-3</v>
      </c>
      <c r="T530" s="4">
        <f t="shared" si="34"/>
        <v>-1.7305674329166642E-2</v>
      </c>
      <c r="U530" s="35"/>
      <c r="V530" s="35"/>
      <c r="W530" s="35"/>
      <c r="X530" s="35"/>
    </row>
    <row r="531" spans="4:24" x14ac:dyDescent="0.3">
      <c r="D531" s="23">
        <v>40352</v>
      </c>
      <c r="E531" s="5">
        <v>84.462378999999999</v>
      </c>
      <c r="F531" s="28">
        <v>54.917879999999997</v>
      </c>
      <c r="G531" s="28">
        <v>120.95</v>
      </c>
      <c r="H531" s="28">
        <v>40.528399999999998</v>
      </c>
      <c r="I531" s="28">
        <v>43.279400000000003</v>
      </c>
      <c r="J531" s="29"/>
      <c r="K531" s="29"/>
      <c r="L531" s="29"/>
      <c r="M531" s="29"/>
      <c r="N531" s="29"/>
      <c r="P531" s="4">
        <f t="shared" si="34"/>
        <v>-3.1079004313098024E-3</v>
      </c>
      <c r="Q531" s="4">
        <f t="shared" si="34"/>
        <v>2.4712818505322294E-3</v>
      </c>
      <c r="R531" s="4">
        <f t="shared" si="34"/>
        <v>-4.1254183921452196E-3</v>
      </c>
      <c r="S531" s="4">
        <f t="shared" si="34"/>
        <v>-4.1177527461851151E-3</v>
      </c>
      <c r="T531" s="4">
        <f t="shared" si="34"/>
        <v>-3.9267156713046203E-3</v>
      </c>
      <c r="U531" s="35"/>
      <c r="V531" s="35"/>
      <c r="W531" s="35"/>
      <c r="X531" s="35"/>
    </row>
    <row r="532" spans="4:24" x14ac:dyDescent="0.3">
      <c r="D532" s="23">
        <v>40353</v>
      </c>
      <c r="E532" s="5">
        <v>83.062781999999999</v>
      </c>
      <c r="F532" s="28">
        <v>54.843310000000002</v>
      </c>
      <c r="G532" s="28">
        <v>121.3</v>
      </c>
      <c r="H532" s="28">
        <v>39.912320000000001</v>
      </c>
      <c r="I532" s="28">
        <v>42.594270000000002</v>
      </c>
      <c r="J532" s="29"/>
      <c r="K532" s="29"/>
      <c r="L532" s="29"/>
      <c r="M532" s="29"/>
      <c r="N532" s="29"/>
      <c r="P532" s="4">
        <f t="shared" si="34"/>
        <v>-1.6709484787278947E-2</v>
      </c>
      <c r="Q532" s="4">
        <f t="shared" si="34"/>
        <v>-1.358768276344461E-3</v>
      </c>
      <c r="R532" s="4">
        <f t="shared" si="34"/>
        <v>2.8895788939681134E-3</v>
      </c>
      <c r="S532" s="4">
        <f t="shared" si="34"/>
        <v>-1.5317914764913435E-2</v>
      </c>
      <c r="T532" s="4">
        <f t="shared" si="34"/>
        <v>-1.595703403967685E-2</v>
      </c>
      <c r="U532" s="35"/>
      <c r="V532" s="35"/>
      <c r="W532" s="35"/>
      <c r="X532" s="35"/>
    </row>
    <row r="533" spans="4:24" x14ac:dyDescent="0.3">
      <c r="D533" s="23">
        <v>40354</v>
      </c>
      <c r="E533" s="5">
        <v>83.410774000000004</v>
      </c>
      <c r="F533" s="28">
        <v>54.911099999999998</v>
      </c>
      <c r="G533" s="28">
        <v>122.76</v>
      </c>
      <c r="H533" s="28">
        <v>39.920279999999998</v>
      </c>
      <c r="I533" s="28">
        <v>42.812010000000001</v>
      </c>
      <c r="J533" s="29"/>
      <c r="K533" s="29"/>
      <c r="L533" s="29"/>
      <c r="M533" s="29"/>
      <c r="N533" s="29"/>
      <c r="P533" s="4">
        <f t="shared" ref="P533:T548" si="35">LN(E533/E532)</f>
        <v>4.1807541717996267E-3</v>
      </c>
      <c r="Q533" s="4">
        <f t="shared" si="35"/>
        <v>1.2353035950078903E-3</v>
      </c>
      <c r="R533" s="4">
        <f t="shared" si="35"/>
        <v>1.1964413801531069E-2</v>
      </c>
      <c r="S533" s="4">
        <f t="shared" si="35"/>
        <v>1.9941728132053354E-4</v>
      </c>
      <c r="T533" s="4">
        <f t="shared" si="35"/>
        <v>5.0989335152842961E-3</v>
      </c>
      <c r="U533" s="35"/>
      <c r="V533" s="35"/>
      <c r="W533" s="35"/>
      <c r="X533" s="35"/>
    </row>
    <row r="534" spans="4:24" x14ac:dyDescent="0.3">
      <c r="D534" s="23">
        <v>40357</v>
      </c>
      <c r="E534" s="5">
        <v>83.147835000000001</v>
      </c>
      <c r="F534" s="28">
        <v>55.012770000000003</v>
      </c>
      <c r="G534" s="28">
        <v>121.09</v>
      </c>
      <c r="H534" s="28">
        <v>39.779179999999997</v>
      </c>
      <c r="I534" s="28">
        <v>42.672029999999999</v>
      </c>
      <c r="J534" s="29"/>
      <c r="K534" s="29"/>
      <c r="L534" s="29"/>
      <c r="M534" s="29"/>
      <c r="N534" s="29"/>
      <c r="P534" s="4">
        <f t="shared" si="35"/>
        <v>-3.1573176554203696E-3</v>
      </c>
      <c r="Q534" s="4">
        <f t="shared" si="35"/>
        <v>1.8498262295839171E-3</v>
      </c>
      <c r="R534" s="4">
        <f t="shared" si="35"/>
        <v>-1.369715898526053E-2</v>
      </c>
      <c r="S534" s="4">
        <f t="shared" si="35"/>
        <v>-3.5408056069081172E-3</v>
      </c>
      <c r="T534" s="4">
        <f t="shared" si="35"/>
        <v>-3.2750002249404956E-3</v>
      </c>
      <c r="U534" s="35"/>
      <c r="V534" s="35"/>
      <c r="W534" s="35"/>
      <c r="X534" s="35"/>
    </row>
    <row r="535" spans="4:24" x14ac:dyDescent="0.3">
      <c r="D535" s="23">
        <v>40358</v>
      </c>
      <c r="E535" s="5">
        <v>80.580658</v>
      </c>
      <c r="F535" s="28">
        <v>55.141530000000003</v>
      </c>
      <c r="G535" s="28">
        <v>121.27</v>
      </c>
      <c r="H535" s="28">
        <v>38.244799999999998</v>
      </c>
      <c r="I535" s="28">
        <v>41.326619999999998</v>
      </c>
      <c r="J535" s="29"/>
      <c r="K535" s="29"/>
      <c r="L535" s="29"/>
      <c r="M535" s="29"/>
      <c r="N535" s="29"/>
      <c r="P535" s="4">
        <f t="shared" si="35"/>
        <v>-3.1361522490114327E-2</v>
      </c>
      <c r="Q535" s="4">
        <f t="shared" si="35"/>
        <v>2.3378126617553388E-3</v>
      </c>
      <c r="R535" s="4">
        <f t="shared" si="35"/>
        <v>1.4853939024254414E-3</v>
      </c>
      <c r="S535" s="4">
        <f t="shared" si="35"/>
        <v>-3.9336056521414385E-2</v>
      </c>
      <c r="T535" s="4">
        <f t="shared" si="35"/>
        <v>-3.2036826085895101E-2</v>
      </c>
      <c r="U535" s="35"/>
      <c r="V535" s="35"/>
      <c r="W535" s="35"/>
      <c r="X535" s="35"/>
    </row>
    <row r="536" spans="4:24" x14ac:dyDescent="0.3">
      <c r="D536" s="23">
        <v>40359</v>
      </c>
      <c r="E536" s="5">
        <v>79.815132000000006</v>
      </c>
      <c r="F536" s="28">
        <v>55.155090000000001</v>
      </c>
      <c r="G536" s="28">
        <v>121.68</v>
      </c>
      <c r="H536" s="28">
        <v>37.662790000000001</v>
      </c>
      <c r="I536" s="28">
        <v>40.875570000000003</v>
      </c>
      <c r="J536" s="29"/>
      <c r="K536" s="29"/>
      <c r="L536" s="29"/>
      <c r="M536" s="29"/>
      <c r="N536" s="29"/>
      <c r="P536" s="4">
        <f t="shared" si="35"/>
        <v>-9.5455349882820947E-3</v>
      </c>
      <c r="Q536" s="4">
        <f t="shared" si="35"/>
        <v>2.4588242265849956E-4</v>
      </c>
      <c r="R536" s="4">
        <f t="shared" si="35"/>
        <v>3.3751832823370621E-3</v>
      </c>
      <c r="S536" s="4">
        <f t="shared" si="35"/>
        <v>-1.5334998924813135E-2</v>
      </c>
      <c r="T536" s="4">
        <f t="shared" si="35"/>
        <v>-1.0974270316320619E-2</v>
      </c>
      <c r="U536" s="35"/>
      <c r="V536" s="35"/>
      <c r="W536" s="35"/>
      <c r="X536" s="35"/>
    </row>
    <row r="537" spans="4:24" x14ac:dyDescent="0.3">
      <c r="D537" s="23">
        <v>40360</v>
      </c>
      <c r="E537" s="5">
        <v>79.459450000000004</v>
      </c>
      <c r="F537" s="28">
        <v>55.181600000000003</v>
      </c>
      <c r="G537" s="28">
        <v>117.04</v>
      </c>
      <c r="H537" s="28">
        <v>37.556980000000003</v>
      </c>
      <c r="I537" s="28">
        <v>40.696689999999997</v>
      </c>
      <c r="J537" s="29"/>
      <c r="K537" s="29"/>
      <c r="L537" s="29"/>
      <c r="M537" s="29"/>
      <c r="N537" s="29"/>
      <c r="P537" s="4">
        <f t="shared" si="35"/>
        <v>-4.4662818986671493E-3</v>
      </c>
      <c r="Q537" s="4">
        <f t="shared" si="35"/>
        <v>4.8052919677237551E-4</v>
      </c>
      <c r="R537" s="4">
        <f t="shared" si="35"/>
        <v>-3.8878891239168559E-2</v>
      </c>
      <c r="S537" s="4">
        <f t="shared" si="35"/>
        <v>-2.8133579719893209E-3</v>
      </c>
      <c r="T537" s="4">
        <f t="shared" si="35"/>
        <v>-4.3858117142956069E-3</v>
      </c>
      <c r="U537" s="35"/>
      <c r="V537" s="35"/>
      <c r="W537" s="35"/>
      <c r="X537" s="35"/>
    </row>
    <row r="538" spans="4:24" x14ac:dyDescent="0.3">
      <c r="D538" s="23">
        <v>40361</v>
      </c>
      <c r="E538" s="5">
        <v>79.026398</v>
      </c>
      <c r="F538" s="28">
        <v>55.147599999999997</v>
      </c>
      <c r="G538" s="28">
        <v>118.49</v>
      </c>
      <c r="H538" s="28">
        <v>37.451149999999998</v>
      </c>
      <c r="I538" s="28">
        <v>40.50226</v>
      </c>
      <c r="J538" s="29"/>
      <c r="K538" s="29"/>
      <c r="L538" s="29"/>
      <c r="M538" s="29"/>
      <c r="N538" s="29"/>
      <c r="P538" s="4">
        <f t="shared" si="35"/>
        <v>-5.4648800914330617E-3</v>
      </c>
      <c r="Q538" s="4">
        <f t="shared" si="35"/>
        <v>-6.1633730827938857E-4</v>
      </c>
      <c r="R538" s="4">
        <f t="shared" si="35"/>
        <v>1.2312812116779604E-2</v>
      </c>
      <c r="S538" s="4">
        <f t="shared" si="35"/>
        <v>-2.8218293196899669E-3</v>
      </c>
      <c r="T538" s="4">
        <f t="shared" si="35"/>
        <v>-4.7889873352910829E-3</v>
      </c>
      <c r="U538" s="35"/>
      <c r="V538" s="35"/>
      <c r="W538" s="35"/>
      <c r="X538" s="35"/>
    </row>
    <row r="539" spans="4:24" x14ac:dyDescent="0.3">
      <c r="D539" s="23">
        <v>40365</v>
      </c>
      <c r="E539" s="5">
        <v>79.544478999999995</v>
      </c>
      <c r="F539" s="28">
        <v>55.283540000000002</v>
      </c>
      <c r="G539" s="28">
        <v>116.51</v>
      </c>
      <c r="H539" s="28">
        <v>37.565809999999999</v>
      </c>
      <c r="I539" s="28">
        <v>40.6267</v>
      </c>
      <c r="J539" s="29"/>
      <c r="K539" s="29"/>
      <c r="L539" s="29"/>
      <c r="M539" s="29"/>
      <c r="N539" s="29"/>
      <c r="P539" s="4">
        <f t="shared" si="35"/>
        <v>6.5344009345966216E-3</v>
      </c>
      <c r="Q539" s="4">
        <f t="shared" si="35"/>
        <v>2.4619879621886821E-3</v>
      </c>
      <c r="R539" s="4">
        <f t="shared" si="35"/>
        <v>-1.6851462596798775E-2</v>
      </c>
      <c r="S539" s="4">
        <f t="shared" si="35"/>
        <v>3.0569111115312342E-3</v>
      </c>
      <c r="T539" s="4">
        <f t="shared" si="35"/>
        <v>3.067710903492506E-3</v>
      </c>
      <c r="U539" s="35"/>
      <c r="V539" s="35"/>
      <c r="W539" s="35"/>
      <c r="X539" s="35"/>
    </row>
    <row r="540" spans="4:24" x14ac:dyDescent="0.3">
      <c r="D540" s="23">
        <v>40366</v>
      </c>
      <c r="E540" s="5">
        <v>82.049812000000003</v>
      </c>
      <c r="F540" s="28">
        <v>55.21557</v>
      </c>
      <c r="G540" s="28">
        <v>117.73</v>
      </c>
      <c r="H540" s="28">
        <v>38.765070000000001</v>
      </c>
      <c r="I540" s="28">
        <v>41.948779999999999</v>
      </c>
      <c r="J540" s="29"/>
      <c r="K540" s="29"/>
      <c r="L540" s="29"/>
      <c r="M540" s="29"/>
      <c r="N540" s="29"/>
      <c r="P540" s="4">
        <f t="shared" si="35"/>
        <v>3.1010176763633275E-2</v>
      </c>
      <c r="Q540" s="4">
        <f t="shared" si="35"/>
        <v>-1.2302363081949364E-3</v>
      </c>
      <c r="R540" s="4">
        <f t="shared" si="35"/>
        <v>1.041676085825558E-2</v>
      </c>
      <c r="S540" s="4">
        <f t="shared" si="35"/>
        <v>3.1425255208466361E-2</v>
      </c>
      <c r="T540" s="4">
        <f t="shared" si="35"/>
        <v>3.202386432133407E-2</v>
      </c>
      <c r="U540" s="35"/>
      <c r="V540" s="35"/>
      <c r="W540" s="35"/>
      <c r="X540" s="35"/>
    </row>
    <row r="541" spans="4:24" x14ac:dyDescent="0.3">
      <c r="D541" s="23">
        <v>40367</v>
      </c>
      <c r="E541" s="5">
        <v>82.861732000000003</v>
      </c>
      <c r="F541" s="28">
        <v>55.174790000000002</v>
      </c>
      <c r="G541" s="28">
        <v>117.21</v>
      </c>
      <c r="H541" s="28">
        <v>38.97672</v>
      </c>
      <c r="I541" s="28">
        <v>42.360959999999999</v>
      </c>
      <c r="J541" s="29"/>
      <c r="K541" s="29"/>
      <c r="L541" s="29"/>
      <c r="M541" s="29"/>
      <c r="N541" s="29"/>
      <c r="P541" s="4">
        <f t="shared" si="35"/>
        <v>9.8468129106153331E-3</v>
      </c>
      <c r="Q541" s="4">
        <f t="shared" si="35"/>
        <v>-7.388326635596942E-4</v>
      </c>
      <c r="R541" s="4">
        <f t="shared" si="35"/>
        <v>-4.426669355016598E-3</v>
      </c>
      <c r="S541" s="4">
        <f t="shared" si="35"/>
        <v>5.4449614013098368E-3</v>
      </c>
      <c r="T541" s="4">
        <f t="shared" si="35"/>
        <v>9.7778331163689454E-3</v>
      </c>
      <c r="U541" s="35"/>
      <c r="V541" s="35"/>
      <c r="W541" s="35"/>
      <c r="X541" s="35"/>
    </row>
    <row r="542" spans="4:24" x14ac:dyDescent="0.3">
      <c r="D542" s="23">
        <v>40368</v>
      </c>
      <c r="E542" s="5">
        <v>83.480323999999996</v>
      </c>
      <c r="F542" s="28">
        <v>55.113639999999997</v>
      </c>
      <c r="G542" s="28">
        <v>118.36</v>
      </c>
      <c r="H542" s="28">
        <v>39.347079999999998</v>
      </c>
      <c r="I542" s="28">
        <v>42.68759</v>
      </c>
      <c r="J542" s="29"/>
      <c r="K542" s="29"/>
      <c r="L542" s="29"/>
      <c r="M542" s="29"/>
      <c r="N542" s="29"/>
      <c r="P542" s="4">
        <f t="shared" si="35"/>
        <v>7.4376242123214489E-3</v>
      </c>
      <c r="Q542" s="4">
        <f t="shared" si="35"/>
        <v>-1.1089106312649648E-3</v>
      </c>
      <c r="R542" s="4">
        <f t="shared" si="35"/>
        <v>9.7636297969199374E-3</v>
      </c>
      <c r="S542" s="4">
        <f t="shared" si="35"/>
        <v>9.4572214418275988E-3</v>
      </c>
      <c r="T542" s="4">
        <f t="shared" si="35"/>
        <v>7.6810623083960377E-3</v>
      </c>
      <c r="U542" s="35"/>
      <c r="V542" s="35"/>
      <c r="W542" s="35"/>
      <c r="X542" s="35"/>
    </row>
    <row r="543" spans="4:24" x14ac:dyDescent="0.3">
      <c r="D543" s="23">
        <v>40371</v>
      </c>
      <c r="E543" s="5">
        <v>83.534462000000005</v>
      </c>
      <c r="F543" s="28">
        <v>55.133969999999998</v>
      </c>
      <c r="G543" s="28">
        <v>117.34</v>
      </c>
      <c r="H543" s="28">
        <v>39.46172</v>
      </c>
      <c r="I543" s="28">
        <v>42.703130000000002</v>
      </c>
      <c r="J543" s="29"/>
      <c r="K543" s="29"/>
      <c r="L543" s="29"/>
      <c r="M543" s="29"/>
      <c r="N543" s="29"/>
      <c r="P543" s="4">
        <f t="shared" si="35"/>
        <v>6.4830190419398618E-4</v>
      </c>
      <c r="Q543" s="4">
        <f t="shared" si="35"/>
        <v>3.6880618510354881E-4</v>
      </c>
      <c r="R543" s="4">
        <f t="shared" si="35"/>
        <v>-8.6551240342949941E-3</v>
      </c>
      <c r="S543" s="4">
        <f t="shared" si="35"/>
        <v>2.9093218234732235E-3</v>
      </c>
      <c r="T543" s="4">
        <f t="shared" si="35"/>
        <v>3.6397398151840666E-4</v>
      </c>
      <c r="U543" s="35"/>
      <c r="V543" s="35"/>
      <c r="W543" s="35"/>
      <c r="X543" s="35"/>
    </row>
    <row r="544" spans="4:24" x14ac:dyDescent="0.3">
      <c r="D544" s="23">
        <v>40372</v>
      </c>
      <c r="E544" s="5">
        <v>84.794876000000002</v>
      </c>
      <c r="F544" s="28">
        <v>55.03886</v>
      </c>
      <c r="G544" s="28">
        <v>118.36</v>
      </c>
      <c r="H544" s="28">
        <v>39.973199999999999</v>
      </c>
      <c r="I544" s="28">
        <v>43.40305</v>
      </c>
      <c r="J544" s="29"/>
      <c r="K544" s="29"/>
      <c r="L544" s="29"/>
      <c r="M544" s="29"/>
      <c r="N544" s="29"/>
      <c r="P544" s="4">
        <f t="shared" si="35"/>
        <v>1.4975851169115796E-2</v>
      </c>
      <c r="Q544" s="4">
        <f t="shared" si="35"/>
        <v>-1.7265604165199819E-3</v>
      </c>
      <c r="R544" s="4">
        <f t="shared" si="35"/>
        <v>8.6551240342951311E-3</v>
      </c>
      <c r="S544" s="4">
        <f t="shared" si="35"/>
        <v>1.2878141475117033E-2</v>
      </c>
      <c r="T544" s="4">
        <f t="shared" si="35"/>
        <v>1.6257495478938639E-2</v>
      </c>
      <c r="U544" s="35"/>
      <c r="V544" s="35"/>
      <c r="W544" s="35"/>
      <c r="X544" s="35"/>
    </row>
    <row r="545" spans="4:24" x14ac:dyDescent="0.3">
      <c r="D545" s="23">
        <v>40373</v>
      </c>
      <c r="E545" s="5">
        <v>84.787148000000002</v>
      </c>
      <c r="F545" s="28">
        <v>55.181600000000003</v>
      </c>
      <c r="G545" s="28">
        <v>118.3</v>
      </c>
      <c r="H545" s="28">
        <v>40.176000000000002</v>
      </c>
      <c r="I545" s="28">
        <v>43.39528</v>
      </c>
      <c r="J545" s="29"/>
      <c r="K545" s="29"/>
      <c r="L545" s="29"/>
      <c r="M545" s="29"/>
      <c r="N545" s="29"/>
      <c r="P545" s="4">
        <f t="shared" si="35"/>
        <v>-9.1141735698890968E-5</v>
      </c>
      <c r="Q545" s="4">
        <f t="shared" si="35"/>
        <v>2.5900831805268226E-3</v>
      </c>
      <c r="R545" s="4">
        <f t="shared" si="35"/>
        <v>-5.0705654766787511E-4</v>
      </c>
      <c r="S545" s="4">
        <f t="shared" si="35"/>
        <v>5.0605728515977196E-3</v>
      </c>
      <c r="T545" s="4">
        <f t="shared" si="35"/>
        <v>-1.7903570312366283E-4</v>
      </c>
      <c r="U545" s="35"/>
      <c r="V545" s="35"/>
      <c r="W545" s="35"/>
      <c r="X545" s="35"/>
    </row>
    <row r="546" spans="4:24" x14ac:dyDescent="0.3">
      <c r="D546" s="23">
        <v>40374</v>
      </c>
      <c r="E546" s="5">
        <v>84.810340999999994</v>
      </c>
      <c r="F546" s="28">
        <v>55.235970000000002</v>
      </c>
      <c r="G546" s="28">
        <v>118.23</v>
      </c>
      <c r="H546" s="28">
        <v>40.211280000000002</v>
      </c>
      <c r="I546" s="28">
        <v>43.434170000000002</v>
      </c>
      <c r="J546" s="29"/>
      <c r="K546" s="29"/>
      <c r="L546" s="29"/>
      <c r="M546" s="29"/>
      <c r="N546" s="29"/>
      <c r="P546" s="4">
        <f t="shared" si="35"/>
        <v>2.7350640957383955E-4</v>
      </c>
      <c r="Q546" s="4">
        <f t="shared" si="35"/>
        <v>9.8480711709571516E-4</v>
      </c>
      <c r="R546" s="4">
        <f t="shared" si="35"/>
        <v>-5.9189110931906356E-4</v>
      </c>
      <c r="S546" s="4">
        <f t="shared" si="35"/>
        <v>8.7775086469186515E-4</v>
      </c>
      <c r="T546" s="4">
        <f t="shared" si="35"/>
        <v>8.9577908418203404E-4</v>
      </c>
      <c r="U546" s="35"/>
      <c r="V546" s="35"/>
      <c r="W546" s="35"/>
      <c r="X546" s="35"/>
    </row>
    <row r="547" spans="4:24" x14ac:dyDescent="0.3">
      <c r="D547" s="23">
        <v>40375</v>
      </c>
      <c r="E547" s="5">
        <v>82.475104999999999</v>
      </c>
      <c r="F547" s="28">
        <v>55.41948</v>
      </c>
      <c r="G547" s="28">
        <v>116.67</v>
      </c>
      <c r="H547" s="28">
        <v>39.100189999999998</v>
      </c>
      <c r="I547" s="28">
        <v>42.174300000000002</v>
      </c>
      <c r="J547" s="29"/>
      <c r="K547" s="29"/>
      <c r="L547" s="29"/>
      <c r="M547" s="29"/>
      <c r="N547" s="29"/>
      <c r="P547" s="4">
        <f t="shared" si="35"/>
        <v>-2.7920990890895923E-2</v>
      </c>
      <c r="Q547" s="4">
        <f t="shared" si="35"/>
        <v>3.3167849976429532E-3</v>
      </c>
      <c r="R547" s="4">
        <f t="shared" si="35"/>
        <v>-1.3282443039256374E-2</v>
      </c>
      <c r="S547" s="4">
        <f t="shared" si="35"/>
        <v>-2.8020226965369245E-2</v>
      </c>
      <c r="T547" s="4">
        <f t="shared" si="35"/>
        <v>-2.9435427731917537E-2</v>
      </c>
      <c r="U547" s="35"/>
      <c r="V547" s="35"/>
      <c r="W547" s="35"/>
      <c r="X547" s="35"/>
    </row>
    <row r="548" spans="4:24" x14ac:dyDescent="0.3">
      <c r="D548" s="23">
        <v>40378</v>
      </c>
      <c r="E548" s="5">
        <v>82.962256999999994</v>
      </c>
      <c r="F548" s="28">
        <v>55.3583</v>
      </c>
      <c r="G548" s="28">
        <v>115.73</v>
      </c>
      <c r="H548" s="28">
        <v>39.43526</v>
      </c>
      <c r="I548" s="28">
        <v>42.415390000000002</v>
      </c>
      <c r="J548" s="29"/>
      <c r="K548" s="29"/>
      <c r="L548" s="29"/>
      <c r="M548" s="29"/>
      <c r="N548" s="29"/>
      <c r="P548" s="4">
        <f t="shared" si="35"/>
        <v>5.8892792066521952E-3</v>
      </c>
      <c r="Q548" s="4">
        <f t="shared" si="35"/>
        <v>-1.1045537511253252E-3</v>
      </c>
      <c r="R548" s="4">
        <f t="shared" si="35"/>
        <v>-8.0895449757791872E-3</v>
      </c>
      <c r="S548" s="4">
        <f t="shared" si="35"/>
        <v>8.5330136415998781E-3</v>
      </c>
      <c r="T548" s="4">
        <f t="shared" si="35"/>
        <v>5.7002372938160456E-3</v>
      </c>
      <c r="U548" s="35"/>
      <c r="V548" s="35"/>
      <c r="W548" s="35"/>
      <c r="X548" s="35"/>
    </row>
    <row r="549" spans="4:24" x14ac:dyDescent="0.3">
      <c r="D549" s="23">
        <v>40379</v>
      </c>
      <c r="E549" s="5">
        <v>83.882453999999996</v>
      </c>
      <c r="F549" s="28">
        <v>55.351480000000002</v>
      </c>
      <c r="G549" s="28">
        <v>116.65</v>
      </c>
      <c r="H549" s="28">
        <v>39.911450000000002</v>
      </c>
      <c r="I549" s="28">
        <v>42.905329999999999</v>
      </c>
      <c r="J549" s="29"/>
      <c r="K549" s="29"/>
      <c r="L549" s="29"/>
      <c r="M549" s="29"/>
      <c r="N549" s="29"/>
      <c r="P549" s="4">
        <f t="shared" ref="P549:T564" si="36">LN(E549/E548)</f>
        <v>1.10306922523313E-2</v>
      </c>
      <c r="Q549" s="4">
        <f t="shared" si="36"/>
        <v>-1.2320501420247406E-4</v>
      </c>
      <c r="R549" s="4">
        <f t="shared" si="36"/>
        <v>7.918106607452605E-3</v>
      </c>
      <c r="S549" s="4">
        <f t="shared" si="36"/>
        <v>1.200291019093846E-2</v>
      </c>
      <c r="T549" s="4">
        <f t="shared" si="36"/>
        <v>1.1484792563028335E-2</v>
      </c>
      <c r="U549" s="35"/>
      <c r="V549" s="35"/>
      <c r="W549" s="35"/>
      <c r="X549" s="35"/>
    </row>
    <row r="550" spans="4:24" x14ac:dyDescent="0.3">
      <c r="D550" s="23">
        <v>40380</v>
      </c>
      <c r="E550" s="5">
        <v>82.792159999999996</v>
      </c>
      <c r="F550" s="28">
        <v>55.548630000000003</v>
      </c>
      <c r="G550" s="28">
        <v>115.85</v>
      </c>
      <c r="H550" s="28">
        <v>39.364730000000002</v>
      </c>
      <c r="I550" s="28">
        <v>42.368740000000003</v>
      </c>
      <c r="J550" s="29"/>
      <c r="K550" s="29"/>
      <c r="L550" s="29"/>
      <c r="M550" s="29"/>
      <c r="N550" s="29"/>
      <c r="P550" s="4">
        <f t="shared" si="36"/>
        <v>-1.3083090768008423E-2</v>
      </c>
      <c r="Q550" s="4">
        <f t="shared" si="36"/>
        <v>3.5554555840458762E-3</v>
      </c>
      <c r="R550" s="4">
        <f t="shared" si="36"/>
        <v>-6.8817475890538488E-3</v>
      </c>
      <c r="S550" s="4">
        <f t="shared" si="36"/>
        <v>-1.3793012418977972E-2</v>
      </c>
      <c r="T550" s="4">
        <f t="shared" si="36"/>
        <v>-1.2585234466664243E-2</v>
      </c>
      <c r="U550" s="35"/>
      <c r="V550" s="35"/>
      <c r="W550" s="35"/>
      <c r="X550" s="35"/>
    </row>
    <row r="551" spans="4:24" x14ac:dyDescent="0.3">
      <c r="D551" s="23">
        <v>40381</v>
      </c>
      <c r="E551" s="5">
        <v>84.640243999999996</v>
      </c>
      <c r="F551" s="28">
        <v>55.487409999999997</v>
      </c>
      <c r="G551" s="28">
        <v>116.86</v>
      </c>
      <c r="H551" s="28">
        <v>40.361179999999997</v>
      </c>
      <c r="I551" s="28">
        <v>43.309739999999998</v>
      </c>
      <c r="J551" s="29"/>
      <c r="K551" s="29"/>
      <c r="L551" s="29"/>
      <c r="M551" s="29"/>
      <c r="N551" s="29"/>
      <c r="P551" s="4">
        <f t="shared" si="36"/>
        <v>2.2076479985691053E-2</v>
      </c>
      <c r="Q551" s="4">
        <f t="shared" si="36"/>
        <v>-1.102705143364698E-3</v>
      </c>
      <c r="R551" s="4">
        <f t="shared" si="36"/>
        <v>8.6803862479057914E-3</v>
      </c>
      <c r="S551" s="4">
        <f t="shared" si="36"/>
        <v>2.4998194198093338E-2</v>
      </c>
      <c r="T551" s="4">
        <f t="shared" si="36"/>
        <v>2.1966725801907287E-2</v>
      </c>
      <c r="U551" s="35"/>
      <c r="V551" s="35"/>
      <c r="W551" s="35"/>
      <c r="X551" s="35"/>
    </row>
    <row r="552" spans="4:24" x14ac:dyDescent="0.3">
      <c r="D552" s="23">
        <v>40382</v>
      </c>
      <c r="E552" s="5">
        <v>85.374808999999999</v>
      </c>
      <c r="F552" s="28">
        <v>55.392270000000003</v>
      </c>
      <c r="G552" s="28">
        <v>116.09</v>
      </c>
      <c r="H552" s="28">
        <v>40.616900000000001</v>
      </c>
      <c r="I552" s="28">
        <v>43.753030000000003</v>
      </c>
      <c r="J552" s="29"/>
      <c r="K552" s="29"/>
      <c r="L552" s="29"/>
      <c r="M552" s="29"/>
      <c r="N552" s="29"/>
      <c r="P552" s="4">
        <f t="shared" si="36"/>
        <v>8.6412297960134048E-3</v>
      </c>
      <c r="Q552" s="4">
        <f t="shared" si="36"/>
        <v>-1.7160948398982476E-3</v>
      </c>
      <c r="R552" s="4">
        <f t="shared" si="36"/>
        <v>-6.6108847763465426E-3</v>
      </c>
      <c r="S552" s="4">
        <f t="shared" si="36"/>
        <v>6.3158042285564606E-3</v>
      </c>
      <c r="T552" s="4">
        <f t="shared" si="36"/>
        <v>1.0183315572309582E-2</v>
      </c>
      <c r="U552" s="35"/>
      <c r="V552" s="35"/>
      <c r="W552" s="35"/>
      <c r="X552" s="35"/>
    </row>
    <row r="553" spans="4:24" x14ac:dyDescent="0.3">
      <c r="D553" s="23">
        <v>40385</v>
      </c>
      <c r="E553" s="5">
        <v>86.264030000000005</v>
      </c>
      <c r="F553" s="28">
        <v>55.41948</v>
      </c>
      <c r="G553" s="28">
        <v>115.52</v>
      </c>
      <c r="H553" s="28">
        <v>40.952010000000001</v>
      </c>
      <c r="I553" s="28">
        <v>44.289619999999999</v>
      </c>
      <c r="J553" s="29"/>
      <c r="K553" s="29"/>
      <c r="L553" s="29"/>
      <c r="M553" s="29"/>
      <c r="N553" s="29"/>
      <c r="P553" s="4">
        <f t="shared" si="36"/>
        <v>1.0361628649769184E-2</v>
      </c>
      <c r="Q553" s="4">
        <f t="shared" si="36"/>
        <v>4.9110316454486569E-4</v>
      </c>
      <c r="R553" s="4">
        <f t="shared" si="36"/>
        <v>-4.9220772054283319E-3</v>
      </c>
      <c r="S553" s="4">
        <f t="shared" si="36"/>
        <v>8.2166571888084485E-3</v>
      </c>
      <c r="T553" s="4">
        <f t="shared" si="36"/>
        <v>1.2189470535127877E-2</v>
      </c>
      <c r="U553" s="35"/>
      <c r="V553" s="35"/>
      <c r="W553" s="35"/>
      <c r="X553" s="35"/>
    </row>
    <row r="554" spans="4:24" x14ac:dyDescent="0.3">
      <c r="D554" s="23">
        <v>40386</v>
      </c>
      <c r="E554" s="5">
        <v>86.256293999999997</v>
      </c>
      <c r="F554" s="28">
        <v>55.392270000000003</v>
      </c>
      <c r="G554" s="28">
        <v>113.51</v>
      </c>
      <c r="H554" s="28">
        <v>40.934359999999998</v>
      </c>
      <c r="I554" s="28">
        <v>44.235210000000002</v>
      </c>
      <c r="J554" s="29"/>
      <c r="K554" s="29"/>
      <c r="L554" s="29"/>
      <c r="M554" s="29"/>
      <c r="N554" s="29"/>
      <c r="P554" s="4">
        <f t="shared" si="36"/>
        <v>-8.9682187302082874E-5</v>
      </c>
      <c r="Q554" s="4">
        <f t="shared" si="36"/>
        <v>-4.9110316454482601E-4</v>
      </c>
      <c r="R554" s="4">
        <f t="shared" si="36"/>
        <v>-1.7552736377267987E-2</v>
      </c>
      <c r="S554" s="4">
        <f t="shared" si="36"/>
        <v>-4.3108517994711125E-4</v>
      </c>
      <c r="T554" s="4">
        <f t="shared" si="36"/>
        <v>-1.2292597873722311E-3</v>
      </c>
      <c r="U554" s="35"/>
      <c r="V554" s="35"/>
      <c r="W554" s="35"/>
      <c r="X554" s="35"/>
    </row>
    <row r="555" spans="4:24" x14ac:dyDescent="0.3">
      <c r="D555" s="23">
        <v>40387</v>
      </c>
      <c r="E555" s="5">
        <v>85.699592999999993</v>
      </c>
      <c r="F555" s="28">
        <v>55.487409999999997</v>
      </c>
      <c r="G555" s="28">
        <v>113.78</v>
      </c>
      <c r="H555" s="28">
        <v>40.6081</v>
      </c>
      <c r="I555" s="28">
        <v>43.924129999999998</v>
      </c>
      <c r="J555" s="29"/>
      <c r="K555" s="29"/>
      <c r="L555" s="29"/>
      <c r="M555" s="29"/>
      <c r="N555" s="29"/>
      <c r="P555" s="4">
        <f t="shared" si="36"/>
        <v>-6.4749506944433762E-3</v>
      </c>
      <c r="Q555" s="4">
        <f t="shared" si="36"/>
        <v>1.7160948398982872E-3</v>
      </c>
      <c r="R555" s="4">
        <f t="shared" si="36"/>
        <v>2.3758205552532534E-3</v>
      </c>
      <c r="S555" s="4">
        <f t="shared" si="36"/>
        <v>-8.002254065726206E-3</v>
      </c>
      <c r="T555" s="4">
        <f t="shared" si="36"/>
        <v>-7.0572509073936742E-3</v>
      </c>
      <c r="U555" s="35"/>
      <c r="V555" s="35"/>
      <c r="W555" s="35"/>
      <c r="X555" s="35"/>
    </row>
    <row r="556" spans="4:24" x14ac:dyDescent="0.3">
      <c r="D556" s="23">
        <v>40388</v>
      </c>
      <c r="E556" s="5">
        <v>85.282036000000005</v>
      </c>
      <c r="F556" s="28">
        <v>55.548630000000003</v>
      </c>
      <c r="G556" s="28">
        <v>114.29</v>
      </c>
      <c r="H556" s="28">
        <v>40.308280000000003</v>
      </c>
      <c r="I556" s="28">
        <v>43.698590000000003</v>
      </c>
      <c r="J556" s="29"/>
      <c r="K556" s="29"/>
      <c r="L556" s="29"/>
      <c r="M556" s="29"/>
      <c r="N556" s="29"/>
      <c r="P556" s="4">
        <f t="shared" si="36"/>
        <v>-4.884242038619536E-3</v>
      </c>
      <c r="Q556" s="4">
        <f t="shared" si="36"/>
        <v>1.1027051433646329E-3</v>
      </c>
      <c r="R556" s="4">
        <f t="shared" si="36"/>
        <v>4.4723185870051974E-3</v>
      </c>
      <c r="S556" s="4">
        <f t="shared" si="36"/>
        <v>-7.4106471920091137E-3</v>
      </c>
      <c r="T556" s="4">
        <f t="shared" si="36"/>
        <v>-5.1479912538977659E-3</v>
      </c>
      <c r="U556" s="35"/>
      <c r="V556" s="35"/>
      <c r="W556" s="35"/>
      <c r="X556" s="35"/>
    </row>
    <row r="557" spans="4:24" x14ac:dyDescent="0.3">
      <c r="D557" s="23">
        <v>40389</v>
      </c>
      <c r="E557" s="5">
        <v>85.266555999999994</v>
      </c>
      <c r="F557" s="28">
        <v>55.63015</v>
      </c>
      <c r="G557" s="28">
        <v>115.49</v>
      </c>
      <c r="H557" s="28">
        <v>40.396450000000002</v>
      </c>
      <c r="I557" s="28">
        <v>43.745249999999999</v>
      </c>
      <c r="J557" s="29"/>
      <c r="K557" s="29"/>
      <c r="L557" s="29"/>
      <c r="M557" s="29"/>
      <c r="N557" s="29"/>
      <c r="P557" s="4">
        <f t="shared" si="36"/>
        <v>-1.8153184216875416E-4</v>
      </c>
      <c r="Q557" s="4">
        <f t="shared" si="36"/>
        <v>1.466467155139367E-3</v>
      </c>
      <c r="R557" s="4">
        <f t="shared" si="36"/>
        <v>1.044486821748933E-2</v>
      </c>
      <c r="S557" s="4">
        <f t="shared" si="36"/>
        <v>2.1850029131801991E-3</v>
      </c>
      <c r="T557" s="4">
        <f t="shared" si="36"/>
        <v>1.067199345968307E-3</v>
      </c>
      <c r="U557" s="35"/>
      <c r="V557" s="35"/>
      <c r="W557" s="35"/>
      <c r="X557" s="35"/>
    </row>
    <row r="558" spans="4:24" x14ac:dyDescent="0.3">
      <c r="D558" s="23">
        <v>40392</v>
      </c>
      <c r="E558" s="5">
        <v>87.191940000000002</v>
      </c>
      <c r="F558" s="28">
        <v>55.617910000000002</v>
      </c>
      <c r="G558" s="28">
        <v>115.54</v>
      </c>
      <c r="H558" s="28">
        <v>41.154820000000001</v>
      </c>
      <c r="I558" s="28">
        <v>44.686259999999997</v>
      </c>
      <c r="J558" s="29"/>
      <c r="K558" s="29"/>
      <c r="L558" s="29"/>
      <c r="M558" s="29"/>
      <c r="N558" s="29"/>
      <c r="P558" s="4">
        <f t="shared" si="36"/>
        <v>2.2329592863432942E-2</v>
      </c>
      <c r="Q558" s="4">
        <f t="shared" si="36"/>
        <v>-2.2004878196332233E-4</v>
      </c>
      <c r="R558" s="4">
        <f t="shared" si="36"/>
        <v>4.3284422612337051E-4</v>
      </c>
      <c r="S558" s="4">
        <f t="shared" si="36"/>
        <v>1.8599142886826344E-2</v>
      </c>
      <c r="T558" s="4">
        <f t="shared" si="36"/>
        <v>2.1283036336740477E-2</v>
      </c>
      <c r="U558" s="35"/>
      <c r="V558" s="35"/>
      <c r="W558" s="35"/>
      <c r="X558" s="35"/>
    </row>
    <row r="559" spans="4:24" x14ac:dyDescent="0.3">
      <c r="D559" s="23">
        <v>40393</v>
      </c>
      <c r="E559" s="5">
        <v>86.774399000000003</v>
      </c>
      <c r="F559" s="28">
        <v>55.767829999999996</v>
      </c>
      <c r="G559" s="28">
        <v>115.99</v>
      </c>
      <c r="H559" s="28">
        <v>40.978459999999998</v>
      </c>
      <c r="I559" s="28">
        <v>44.445180000000001</v>
      </c>
      <c r="J559" s="29"/>
      <c r="K559" s="29"/>
      <c r="L559" s="29"/>
      <c r="M559" s="29"/>
      <c r="N559" s="29"/>
      <c r="P559" s="4">
        <f t="shared" si="36"/>
        <v>-4.8002596843192682E-3</v>
      </c>
      <c r="Q559" s="4">
        <f t="shared" si="36"/>
        <v>2.6919081478705641E-3</v>
      </c>
      <c r="R559" s="4">
        <f t="shared" si="36"/>
        <v>3.8871901406651683E-3</v>
      </c>
      <c r="S559" s="4">
        <f t="shared" si="36"/>
        <v>-4.2944899082395264E-3</v>
      </c>
      <c r="T559" s="4">
        <f t="shared" si="36"/>
        <v>-5.409552182675418E-3</v>
      </c>
      <c r="U559" s="35"/>
      <c r="V559" s="35"/>
      <c r="W559" s="35"/>
      <c r="X559" s="35"/>
    </row>
    <row r="560" spans="4:24" x14ac:dyDescent="0.3">
      <c r="D560" s="23">
        <v>40394</v>
      </c>
      <c r="E560" s="5">
        <v>87.354347000000004</v>
      </c>
      <c r="F560" s="28">
        <v>55.658799999999999</v>
      </c>
      <c r="G560" s="28">
        <v>116.72</v>
      </c>
      <c r="H560" s="28">
        <v>41.392910000000001</v>
      </c>
      <c r="I560" s="28">
        <v>44.795140000000004</v>
      </c>
      <c r="J560" s="29"/>
      <c r="K560" s="29"/>
      <c r="L560" s="29"/>
      <c r="M560" s="29"/>
      <c r="N560" s="29"/>
      <c r="P560" s="4">
        <f t="shared" si="36"/>
        <v>6.6611648878487396E-3</v>
      </c>
      <c r="Q560" s="4">
        <f t="shared" si="36"/>
        <v>-1.9569834391792427E-3</v>
      </c>
      <c r="R560" s="4">
        <f t="shared" si="36"/>
        <v>6.2739237207454779E-3</v>
      </c>
      <c r="S560" s="4">
        <f t="shared" si="36"/>
        <v>1.0063047328976686E-2</v>
      </c>
      <c r="T560" s="4">
        <f t="shared" si="36"/>
        <v>7.8431317586561966E-3</v>
      </c>
      <c r="U560" s="35"/>
      <c r="V560" s="35"/>
      <c r="W560" s="35"/>
      <c r="X560" s="35"/>
    </row>
    <row r="561" spans="4:24" x14ac:dyDescent="0.3">
      <c r="D561" s="23">
        <v>40395</v>
      </c>
      <c r="E561" s="5">
        <v>87.261543000000003</v>
      </c>
      <c r="F561" s="28">
        <v>55.747410000000002</v>
      </c>
      <c r="G561" s="28">
        <v>116.98</v>
      </c>
      <c r="H561" s="28">
        <v>41.295920000000002</v>
      </c>
      <c r="I561" s="28">
        <v>44.701810000000002</v>
      </c>
      <c r="J561" s="29"/>
      <c r="K561" s="29"/>
      <c r="L561" s="29"/>
      <c r="M561" s="29"/>
      <c r="N561" s="29"/>
      <c r="P561" s="4">
        <f t="shared" si="36"/>
        <v>-1.062950327578885E-3</v>
      </c>
      <c r="Q561" s="4">
        <f t="shared" si="36"/>
        <v>1.5907554648104175E-3</v>
      </c>
      <c r="R561" s="4">
        <f t="shared" si="36"/>
        <v>2.2250758003496303E-3</v>
      </c>
      <c r="S561" s="4">
        <f t="shared" si="36"/>
        <v>-2.3459043858802598E-3</v>
      </c>
      <c r="T561" s="4">
        <f t="shared" si="36"/>
        <v>-2.0856584237094007E-3</v>
      </c>
      <c r="U561" s="35"/>
      <c r="V561" s="35"/>
      <c r="W561" s="35"/>
      <c r="X561" s="35"/>
    </row>
    <row r="562" spans="4:24" x14ac:dyDescent="0.3">
      <c r="D562" s="23">
        <v>40396</v>
      </c>
      <c r="E562" s="5">
        <v>86.905838000000003</v>
      </c>
      <c r="F562" s="28">
        <v>55.91095</v>
      </c>
      <c r="G562" s="28">
        <v>117.84</v>
      </c>
      <c r="H562" s="28">
        <v>41.234189999999998</v>
      </c>
      <c r="I562" s="28">
        <v>44.538490000000003</v>
      </c>
      <c r="J562" s="29"/>
      <c r="K562" s="29"/>
      <c r="L562" s="29"/>
      <c r="M562" s="29"/>
      <c r="N562" s="29"/>
      <c r="P562" s="4">
        <f t="shared" si="36"/>
        <v>-4.0846396439378294E-3</v>
      </c>
      <c r="Q562" s="4">
        <f t="shared" si="36"/>
        <v>2.9292946258845038E-3</v>
      </c>
      <c r="R562" s="4">
        <f t="shared" si="36"/>
        <v>7.3247921394950372E-3</v>
      </c>
      <c r="S562" s="4">
        <f t="shared" si="36"/>
        <v>-1.4959391550985169E-3</v>
      </c>
      <c r="T562" s="4">
        <f t="shared" si="36"/>
        <v>-3.6602338256901323E-3</v>
      </c>
      <c r="U562" s="35"/>
      <c r="V562" s="35"/>
      <c r="W562" s="35"/>
      <c r="X562" s="35"/>
    </row>
    <row r="563" spans="4:24" x14ac:dyDescent="0.3">
      <c r="D563" s="23">
        <v>40399</v>
      </c>
      <c r="E563" s="5">
        <v>87.369811999999996</v>
      </c>
      <c r="F563" s="28">
        <v>55.842849999999999</v>
      </c>
      <c r="G563" s="28">
        <v>117.4</v>
      </c>
      <c r="H563" s="28">
        <v>41.516379999999998</v>
      </c>
      <c r="I563" s="28">
        <v>44.771810000000002</v>
      </c>
      <c r="J563" s="29"/>
      <c r="K563" s="29"/>
      <c r="L563" s="29"/>
      <c r="M563" s="29"/>
      <c r="N563" s="29"/>
      <c r="P563" s="4">
        <f t="shared" si="36"/>
        <v>5.3246118570863393E-3</v>
      </c>
      <c r="Q563" s="4">
        <f t="shared" si="36"/>
        <v>-1.2187506541948378E-3</v>
      </c>
      <c r="R563" s="4">
        <f t="shared" si="36"/>
        <v>-3.7408647603786862E-3</v>
      </c>
      <c r="S563" s="4">
        <f t="shared" si="36"/>
        <v>6.8202815731013425E-3</v>
      </c>
      <c r="T563" s="4">
        <f t="shared" si="36"/>
        <v>5.2249411501909268E-3</v>
      </c>
      <c r="U563" s="35"/>
      <c r="V563" s="35"/>
      <c r="W563" s="35"/>
      <c r="X563" s="35"/>
    </row>
    <row r="564" spans="4:24" x14ac:dyDescent="0.3">
      <c r="D564" s="23">
        <v>40400</v>
      </c>
      <c r="E564" s="5">
        <v>86.898116999999999</v>
      </c>
      <c r="F564" s="28">
        <v>55.958669999999998</v>
      </c>
      <c r="G564" s="28">
        <v>117.73</v>
      </c>
      <c r="H564" s="28">
        <v>41.154820000000001</v>
      </c>
      <c r="I564" s="28">
        <v>44.49183</v>
      </c>
      <c r="J564" s="29"/>
      <c r="K564" s="29"/>
      <c r="L564" s="29"/>
      <c r="M564" s="29"/>
      <c r="N564" s="29"/>
      <c r="P564" s="4">
        <f t="shared" si="36"/>
        <v>-5.4134590873473661E-3</v>
      </c>
      <c r="Q564" s="4">
        <f t="shared" si="36"/>
        <v>2.0718867047934122E-3</v>
      </c>
      <c r="R564" s="4">
        <f t="shared" si="36"/>
        <v>2.8069596961092448E-3</v>
      </c>
      <c r="S564" s="4">
        <f t="shared" si="36"/>
        <v>-8.7469954528598057E-3</v>
      </c>
      <c r="T564" s="4">
        <f t="shared" si="36"/>
        <v>-6.2731234834020105E-3</v>
      </c>
      <c r="U564" s="35"/>
      <c r="V564" s="35"/>
      <c r="W564" s="35"/>
      <c r="X564" s="35"/>
    </row>
    <row r="565" spans="4:24" x14ac:dyDescent="0.3">
      <c r="D565" s="23">
        <v>40401</v>
      </c>
      <c r="E565" s="5">
        <v>84.516502000000003</v>
      </c>
      <c r="F565" s="28">
        <v>55.99962</v>
      </c>
      <c r="G565" s="28">
        <v>117.34</v>
      </c>
      <c r="H565" s="28">
        <v>40.03492</v>
      </c>
      <c r="I565" s="28">
        <v>43.17754</v>
      </c>
      <c r="J565" s="29"/>
      <c r="K565" s="29"/>
      <c r="L565" s="29"/>
      <c r="M565" s="29"/>
      <c r="N565" s="29"/>
      <c r="P565" s="4">
        <f t="shared" ref="P565:T580" si="37">LN(E565/E564)</f>
        <v>-2.7789558214640749E-2</v>
      </c>
      <c r="Q565" s="4">
        <f t="shared" si="37"/>
        <v>7.3152245941076873E-4</v>
      </c>
      <c r="R565" s="4">
        <f t="shared" si="37"/>
        <v>-3.3181635923916594E-3</v>
      </c>
      <c r="S565" s="4">
        <f t="shared" si="37"/>
        <v>-2.7588979434823618E-2</v>
      </c>
      <c r="T565" s="4">
        <f t="shared" si="37"/>
        <v>-2.9985124166920098E-2</v>
      </c>
      <c r="U565" s="35"/>
      <c r="V565" s="35"/>
      <c r="W565" s="35"/>
      <c r="X565" s="35"/>
    </row>
    <row r="566" spans="4:24" x14ac:dyDescent="0.3">
      <c r="D566" s="23">
        <v>40402</v>
      </c>
      <c r="E566" s="5">
        <v>83.998412999999999</v>
      </c>
      <c r="F566" s="28">
        <v>55.897359999999999</v>
      </c>
      <c r="G566" s="28">
        <v>118.77</v>
      </c>
      <c r="H566" s="28">
        <v>39.717449999999999</v>
      </c>
      <c r="I566" s="28">
        <v>42.936450000000001</v>
      </c>
      <c r="J566" s="29"/>
      <c r="K566" s="29"/>
      <c r="L566" s="29"/>
      <c r="M566" s="29"/>
      <c r="N566" s="29"/>
      <c r="P566" s="4">
        <f t="shared" si="37"/>
        <v>-6.1488994296599771E-3</v>
      </c>
      <c r="Q566" s="4">
        <f t="shared" si="37"/>
        <v>-1.8277531434391398E-3</v>
      </c>
      <c r="R566" s="4">
        <f t="shared" si="37"/>
        <v>1.2113146288435092E-2</v>
      </c>
      <c r="S566" s="4">
        <f t="shared" si="37"/>
        <v>-7.961435550738645E-3</v>
      </c>
      <c r="T566" s="4">
        <f t="shared" si="37"/>
        <v>-5.599337108849526E-3</v>
      </c>
      <c r="U566" s="35"/>
      <c r="V566" s="35"/>
      <c r="W566" s="35"/>
      <c r="X566" s="35"/>
    </row>
    <row r="567" spans="4:24" x14ac:dyDescent="0.3">
      <c r="D567" s="23">
        <v>40403</v>
      </c>
      <c r="E567" s="5">
        <v>83.750991999999997</v>
      </c>
      <c r="F567" s="28">
        <v>56.054099999999998</v>
      </c>
      <c r="G567" s="28">
        <v>118.74</v>
      </c>
      <c r="H567" s="28">
        <v>39.43526</v>
      </c>
      <c r="I567" s="28">
        <v>42.773139999999998</v>
      </c>
      <c r="J567" s="29"/>
      <c r="K567" s="29"/>
      <c r="L567" s="29"/>
      <c r="M567" s="29"/>
      <c r="N567" s="29"/>
      <c r="P567" s="4">
        <f t="shared" si="37"/>
        <v>-2.9498903965521502E-3</v>
      </c>
      <c r="Q567" s="4">
        <f t="shared" si="37"/>
        <v>2.8001439626420322E-3</v>
      </c>
      <c r="R567" s="4">
        <f t="shared" si="37"/>
        <v>-2.5262094361962314E-4</v>
      </c>
      <c r="S567" s="4">
        <f t="shared" si="37"/>
        <v>-7.1302977641802953E-3</v>
      </c>
      <c r="T567" s="4">
        <f t="shared" si="37"/>
        <v>-3.8107800453340171E-3</v>
      </c>
      <c r="U567" s="35"/>
      <c r="V567" s="35"/>
      <c r="W567" s="35"/>
      <c r="X567" s="35"/>
    </row>
    <row r="568" spans="4:24" x14ac:dyDescent="0.3">
      <c r="D568" s="23">
        <v>40406</v>
      </c>
      <c r="E568" s="5">
        <v>83.712326000000004</v>
      </c>
      <c r="F568" s="28">
        <v>56.265430000000002</v>
      </c>
      <c r="G568" s="28">
        <v>119.73</v>
      </c>
      <c r="H568" s="28">
        <v>39.505830000000003</v>
      </c>
      <c r="I568" s="28">
        <v>42.734250000000003</v>
      </c>
      <c r="J568" s="29"/>
      <c r="K568" s="29"/>
      <c r="L568" s="29"/>
      <c r="M568" s="29"/>
      <c r="N568" s="29"/>
      <c r="P568" s="4">
        <f t="shared" si="37"/>
        <v>-4.6178471976890379E-4</v>
      </c>
      <c r="Q568" s="4">
        <f t="shared" si="37"/>
        <v>3.7630187621833441E-3</v>
      </c>
      <c r="R568" s="4">
        <f t="shared" si="37"/>
        <v>8.3029788862229344E-3</v>
      </c>
      <c r="S568" s="4">
        <f t="shared" si="37"/>
        <v>1.7879159965723673E-3</v>
      </c>
      <c r="T568" s="4">
        <f t="shared" si="37"/>
        <v>-9.0962904332690371E-4</v>
      </c>
      <c r="U568" s="35"/>
      <c r="V568" s="35"/>
      <c r="W568" s="35"/>
      <c r="X568" s="35"/>
    </row>
    <row r="569" spans="4:24" x14ac:dyDescent="0.3">
      <c r="D569" s="23">
        <v>40407</v>
      </c>
      <c r="E569" s="5">
        <v>84.740729999999999</v>
      </c>
      <c r="F569" s="28">
        <v>56.183619999999998</v>
      </c>
      <c r="G569" s="28">
        <v>119.75</v>
      </c>
      <c r="H569" s="28">
        <v>40.008450000000003</v>
      </c>
      <c r="I569" s="28">
        <v>43.34084</v>
      </c>
      <c r="J569" s="29"/>
      <c r="K569" s="29"/>
      <c r="L569" s="29"/>
      <c r="M569" s="29"/>
      <c r="N569" s="29"/>
      <c r="P569" s="4">
        <f t="shared" si="37"/>
        <v>1.2210129055722153E-2</v>
      </c>
      <c r="Q569" s="4">
        <f t="shared" si="37"/>
        <v>-1.455059236765352E-3</v>
      </c>
      <c r="R569" s="4">
        <f t="shared" si="37"/>
        <v>1.6702856227226672E-4</v>
      </c>
      <c r="S569" s="4">
        <f t="shared" si="37"/>
        <v>1.2642425851072978E-2</v>
      </c>
      <c r="T569" s="4">
        <f t="shared" si="37"/>
        <v>1.4094671107558451E-2</v>
      </c>
      <c r="U569" s="35"/>
      <c r="V569" s="35"/>
      <c r="W569" s="35"/>
      <c r="X569" s="35"/>
    </row>
    <row r="570" spans="4:24" x14ac:dyDescent="0.3">
      <c r="D570" s="23">
        <v>40408</v>
      </c>
      <c r="E570" s="5">
        <v>84.895424000000006</v>
      </c>
      <c r="F570" s="28">
        <v>56.149549999999998</v>
      </c>
      <c r="G570" s="28">
        <v>120.22</v>
      </c>
      <c r="H570" s="28">
        <v>40.167200000000001</v>
      </c>
      <c r="I570" s="28">
        <v>43.441949999999999</v>
      </c>
      <c r="J570" s="29"/>
      <c r="K570" s="29"/>
      <c r="L570" s="29"/>
      <c r="M570" s="29"/>
      <c r="N570" s="29"/>
      <c r="P570" s="4">
        <f t="shared" si="37"/>
        <v>1.8238334132566127E-3</v>
      </c>
      <c r="Q570" s="4">
        <f t="shared" si="37"/>
        <v>-6.0658843767464363E-4</v>
      </c>
      <c r="R570" s="4">
        <f t="shared" si="37"/>
        <v>3.9171613199912945E-3</v>
      </c>
      <c r="S570" s="4">
        <f t="shared" si="37"/>
        <v>3.9600603789496525E-3</v>
      </c>
      <c r="T570" s="4">
        <f t="shared" si="37"/>
        <v>2.330186566952365E-3</v>
      </c>
      <c r="U570" s="35"/>
      <c r="V570" s="35"/>
      <c r="W570" s="35"/>
      <c r="X570" s="35"/>
    </row>
    <row r="571" spans="4:24" x14ac:dyDescent="0.3">
      <c r="D571" s="23">
        <v>40409</v>
      </c>
      <c r="E571" s="5">
        <v>83.418464999999998</v>
      </c>
      <c r="F571" s="28">
        <v>56.279029999999999</v>
      </c>
      <c r="G571" s="28">
        <v>120.39</v>
      </c>
      <c r="H571" s="28">
        <v>39.558720000000001</v>
      </c>
      <c r="I571" s="28">
        <v>42.6798</v>
      </c>
      <c r="J571" s="29"/>
      <c r="K571" s="29"/>
      <c r="L571" s="29"/>
      <c r="M571" s="29"/>
      <c r="N571" s="29"/>
      <c r="P571" s="4">
        <f t="shared" si="37"/>
        <v>-1.7550505423957492E-2</v>
      </c>
      <c r="Q571" s="4">
        <f t="shared" si="37"/>
        <v>2.3033299405630994E-3</v>
      </c>
      <c r="R571" s="4">
        <f t="shared" si="37"/>
        <v>1.4130753359191137E-3</v>
      </c>
      <c r="S571" s="4">
        <f t="shared" si="37"/>
        <v>-1.5264591866765074E-2</v>
      </c>
      <c r="T571" s="4">
        <f t="shared" si="37"/>
        <v>-1.7699823733979582E-2</v>
      </c>
      <c r="U571" s="35"/>
      <c r="V571" s="35"/>
      <c r="W571" s="35"/>
      <c r="X571" s="35"/>
    </row>
    <row r="572" spans="4:24" x14ac:dyDescent="0.3">
      <c r="D572" s="23">
        <v>40410</v>
      </c>
      <c r="E572" s="5">
        <v>83.147835000000001</v>
      </c>
      <c r="F572" s="28">
        <v>56.204079999999998</v>
      </c>
      <c r="G572" s="28">
        <v>119.97</v>
      </c>
      <c r="H572" s="28">
        <v>39.611629999999998</v>
      </c>
      <c r="I572" s="28">
        <v>42.532049999999998</v>
      </c>
      <c r="J572" s="29"/>
      <c r="K572" s="29"/>
      <c r="L572" s="29"/>
      <c r="M572" s="29"/>
      <c r="N572" s="29"/>
      <c r="P572" s="4">
        <f t="shared" si="37"/>
        <v>-3.2495197184585108E-3</v>
      </c>
      <c r="Q572" s="4">
        <f t="shared" si="37"/>
        <v>-1.3326447160331872E-3</v>
      </c>
      <c r="R572" s="4">
        <f t="shared" si="37"/>
        <v>-3.4947614200983548E-3</v>
      </c>
      <c r="S572" s="4">
        <f t="shared" si="37"/>
        <v>1.336611695593384E-3</v>
      </c>
      <c r="T572" s="4">
        <f t="shared" si="37"/>
        <v>-3.467831013369073E-3</v>
      </c>
      <c r="U572" s="35"/>
      <c r="V572" s="35"/>
      <c r="W572" s="35"/>
      <c r="X572" s="35"/>
    </row>
    <row r="573" spans="4:24" x14ac:dyDescent="0.3">
      <c r="D573" s="23">
        <v>40413</v>
      </c>
      <c r="E573" s="5">
        <v>82.830817999999994</v>
      </c>
      <c r="F573" s="28">
        <v>56.238129999999998</v>
      </c>
      <c r="G573" s="28">
        <v>119.78</v>
      </c>
      <c r="H573" s="28">
        <v>39.223640000000003</v>
      </c>
      <c r="I573" s="28">
        <v>42.306519999999999</v>
      </c>
      <c r="J573" s="29"/>
      <c r="K573" s="29"/>
      <c r="L573" s="29"/>
      <c r="M573" s="29"/>
      <c r="N573" s="29"/>
      <c r="P573" s="4">
        <f t="shared" si="37"/>
        <v>-3.8199778076120797E-3</v>
      </c>
      <c r="Q573" s="4">
        <f t="shared" si="37"/>
        <v>6.0564446466864093E-4</v>
      </c>
      <c r="R573" s="4">
        <f t="shared" si="37"/>
        <v>-1.5849846905203525E-3</v>
      </c>
      <c r="S573" s="4">
        <f t="shared" si="37"/>
        <v>-9.8431357590140229E-3</v>
      </c>
      <c r="T573" s="4">
        <f t="shared" si="37"/>
        <v>-5.3166980834234486E-3</v>
      </c>
      <c r="U573" s="35"/>
      <c r="V573" s="35"/>
      <c r="W573" s="35"/>
      <c r="X573" s="35"/>
    </row>
    <row r="574" spans="4:24" x14ac:dyDescent="0.3">
      <c r="D574" s="23">
        <v>40414</v>
      </c>
      <c r="E574" s="5">
        <v>81.601310999999995</v>
      </c>
      <c r="F574" s="28">
        <v>56.435789999999997</v>
      </c>
      <c r="G574" s="28">
        <v>120.36</v>
      </c>
      <c r="H574" s="28">
        <v>38.491729999999997</v>
      </c>
      <c r="I574" s="28">
        <v>41.699910000000003</v>
      </c>
      <c r="J574" s="29"/>
      <c r="K574" s="29"/>
      <c r="L574" s="29"/>
      <c r="M574" s="29"/>
      <c r="N574" s="29"/>
      <c r="P574" s="4">
        <f t="shared" si="37"/>
        <v>-1.4954862192856036E-2</v>
      </c>
      <c r="Q574" s="4">
        <f t="shared" si="37"/>
        <v>3.5085351208723903E-3</v>
      </c>
      <c r="R574" s="4">
        <f t="shared" si="37"/>
        <v>4.8305249255280614E-3</v>
      </c>
      <c r="S574" s="4">
        <f t="shared" si="37"/>
        <v>-1.8836213227568063E-2</v>
      </c>
      <c r="T574" s="4">
        <f t="shared" si="37"/>
        <v>-1.4442240761121359E-2</v>
      </c>
      <c r="U574" s="35"/>
      <c r="V574" s="35"/>
      <c r="W574" s="35"/>
      <c r="X574" s="35"/>
    </row>
    <row r="575" spans="4:24" x14ac:dyDescent="0.3">
      <c r="D575" s="23">
        <v>40415</v>
      </c>
      <c r="E575" s="5">
        <v>81.918396000000001</v>
      </c>
      <c r="F575" s="28">
        <v>56.360810000000001</v>
      </c>
      <c r="G575" s="28">
        <v>121.36</v>
      </c>
      <c r="H575" s="28">
        <v>38.862070000000003</v>
      </c>
      <c r="I575" s="28">
        <v>41.832129999999999</v>
      </c>
      <c r="J575" s="29"/>
      <c r="K575" s="29"/>
      <c r="L575" s="29"/>
      <c r="M575" s="29"/>
      <c r="N575" s="29"/>
      <c r="P575" s="4">
        <f t="shared" si="37"/>
        <v>3.8782530039082734E-3</v>
      </c>
      <c r="Q575" s="4">
        <f t="shared" si="37"/>
        <v>-1.329472892692016E-3</v>
      </c>
      <c r="R575" s="4">
        <f t="shared" si="37"/>
        <v>8.274083278432369E-3</v>
      </c>
      <c r="S575" s="4">
        <f t="shared" si="37"/>
        <v>9.5752976476523016E-3</v>
      </c>
      <c r="T575" s="4">
        <f t="shared" si="37"/>
        <v>3.1657340207255484E-3</v>
      </c>
      <c r="U575" s="35"/>
      <c r="V575" s="35"/>
      <c r="W575" s="35"/>
      <c r="X575" s="35"/>
    </row>
    <row r="576" spans="4:24" x14ac:dyDescent="0.3">
      <c r="D576" s="23">
        <v>40416</v>
      </c>
      <c r="E576" s="5">
        <v>81.369354000000001</v>
      </c>
      <c r="F576" s="28">
        <v>56.408540000000002</v>
      </c>
      <c r="G576" s="28">
        <v>120.96</v>
      </c>
      <c r="H576" s="28">
        <v>38.394710000000003</v>
      </c>
      <c r="I576" s="28">
        <v>41.575490000000002</v>
      </c>
      <c r="J576" s="29"/>
      <c r="K576" s="29"/>
      <c r="L576" s="29"/>
      <c r="M576" s="29"/>
      <c r="N576" s="29"/>
      <c r="P576" s="4">
        <f t="shared" si="37"/>
        <v>-6.7248653882025482E-3</v>
      </c>
      <c r="Q576" s="4">
        <f t="shared" si="37"/>
        <v>8.4650665894902806E-4</v>
      </c>
      <c r="R576" s="4">
        <f t="shared" si="37"/>
        <v>-3.301422609054013E-3</v>
      </c>
      <c r="S576" s="4">
        <f t="shared" si="37"/>
        <v>-1.2099020985468568E-2</v>
      </c>
      <c r="T576" s="4">
        <f t="shared" si="37"/>
        <v>-6.1538936111891632E-3</v>
      </c>
      <c r="U576" s="35"/>
      <c r="V576" s="35"/>
      <c r="W576" s="35"/>
      <c r="X576" s="35"/>
    </row>
    <row r="577" spans="4:24" x14ac:dyDescent="0.3">
      <c r="D577" s="23">
        <v>40417</v>
      </c>
      <c r="E577" s="5">
        <v>82.629767999999999</v>
      </c>
      <c r="F577" s="28">
        <v>56.149549999999998</v>
      </c>
      <c r="G577" s="28">
        <v>121.01</v>
      </c>
      <c r="H577" s="28">
        <v>38.862070000000003</v>
      </c>
      <c r="I577" s="28">
        <v>42.290959999999998</v>
      </c>
      <c r="J577" s="29"/>
      <c r="K577" s="29"/>
      <c r="L577" s="29"/>
      <c r="M577" s="29"/>
      <c r="N577" s="29"/>
      <c r="P577" s="4">
        <f t="shared" si="37"/>
        <v>1.5371287379011139E-2</v>
      </c>
      <c r="Q577" s="4">
        <f t="shared" si="37"/>
        <v>-4.6018985763279759E-3</v>
      </c>
      <c r="R577" s="4">
        <f t="shared" si="37"/>
        <v>4.1327437873846538E-4</v>
      </c>
      <c r="S577" s="4">
        <f t="shared" si="37"/>
        <v>1.2099020985468563E-2</v>
      </c>
      <c r="T577" s="4">
        <f t="shared" si="37"/>
        <v>1.7062540690151388E-2</v>
      </c>
      <c r="U577" s="35"/>
      <c r="V577" s="35"/>
      <c r="W577" s="35"/>
      <c r="X577" s="35"/>
    </row>
    <row r="578" spans="4:24" x14ac:dyDescent="0.3">
      <c r="D578" s="23">
        <v>40420</v>
      </c>
      <c r="E578" s="5">
        <v>81.431229000000002</v>
      </c>
      <c r="F578" s="28">
        <v>56.40175</v>
      </c>
      <c r="G578" s="28">
        <v>120.91</v>
      </c>
      <c r="H578" s="28">
        <v>38.456449999999997</v>
      </c>
      <c r="I578" s="28">
        <v>41.676600000000001</v>
      </c>
      <c r="J578" s="29"/>
      <c r="K578" s="29"/>
      <c r="L578" s="29"/>
      <c r="M578" s="29"/>
      <c r="N578" s="29"/>
      <c r="P578" s="4">
        <f t="shared" si="37"/>
        <v>-1.4611154929371388E-2</v>
      </c>
      <c r="Q578" s="4">
        <f t="shared" si="37"/>
        <v>4.4815194866508704E-3</v>
      </c>
      <c r="R578" s="4">
        <f t="shared" si="37"/>
        <v>-8.2671962380579062E-4</v>
      </c>
      <c r="S578" s="4">
        <f t="shared" si="37"/>
        <v>-1.0492278464407433E-2</v>
      </c>
      <c r="T578" s="4">
        <f t="shared" si="37"/>
        <v>-1.4633531407306126E-2</v>
      </c>
      <c r="U578" s="35"/>
      <c r="V578" s="35"/>
      <c r="W578" s="35"/>
      <c r="X578" s="35"/>
    </row>
    <row r="579" spans="4:24" x14ac:dyDescent="0.3">
      <c r="D579" s="23">
        <v>40421</v>
      </c>
      <c r="E579" s="5">
        <v>81.431229000000002</v>
      </c>
      <c r="F579" s="28">
        <v>56.49718</v>
      </c>
      <c r="G579" s="28">
        <v>122.08</v>
      </c>
      <c r="H579" s="28">
        <v>38.324179999999998</v>
      </c>
      <c r="I579" s="28">
        <v>41.684370000000001</v>
      </c>
      <c r="J579" s="29"/>
      <c r="K579" s="29"/>
      <c r="L579" s="29"/>
      <c r="M579" s="29"/>
      <c r="N579" s="29"/>
      <c r="P579" s="4">
        <f t="shared" si="37"/>
        <v>0</v>
      </c>
      <c r="Q579" s="4">
        <f t="shared" si="37"/>
        <v>1.6905390109122095E-3</v>
      </c>
      <c r="R579" s="4">
        <f t="shared" si="37"/>
        <v>9.6301003499915314E-3</v>
      </c>
      <c r="S579" s="4">
        <f t="shared" si="37"/>
        <v>-3.4454036348993836E-3</v>
      </c>
      <c r="T579" s="4">
        <f t="shared" si="37"/>
        <v>1.8641817681586402E-4</v>
      </c>
      <c r="U579" s="35"/>
      <c r="V579" s="35"/>
      <c r="W579" s="35"/>
      <c r="X579" s="35"/>
    </row>
    <row r="580" spans="4:24" x14ac:dyDescent="0.3">
      <c r="D580" s="23">
        <v>40422</v>
      </c>
      <c r="E580" s="5">
        <v>83.866981999999993</v>
      </c>
      <c r="F580" s="28">
        <v>56.316699999999997</v>
      </c>
      <c r="G580" s="28">
        <v>121.69</v>
      </c>
      <c r="H580" s="28">
        <v>39.47054</v>
      </c>
      <c r="I580" s="28">
        <v>42.905329999999999</v>
      </c>
      <c r="J580" s="29"/>
      <c r="K580" s="29"/>
      <c r="L580" s="29"/>
      <c r="M580" s="29"/>
      <c r="N580" s="29"/>
      <c r="P580" s="4">
        <f t="shared" si="37"/>
        <v>2.9473148004696553E-2</v>
      </c>
      <c r="Q580" s="4">
        <f t="shared" si="37"/>
        <v>-3.1996090192438118E-3</v>
      </c>
      <c r="R580" s="4">
        <f t="shared" si="37"/>
        <v>-3.1997401874382255E-3</v>
      </c>
      <c r="S580" s="4">
        <f t="shared" si="37"/>
        <v>2.9473542284748539E-2</v>
      </c>
      <c r="T580" s="4">
        <f t="shared" si="37"/>
        <v>2.8869822242519945E-2</v>
      </c>
      <c r="U580" s="35"/>
      <c r="V580" s="35"/>
      <c r="W580" s="35"/>
      <c r="X580" s="35"/>
    </row>
    <row r="581" spans="4:24" x14ac:dyDescent="0.3">
      <c r="D581" s="23">
        <v>40423</v>
      </c>
      <c r="E581" s="5">
        <v>84.647934000000006</v>
      </c>
      <c r="F581" s="28">
        <v>56.207349999999998</v>
      </c>
      <c r="G581" s="28">
        <v>122.29</v>
      </c>
      <c r="H581" s="28">
        <v>39.911450000000002</v>
      </c>
      <c r="I581" s="28">
        <v>43.356409999999997</v>
      </c>
      <c r="J581" s="29"/>
      <c r="K581" s="29"/>
      <c r="L581" s="29"/>
      <c r="M581" s="29"/>
      <c r="N581" s="29"/>
      <c r="P581" s="4">
        <f t="shared" ref="P581:T596" si="38">LN(E581/E580)</f>
        <v>9.2687058145812639E-3</v>
      </c>
      <c r="Q581" s="4">
        <f t="shared" si="38"/>
        <v>-1.9435851166515431E-3</v>
      </c>
      <c r="R581" s="4">
        <f t="shared" si="38"/>
        <v>4.918445852569826E-3</v>
      </c>
      <c r="S581" s="4">
        <f t="shared" si="38"/>
        <v>1.1108679289002938E-2</v>
      </c>
      <c r="T581" s="4">
        <f t="shared" si="38"/>
        <v>1.0458497859963729E-2</v>
      </c>
      <c r="U581" s="35"/>
      <c r="V581" s="35"/>
      <c r="W581" s="35"/>
      <c r="X581" s="35"/>
    </row>
    <row r="582" spans="4:24" x14ac:dyDescent="0.3">
      <c r="D582" s="23">
        <v>40424</v>
      </c>
      <c r="E582" s="5">
        <v>85.745987</v>
      </c>
      <c r="F582" s="28">
        <v>56.104840000000003</v>
      </c>
      <c r="G582" s="28">
        <v>121.86</v>
      </c>
      <c r="H582" s="28">
        <v>40.57282</v>
      </c>
      <c r="I582" s="28">
        <v>43.931899999999999</v>
      </c>
      <c r="J582" s="29"/>
      <c r="K582" s="29"/>
      <c r="L582" s="29"/>
      <c r="M582" s="29"/>
      <c r="N582" s="29"/>
      <c r="P582" s="4">
        <f t="shared" si="38"/>
        <v>1.2888584215035153E-2</v>
      </c>
      <c r="Q582" s="4">
        <f t="shared" si="38"/>
        <v>-1.8254479494314241E-3</v>
      </c>
      <c r="R582" s="4">
        <f t="shared" si="38"/>
        <v>-3.5224283809302346E-3</v>
      </c>
      <c r="S582" s="4">
        <f t="shared" si="38"/>
        <v>1.6435134145363899E-2</v>
      </c>
      <c r="T582" s="4">
        <f t="shared" si="38"/>
        <v>1.3186149177675986E-2</v>
      </c>
      <c r="U582" s="35"/>
      <c r="V582" s="35"/>
      <c r="W582" s="35"/>
      <c r="X582" s="35"/>
    </row>
    <row r="583" spans="4:24" x14ac:dyDescent="0.3">
      <c r="D583" s="23">
        <v>40428</v>
      </c>
      <c r="E583" s="5">
        <v>84.779387999999997</v>
      </c>
      <c r="F583" s="28">
        <v>56.344070000000002</v>
      </c>
      <c r="G583" s="28">
        <v>122.7</v>
      </c>
      <c r="H583" s="28">
        <v>40.299460000000003</v>
      </c>
      <c r="I583" s="28">
        <v>43.457500000000003</v>
      </c>
      <c r="J583" s="29"/>
      <c r="K583" s="29"/>
      <c r="L583" s="29"/>
      <c r="M583" s="29"/>
      <c r="N583" s="29"/>
      <c r="P583" s="4">
        <f t="shared" si="38"/>
        <v>-1.1336838902346017E-2</v>
      </c>
      <c r="Q583" s="4">
        <f t="shared" si="38"/>
        <v>4.2549164936234651E-3</v>
      </c>
      <c r="R583" s="4">
        <f t="shared" si="38"/>
        <v>6.8695068965174003E-3</v>
      </c>
      <c r="S583" s="4">
        <f t="shared" si="38"/>
        <v>-6.7603149333128948E-3</v>
      </c>
      <c r="T583" s="4">
        <f t="shared" si="38"/>
        <v>-1.0857258664844225E-2</v>
      </c>
      <c r="U583" s="35"/>
      <c r="V583" s="35"/>
      <c r="W583" s="35"/>
      <c r="X583" s="35"/>
    </row>
    <row r="584" spans="4:24" x14ac:dyDescent="0.3">
      <c r="D584" s="23">
        <v>40429</v>
      </c>
      <c r="E584" s="5">
        <v>85.374808999999999</v>
      </c>
      <c r="F584" s="28">
        <v>56.186860000000003</v>
      </c>
      <c r="G584" s="28">
        <v>122.71</v>
      </c>
      <c r="H584" s="28">
        <v>40.784469999999999</v>
      </c>
      <c r="I584" s="28">
        <v>43.683030000000002</v>
      </c>
      <c r="J584" s="29"/>
      <c r="K584" s="29"/>
      <c r="L584" s="29"/>
      <c r="M584" s="29"/>
      <c r="N584" s="29"/>
      <c r="P584" s="4">
        <f t="shared" si="38"/>
        <v>6.9986334847946764E-3</v>
      </c>
      <c r="Q584" s="4">
        <f t="shared" si="38"/>
        <v>-2.7940780774942122E-3</v>
      </c>
      <c r="R584" s="4">
        <f t="shared" si="38"/>
        <v>8.1496271590677377E-5</v>
      </c>
      <c r="S584" s="4">
        <f t="shared" si="38"/>
        <v>1.1963302335324852E-2</v>
      </c>
      <c r="T584" s="4">
        <f t="shared" si="38"/>
        <v>5.1762481491017991E-3</v>
      </c>
      <c r="U584" s="35"/>
      <c r="V584" s="35"/>
      <c r="W584" s="35"/>
      <c r="X584" s="35"/>
    </row>
    <row r="585" spans="4:24" x14ac:dyDescent="0.3">
      <c r="D585" s="23">
        <v>40430</v>
      </c>
      <c r="E585" s="5">
        <v>85.769165000000001</v>
      </c>
      <c r="F585" s="28">
        <v>55.974969999999999</v>
      </c>
      <c r="G585" s="28">
        <v>121.56</v>
      </c>
      <c r="H585" s="28">
        <v>40.943199999999997</v>
      </c>
      <c r="I585" s="28">
        <v>43.900779999999997</v>
      </c>
      <c r="J585" s="29"/>
      <c r="K585" s="29"/>
      <c r="L585" s="29"/>
      <c r="M585" s="29"/>
      <c r="N585" s="29"/>
      <c r="P585" s="4">
        <f t="shared" si="38"/>
        <v>4.6084789166658518E-3</v>
      </c>
      <c r="Q585" s="4">
        <f t="shared" si="38"/>
        <v>-3.7782952020280983E-3</v>
      </c>
      <c r="R585" s="4">
        <f t="shared" si="38"/>
        <v>-9.415879939864015E-3</v>
      </c>
      <c r="S585" s="4">
        <f t="shared" si="38"/>
        <v>3.884368649704594E-3</v>
      </c>
      <c r="T585" s="4">
        <f t="shared" si="38"/>
        <v>4.9723904143809776E-3</v>
      </c>
      <c r="U585" s="35"/>
      <c r="V585" s="35"/>
      <c r="W585" s="35"/>
      <c r="X585" s="35"/>
    </row>
    <row r="586" spans="4:24" x14ac:dyDescent="0.3">
      <c r="D586" s="23">
        <v>40431</v>
      </c>
      <c r="E586" s="5">
        <v>86.202186999999995</v>
      </c>
      <c r="F586" s="28">
        <v>55.906640000000003</v>
      </c>
      <c r="G586" s="28">
        <v>121.73</v>
      </c>
      <c r="H586" s="28">
        <v>41.093110000000003</v>
      </c>
      <c r="I586" s="28">
        <v>44.087429999999998</v>
      </c>
      <c r="J586" s="29"/>
      <c r="K586" s="29"/>
      <c r="L586" s="29"/>
      <c r="M586" s="29"/>
      <c r="N586" s="29"/>
      <c r="P586" s="4">
        <f t="shared" si="38"/>
        <v>5.0359889612567139E-3</v>
      </c>
      <c r="Q586" s="4">
        <f t="shared" si="38"/>
        <v>-1.2214698822376393E-3</v>
      </c>
      <c r="R586" s="4">
        <f t="shared" si="38"/>
        <v>1.3975093729127394E-3</v>
      </c>
      <c r="S586" s="4">
        <f t="shared" si="38"/>
        <v>3.6547272022029818E-3</v>
      </c>
      <c r="T586" s="4">
        <f t="shared" si="38"/>
        <v>4.2426202322383777E-3</v>
      </c>
      <c r="U586" s="35"/>
      <c r="V586" s="35"/>
      <c r="W586" s="35"/>
      <c r="X586" s="35"/>
    </row>
    <row r="587" spans="4:24" x14ac:dyDescent="0.3">
      <c r="D587" s="23">
        <v>40434</v>
      </c>
      <c r="E587" s="5">
        <v>87.161017999999999</v>
      </c>
      <c r="F587" s="28">
        <v>56.05012</v>
      </c>
      <c r="G587" s="28">
        <v>121.62</v>
      </c>
      <c r="H587" s="28">
        <v>41.666289999999996</v>
      </c>
      <c r="I587" s="28">
        <v>44.647379999999998</v>
      </c>
      <c r="J587" s="29"/>
      <c r="K587" s="29"/>
      <c r="L587" s="29"/>
      <c r="M587" s="29"/>
      <c r="N587" s="29"/>
      <c r="P587" s="4">
        <f t="shared" si="38"/>
        <v>1.1061641100283869E-2</v>
      </c>
      <c r="Q587" s="4">
        <f t="shared" si="38"/>
        <v>2.5631338125747761E-3</v>
      </c>
      <c r="R587" s="4">
        <f t="shared" si="38"/>
        <v>-9.0404772954124333E-4</v>
      </c>
      <c r="S587" s="4">
        <f t="shared" si="38"/>
        <v>1.3851941046956778E-2</v>
      </c>
      <c r="T587" s="4">
        <f t="shared" si="38"/>
        <v>1.2620919180149171E-2</v>
      </c>
      <c r="U587" s="35"/>
      <c r="V587" s="35"/>
      <c r="W587" s="35"/>
      <c r="X587" s="35"/>
    </row>
    <row r="588" spans="4:24" x14ac:dyDescent="0.3">
      <c r="D588" s="23">
        <v>40435</v>
      </c>
      <c r="E588" s="5">
        <v>87.106887999999998</v>
      </c>
      <c r="F588" s="28">
        <v>56.132170000000002</v>
      </c>
      <c r="G588" s="28">
        <v>124.02</v>
      </c>
      <c r="H588" s="28">
        <v>41.842660000000002</v>
      </c>
      <c r="I588" s="28">
        <v>44.639600000000002</v>
      </c>
      <c r="J588" s="29"/>
      <c r="K588" s="29"/>
      <c r="L588" s="29"/>
      <c r="M588" s="29"/>
      <c r="N588" s="29"/>
      <c r="P588" s="4">
        <f t="shared" si="38"/>
        <v>-6.2122743060722958E-4</v>
      </c>
      <c r="Q588" s="4">
        <f t="shared" si="38"/>
        <v>1.4627979983423492E-3</v>
      </c>
      <c r="R588" s="4">
        <f t="shared" si="38"/>
        <v>1.954141322976817E-2</v>
      </c>
      <c r="S588" s="4">
        <f t="shared" si="38"/>
        <v>4.223984668311846E-3</v>
      </c>
      <c r="T588" s="4">
        <f t="shared" si="38"/>
        <v>-1.7426952999613791E-4</v>
      </c>
      <c r="U588" s="35"/>
      <c r="V588" s="35"/>
      <c r="W588" s="35"/>
      <c r="X588" s="35"/>
    </row>
    <row r="589" spans="4:24" x14ac:dyDescent="0.3">
      <c r="D589" s="23">
        <v>40436</v>
      </c>
      <c r="E589" s="5">
        <v>87.439407000000003</v>
      </c>
      <c r="F589" s="28">
        <v>56.077500000000001</v>
      </c>
      <c r="G589" s="28">
        <v>123.94</v>
      </c>
      <c r="H589" s="28">
        <v>42.107210000000002</v>
      </c>
      <c r="I589" s="28">
        <v>44.787350000000004</v>
      </c>
      <c r="J589" s="29"/>
      <c r="K589" s="29"/>
      <c r="L589" s="29"/>
      <c r="M589" s="29"/>
      <c r="N589" s="29"/>
      <c r="P589" s="4">
        <f t="shared" si="38"/>
        <v>3.8100998048786255E-3</v>
      </c>
      <c r="Q589" s="4">
        <f t="shared" si="38"/>
        <v>-9.7442589976051925E-4</v>
      </c>
      <c r="R589" s="4">
        <f t="shared" si="38"/>
        <v>-6.4526538777042927E-4</v>
      </c>
      <c r="S589" s="4">
        <f t="shared" si="38"/>
        <v>6.3025916709244824E-3</v>
      </c>
      <c r="T589" s="4">
        <f t="shared" si="38"/>
        <v>3.3043760172731845E-3</v>
      </c>
      <c r="U589" s="35"/>
      <c r="V589" s="35"/>
      <c r="W589" s="35"/>
      <c r="X589" s="35"/>
    </row>
    <row r="590" spans="4:24" x14ac:dyDescent="0.3">
      <c r="D590" s="23">
        <v>40437</v>
      </c>
      <c r="E590" s="5">
        <v>87.416190999999998</v>
      </c>
      <c r="F590" s="28">
        <v>55.988669999999999</v>
      </c>
      <c r="G590" s="28">
        <v>124.63</v>
      </c>
      <c r="H590" s="28">
        <v>42.274749999999997</v>
      </c>
      <c r="I590" s="28">
        <v>44.771810000000002</v>
      </c>
      <c r="J590" s="29"/>
      <c r="K590" s="29"/>
      <c r="L590" s="29"/>
      <c r="M590" s="29"/>
      <c r="N590" s="29"/>
      <c r="P590" s="4">
        <f t="shared" si="38"/>
        <v>-2.6554483130050173E-4</v>
      </c>
      <c r="Q590" s="4">
        <f t="shared" si="38"/>
        <v>-1.5853137232067355E-3</v>
      </c>
      <c r="R590" s="4">
        <f t="shared" si="38"/>
        <v>5.5517703043240687E-3</v>
      </c>
      <c r="S590" s="4">
        <f t="shared" si="38"/>
        <v>3.9709961740356957E-3</v>
      </c>
      <c r="T590" s="4">
        <f t="shared" si="38"/>
        <v>-3.4703318244528784E-4</v>
      </c>
      <c r="U590" s="35"/>
      <c r="V590" s="35"/>
      <c r="W590" s="35"/>
      <c r="X590" s="35"/>
    </row>
    <row r="591" spans="4:24" x14ac:dyDescent="0.3">
      <c r="D591" s="23">
        <v>40438</v>
      </c>
      <c r="E591" s="5">
        <v>87.448830000000001</v>
      </c>
      <c r="F591" s="28">
        <v>56.04336</v>
      </c>
      <c r="G591" s="28">
        <v>124.54</v>
      </c>
      <c r="H591" s="28">
        <v>42.417929999999998</v>
      </c>
      <c r="I591" s="28">
        <v>44.795140000000004</v>
      </c>
      <c r="J591" s="29"/>
      <c r="K591" s="29"/>
      <c r="L591" s="29"/>
      <c r="M591" s="29"/>
      <c r="N591" s="29"/>
      <c r="P591" s="4">
        <f t="shared" si="38"/>
        <v>3.7330508059739957E-4</v>
      </c>
      <c r="Q591" s="4">
        <f t="shared" si="38"/>
        <v>9.763280080576684E-4</v>
      </c>
      <c r="R591" s="4">
        <f t="shared" si="38"/>
        <v>-7.2239839397947878E-4</v>
      </c>
      <c r="S591" s="4">
        <f t="shared" si="38"/>
        <v>3.3811691023691174E-3</v>
      </c>
      <c r="T591" s="4">
        <f t="shared" si="38"/>
        <v>5.2095109920850054E-4</v>
      </c>
      <c r="U591" s="35"/>
      <c r="V591" s="35"/>
      <c r="W591" s="35"/>
      <c r="X591" s="35"/>
    </row>
    <row r="592" spans="4:24" x14ac:dyDescent="0.3">
      <c r="D592" s="23">
        <v>40441</v>
      </c>
      <c r="E592" s="5">
        <v>88.78595</v>
      </c>
      <c r="F592" s="28">
        <v>56.084319999999998</v>
      </c>
      <c r="G592" s="28">
        <v>124.87</v>
      </c>
      <c r="H592" s="28">
        <v>43.160420000000002</v>
      </c>
      <c r="I592" s="28">
        <v>45.533940000000001</v>
      </c>
      <c r="J592" s="29"/>
      <c r="K592" s="29"/>
      <c r="L592" s="29"/>
      <c r="M592" s="29"/>
      <c r="N592" s="29"/>
      <c r="P592" s="4">
        <f t="shared" si="38"/>
        <v>1.5174594457830946E-2</v>
      </c>
      <c r="Q592" s="4">
        <f t="shared" si="38"/>
        <v>7.3059572483682609E-4</v>
      </c>
      <c r="R592" s="4">
        <f t="shared" si="38"/>
        <v>2.6462466827478835E-3</v>
      </c>
      <c r="S592" s="4">
        <f t="shared" si="38"/>
        <v>1.7352721366237021E-2</v>
      </c>
      <c r="T592" s="4">
        <f t="shared" si="38"/>
        <v>1.6358330558827214E-2</v>
      </c>
      <c r="U592" s="35"/>
      <c r="V592" s="35"/>
      <c r="W592" s="35"/>
      <c r="X592" s="35"/>
    </row>
    <row r="593" spans="4:24" x14ac:dyDescent="0.3">
      <c r="D593" s="23">
        <v>40442</v>
      </c>
      <c r="E593" s="5">
        <v>88.607162000000002</v>
      </c>
      <c r="F593" s="28">
        <v>56.289380000000001</v>
      </c>
      <c r="G593" s="28">
        <v>126.01</v>
      </c>
      <c r="H593" s="28">
        <v>43.151560000000003</v>
      </c>
      <c r="I593" s="28">
        <v>45.425060000000002</v>
      </c>
      <c r="J593" s="29"/>
      <c r="K593" s="29"/>
      <c r="L593" s="29"/>
      <c r="M593" s="29"/>
      <c r="N593" s="29"/>
      <c r="P593" s="4">
        <f t="shared" si="38"/>
        <v>-2.015727200692648E-3</v>
      </c>
      <c r="Q593" s="4">
        <f t="shared" si="38"/>
        <v>3.6496124557780134E-3</v>
      </c>
      <c r="R593" s="4">
        <f t="shared" si="38"/>
        <v>9.0880727545479389E-3</v>
      </c>
      <c r="S593" s="4">
        <f t="shared" si="38"/>
        <v>-2.0530174446505925E-4</v>
      </c>
      <c r="T593" s="4">
        <f t="shared" si="38"/>
        <v>-2.3940468123757491E-3</v>
      </c>
      <c r="U593" s="35"/>
      <c r="V593" s="35"/>
      <c r="W593" s="35"/>
      <c r="X593" s="35"/>
    </row>
    <row r="594" spans="4:24" x14ac:dyDescent="0.3">
      <c r="D594" s="23">
        <v>40443</v>
      </c>
      <c r="E594" s="5">
        <v>88.171829000000002</v>
      </c>
      <c r="F594" s="28">
        <v>56.337240000000001</v>
      </c>
      <c r="G594" s="28">
        <v>126.2</v>
      </c>
      <c r="H594" s="28">
        <v>43.036670000000001</v>
      </c>
      <c r="I594" s="28">
        <v>45.183990000000001</v>
      </c>
      <c r="J594" s="29"/>
      <c r="K594" s="29"/>
      <c r="L594" s="29"/>
      <c r="M594" s="29"/>
      <c r="N594" s="29"/>
      <c r="P594" s="4">
        <f t="shared" si="38"/>
        <v>-4.9251766574713715E-3</v>
      </c>
      <c r="Q594" s="4">
        <f t="shared" si="38"/>
        <v>8.4988793734221157E-4</v>
      </c>
      <c r="R594" s="4">
        <f t="shared" si="38"/>
        <v>1.506681225511049E-3</v>
      </c>
      <c r="S594" s="4">
        <f t="shared" si="38"/>
        <v>-2.6660268588945741E-3</v>
      </c>
      <c r="T594" s="4">
        <f t="shared" si="38"/>
        <v>-5.3211145864486501E-3</v>
      </c>
      <c r="U594" s="35"/>
      <c r="V594" s="35"/>
      <c r="W594" s="35"/>
      <c r="X594" s="35"/>
    </row>
    <row r="595" spans="4:24" x14ac:dyDescent="0.3">
      <c r="D595" s="23">
        <v>40444</v>
      </c>
      <c r="E595" s="5">
        <v>87.456635000000006</v>
      </c>
      <c r="F595" s="28">
        <v>56.350909999999999</v>
      </c>
      <c r="G595" s="28">
        <v>126.3</v>
      </c>
      <c r="H595" s="28">
        <v>43.018990000000002</v>
      </c>
      <c r="I595" s="28">
        <v>44.795140000000004</v>
      </c>
      <c r="J595" s="29"/>
      <c r="K595" s="29"/>
      <c r="L595" s="29"/>
      <c r="M595" s="29"/>
      <c r="N595" s="29"/>
      <c r="P595" s="4">
        <f t="shared" si="38"/>
        <v>-8.1444423877236067E-3</v>
      </c>
      <c r="Q595" s="4">
        <f t="shared" si="38"/>
        <v>2.426164608622256E-4</v>
      </c>
      <c r="R595" s="4">
        <f t="shared" si="38"/>
        <v>7.9207924933261977E-4</v>
      </c>
      <c r="S595" s="4">
        <f t="shared" si="38"/>
        <v>-4.1089686021237871E-4</v>
      </c>
      <c r="T595" s="4">
        <f t="shared" si="38"/>
        <v>-8.6431691600028331E-3</v>
      </c>
      <c r="U595" s="35"/>
      <c r="V595" s="35"/>
      <c r="W595" s="35"/>
      <c r="X595" s="35"/>
    </row>
    <row r="596" spans="4:24" x14ac:dyDescent="0.3">
      <c r="D596" s="23">
        <v>40445</v>
      </c>
      <c r="E596" s="5">
        <v>89.260200999999995</v>
      </c>
      <c r="F596" s="28">
        <v>56.221049999999998</v>
      </c>
      <c r="G596" s="28">
        <v>126.69</v>
      </c>
      <c r="H596" s="28">
        <v>43.894039999999997</v>
      </c>
      <c r="I596" s="28">
        <v>45.746499999999997</v>
      </c>
      <c r="J596" s="29"/>
      <c r="K596" s="29"/>
      <c r="L596" s="29"/>
      <c r="M596" s="29"/>
      <c r="N596" s="29"/>
      <c r="P596" s="4">
        <f t="shared" si="38"/>
        <v>2.0412640533823367E-2</v>
      </c>
      <c r="Q596" s="4">
        <f t="shared" si="38"/>
        <v>-2.307147492198985E-3</v>
      </c>
      <c r="R596" s="4">
        <f t="shared" si="38"/>
        <v>3.0831282575164167E-3</v>
      </c>
      <c r="S596" s="4">
        <f t="shared" si="38"/>
        <v>2.0136901654895623E-2</v>
      </c>
      <c r="T596" s="4">
        <f t="shared" si="38"/>
        <v>2.1015634669337452E-2</v>
      </c>
      <c r="U596" s="35"/>
      <c r="V596" s="35"/>
      <c r="W596" s="35"/>
      <c r="X596" s="35"/>
    </row>
    <row r="597" spans="4:24" x14ac:dyDescent="0.3">
      <c r="D597" s="23">
        <v>40448</v>
      </c>
      <c r="E597" s="5">
        <v>88.832603000000006</v>
      </c>
      <c r="F597" s="28">
        <v>56.460250000000002</v>
      </c>
      <c r="G597" s="28">
        <v>126.72</v>
      </c>
      <c r="H597" s="28">
        <v>43.655380000000001</v>
      </c>
      <c r="I597" s="28">
        <v>45.55106</v>
      </c>
      <c r="J597" s="29"/>
      <c r="K597" s="29"/>
      <c r="L597" s="29"/>
      <c r="M597" s="29"/>
      <c r="N597" s="29"/>
      <c r="P597" s="4">
        <f t="shared" ref="P597:T612" si="39">LN(E597/E596)</f>
        <v>-4.8019775314946597E-3</v>
      </c>
      <c r="Q597" s="4">
        <f t="shared" si="39"/>
        <v>4.2456087975927303E-3</v>
      </c>
      <c r="R597" s="4">
        <f t="shared" si="39"/>
        <v>2.3677045215389161E-4</v>
      </c>
      <c r="S597" s="4">
        <f t="shared" si="39"/>
        <v>-5.4520199259090385E-3</v>
      </c>
      <c r="T597" s="4">
        <f t="shared" si="39"/>
        <v>-4.281391496982063E-3</v>
      </c>
      <c r="U597" s="35"/>
      <c r="V597" s="35"/>
      <c r="W597" s="35"/>
      <c r="X597" s="35"/>
    </row>
    <row r="598" spans="4:24" x14ac:dyDescent="0.3">
      <c r="D598" s="23">
        <v>40449</v>
      </c>
      <c r="E598" s="5">
        <v>89.143562000000003</v>
      </c>
      <c r="F598" s="28">
        <v>56.583269999999999</v>
      </c>
      <c r="G598" s="28">
        <v>127.85</v>
      </c>
      <c r="H598" s="28">
        <v>43.637700000000002</v>
      </c>
      <c r="I598" s="28">
        <v>45.80903</v>
      </c>
      <c r="J598" s="29"/>
      <c r="K598" s="29"/>
      <c r="L598" s="29"/>
      <c r="M598" s="29"/>
      <c r="N598" s="29"/>
      <c r="P598" s="4">
        <f t="shared" si="39"/>
        <v>3.4943928185098543E-3</v>
      </c>
      <c r="Q598" s="4">
        <f t="shared" si="39"/>
        <v>2.1765077478840197E-3</v>
      </c>
      <c r="R598" s="4">
        <f t="shared" si="39"/>
        <v>8.8777736710799315E-3</v>
      </c>
      <c r="S598" s="4">
        <f t="shared" si="39"/>
        <v>-4.0507220599268409E-4</v>
      </c>
      <c r="T598" s="4">
        <f t="shared" si="39"/>
        <v>5.6473386925788398E-3</v>
      </c>
      <c r="U598" s="35"/>
      <c r="V598" s="35"/>
      <c r="W598" s="35"/>
      <c r="X598" s="35"/>
    </row>
    <row r="599" spans="4:24" x14ac:dyDescent="0.3">
      <c r="D599" s="23">
        <v>40450</v>
      </c>
      <c r="E599" s="5">
        <v>88.988074999999995</v>
      </c>
      <c r="F599" s="28">
        <v>56.521729999999998</v>
      </c>
      <c r="G599" s="28">
        <v>127.95</v>
      </c>
      <c r="H599" s="28">
        <v>43.566989999999997</v>
      </c>
      <c r="I599" s="28">
        <v>45.730849999999997</v>
      </c>
      <c r="J599" s="29"/>
      <c r="K599" s="29"/>
      <c r="L599" s="29"/>
      <c r="M599" s="29"/>
      <c r="N599" s="29"/>
      <c r="P599" s="4">
        <f t="shared" si="39"/>
        <v>-1.7457543433374151E-3</v>
      </c>
      <c r="Q599" s="4">
        <f t="shared" si="39"/>
        <v>-1.0881924949874922E-3</v>
      </c>
      <c r="R599" s="4">
        <f t="shared" si="39"/>
        <v>7.818608686022961E-4</v>
      </c>
      <c r="S599" s="4">
        <f t="shared" si="39"/>
        <v>-1.621702123975136E-3</v>
      </c>
      <c r="T599" s="4">
        <f t="shared" si="39"/>
        <v>-1.7081084005875996E-3</v>
      </c>
      <c r="U599" s="35"/>
      <c r="V599" s="35"/>
      <c r="W599" s="35"/>
      <c r="X599" s="35"/>
    </row>
    <row r="600" spans="4:24" x14ac:dyDescent="0.3">
      <c r="D600" s="23">
        <v>40451</v>
      </c>
      <c r="E600" s="5">
        <v>88.723800999999995</v>
      </c>
      <c r="F600" s="28">
        <v>56.494410000000002</v>
      </c>
      <c r="G600" s="28">
        <v>127.91</v>
      </c>
      <c r="H600" s="28">
        <v>43.372540000000001</v>
      </c>
      <c r="I600" s="28">
        <v>45.62923</v>
      </c>
      <c r="J600" s="29"/>
      <c r="K600" s="29"/>
      <c r="L600" s="29"/>
      <c r="M600" s="29"/>
      <c r="N600" s="29"/>
      <c r="P600" s="4">
        <f t="shared" si="39"/>
        <v>-2.9741872153700847E-3</v>
      </c>
      <c r="Q600" s="4">
        <f t="shared" si="39"/>
        <v>-4.8347077739788587E-4</v>
      </c>
      <c r="R600" s="4">
        <f t="shared" si="39"/>
        <v>-3.1267099449604115E-4</v>
      </c>
      <c r="S600" s="4">
        <f t="shared" si="39"/>
        <v>-4.4732315493775723E-3</v>
      </c>
      <c r="T600" s="4">
        <f t="shared" si="39"/>
        <v>-2.224604923915385E-3</v>
      </c>
      <c r="U600" s="35"/>
      <c r="V600" s="35"/>
      <c r="W600" s="35"/>
      <c r="X600" s="35"/>
    </row>
    <row r="601" spans="4:24" x14ac:dyDescent="0.3">
      <c r="D601" s="23">
        <v>40452</v>
      </c>
      <c r="E601" s="5">
        <v>89.096947</v>
      </c>
      <c r="F601" s="28">
        <v>56.448459999999997</v>
      </c>
      <c r="G601" s="28">
        <v>128.91</v>
      </c>
      <c r="H601" s="28">
        <v>43.319499999999998</v>
      </c>
      <c r="I601" s="28">
        <v>45.832470000000001</v>
      </c>
      <c r="J601" s="29"/>
      <c r="K601" s="29"/>
      <c r="L601" s="29"/>
      <c r="M601" s="29"/>
      <c r="N601" s="29"/>
      <c r="P601" s="4">
        <f t="shared" si="39"/>
        <v>4.1968842433497029E-3</v>
      </c>
      <c r="Q601" s="4">
        <f t="shared" si="39"/>
        <v>-8.1368576051303783E-4</v>
      </c>
      <c r="R601" s="4">
        <f t="shared" si="39"/>
        <v>7.7875948437117109E-3</v>
      </c>
      <c r="S601" s="4">
        <f t="shared" si="39"/>
        <v>-1.223641908024411E-3</v>
      </c>
      <c r="T601" s="4">
        <f t="shared" si="39"/>
        <v>4.4442719635731298E-3</v>
      </c>
      <c r="U601" s="35"/>
      <c r="V601" s="35"/>
      <c r="W601" s="35"/>
      <c r="X601" s="35"/>
    </row>
    <row r="602" spans="4:24" x14ac:dyDescent="0.3">
      <c r="D602" s="23">
        <v>40455</v>
      </c>
      <c r="E602" s="5">
        <v>88.428368000000006</v>
      </c>
      <c r="F602" s="28">
        <v>56.59243</v>
      </c>
      <c r="G602" s="28">
        <v>128.46</v>
      </c>
      <c r="H602" s="28">
        <v>42.851059999999997</v>
      </c>
      <c r="I602" s="28">
        <v>45.425980000000003</v>
      </c>
      <c r="J602" s="29"/>
      <c r="K602" s="29"/>
      <c r="L602" s="29"/>
      <c r="M602" s="29"/>
      <c r="N602" s="29"/>
      <c r="P602" s="4">
        <f t="shared" si="39"/>
        <v>-7.5322458767939004E-3</v>
      </c>
      <c r="Q602" s="4">
        <f t="shared" si="39"/>
        <v>2.5472212372675438E-3</v>
      </c>
      <c r="R602" s="4">
        <f t="shared" si="39"/>
        <v>-3.496914625366907E-3</v>
      </c>
      <c r="S602" s="4">
        <f t="shared" si="39"/>
        <v>-1.0872497859187652E-2</v>
      </c>
      <c r="T602" s="4">
        <f t="shared" si="39"/>
        <v>-8.9086038248393489E-3</v>
      </c>
      <c r="U602" s="35"/>
      <c r="V602" s="35"/>
      <c r="W602" s="35"/>
      <c r="X602" s="35"/>
    </row>
    <row r="603" spans="4:24" x14ac:dyDescent="0.3">
      <c r="D603" s="23">
        <v>40456</v>
      </c>
      <c r="E603" s="5">
        <v>90.208588000000006</v>
      </c>
      <c r="F603" s="28">
        <v>56.60615</v>
      </c>
      <c r="G603" s="28">
        <v>130.99</v>
      </c>
      <c r="H603" s="28">
        <v>43.894039999999997</v>
      </c>
      <c r="I603" s="28">
        <v>46.371870000000001</v>
      </c>
      <c r="J603" s="29"/>
      <c r="K603" s="29"/>
      <c r="L603" s="29"/>
      <c r="M603" s="29"/>
      <c r="N603" s="29"/>
      <c r="P603" s="4">
        <f t="shared" si="39"/>
        <v>1.9931810037363825E-2</v>
      </c>
      <c r="Q603" s="4">
        <f t="shared" si="39"/>
        <v>2.4240586882239056E-4</v>
      </c>
      <c r="R603" s="4">
        <f t="shared" si="39"/>
        <v>1.9503412579911204E-2</v>
      </c>
      <c r="S603" s="4">
        <f t="shared" si="39"/>
        <v>2.404816557246656E-2</v>
      </c>
      <c r="T603" s="4">
        <f t="shared" si="39"/>
        <v>2.0608837315736931E-2</v>
      </c>
      <c r="U603" s="35"/>
      <c r="V603" s="35"/>
      <c r="W603" s="35"/>
      <c r="X603" s="35"/>
    </row>
    <row r="604" spans="4:24" x14ac:dyDescent="0.3">
      <c r="D604" s="23">
        <v>40457</v>
      </c>
      <c r="E604" s="5">
        <v>90.200835999999995</v>
      </c>
      <c r="F604" s="28">
        <v>56.736310000000003</v>
      </c>
      <c r="G604" s="28">
        <v>131.81</v>
      </c>
      <c r="H604" s="28">
        <v>43.51397</v>
      </c>
      <c r="I604" s="28">
        <v>46.324959999999997</v>
      </c>
      <c r="J604" s="29"/>
      <c r="K604" s="29"/>
      <c r="L604" s="29"/>
      <c r="M604" s="29"/>
      <c r="N604" s="29"/>
      <c r="P604" s="4">
        <f t="shared" si="39"/>
        <v>-8.593786103743791E-5</v>
      </c>
      <c r="Q604" s="4">
        <f t="shared" si="39"/>
        <v>2.2967572296767888E-3</v>
      </c>
      <c r="R604" s="4">
        <f t="shared" si="39"/>
        <v>6.2405073148167735E-3</v>
      </c>
      <c r="S604" s="4">
        <f t="shared" si="39"/>
        <v>-8.6965118040448521E-3</v>
      </c>
      <c r="T604" s="4">
        <f t="shared" si="39"/>
        <v>-1.0121166819723102E-3</v>
      </c>
      <c r="U604" s="35"/>
      <c r="V604" s="35"/>
      <c r="W604" s="35"/>
      <c r="X604" s="35"/>
    </row>
    <row r="605" spans="4:24" x14ac:dyDescent="0.3">
      <c r="D605" s="23">
        <v>40458</v>
      </c>
      <c r="E605" s="5">
        <v>90.091956999999994</v>
      </c>
      <c r="F605" s="28">
        <v>56.832259999999998</v>
      </c>
      <c r="G605" s="28">
        <v>130.37</v>
      </c>
      <c r="H605" s="28">
        <v>43.673079999999999</v>
      </c>
      <c r="I605" s="28">
        <v>46.262430000000002</v>
      </c>
      <c r="J605" s="29"/>
      <c r="K605" s="29"/>
      <c r="L605" s="29"/>
      <c r="M605" s="29"/>
      <c r="N605" s="29"/>
      <c r="P605" s="4">
        <f t="shared" si="39"/>
        <v>-1.2078021691741066E-3</v>
      </c>
      <c r="Q605" s="4">
        <f t="shared" si="39"/>
        <v>1.6897284667677231E-3</v>
      </c>
      <c r="R605" s="4">
        <f t="shared" si="39"/>
        <v>-1.0984930049686946E-2</v>
      </c>
      <c r="S605" s="4">
        <f t="shared" si="39"/>
        <v>3.6498580151860705E-3</v>
      </c>
      <c r="T605" s="4">
        <f t="shared" si="39"/>
        <v>-1.3507240998353351E-3</v>
      </c>
      <c r="U605" s="35"/>
      <c r="V605" s="35"/>
      <c r="W605" s="35"/>
      <c r="X605" s="35"/>
    </row>
    <row r="606" spans="4:24" x14ac:dyDescent="0.3">
      <c r="D606" s="23">
        <v>40459</v>
      </c>
      <c r="E606" s="5">
        <v>90.597320999999994</v>
      </c>
      <c r="F606" s="28">
        <v>56.763750000000002</v>
      </c>
      <c r="G606" s="28">
        <v>131.66</v>
      </c>
      <c r="H606" s="28">
        <v>43.973599999999998</v>
      </c>
      <c r="I606" s="28">
        <v>46.575119999999998</v>
      </c>
      <c r="J606" s="29"/>
      <c r="K606" s="29"/>
      <c r="L606" s="29"/>
      <c r="M606" s="29"/>
      <c r="N606" s="29"/>
      <c r="P606" s="4">
        <f t="shared" si="39"/>
        <v>5.5937499261859347E-3</v>
      </c>
      <c r="Q606" s="4">
        <f t="shared" si="39"/>
        <v>-1.2062044838798266E-3</v>
      </c>
      <c r="R606" s="4">
        <f t="shared" si="39"/>
        <v>9.846280365043281E-3</v>
      </c>
      <c r="S606" s="4">
        <f t="shared" si="39"/>
        <v>6.857559868555416E-3</v>
      </c>
      <c r="T606" s="4">
        <f t="shared" si="39"/>
        <v>6.7363083673026656E-3</v>
      </c>
      <c r="U606" s="35"/>
      <c r="V606" s="35"/>
      <c r="W606" s="35"/>
      <c r="X606" s="35"/>
    </row>
    <row r="607" spans="4:24" x14ac:dyDescent="0.3">
      <c r="D607" s="23">
        <v>40462</v>
      </c>
      <c r="E607" s="5">
        <v>90.682822999999999</v>
      </c>
      <c r="F607" s="28">
        <v>56.743180000000002</v>
      </c>
      <c r="G607" s="28">
        <v>132.29</v>
      </c>
      <c r="H607" s="28">
        <v>43.991259999999997</v>
      </c>
      <c r="I607" s="28">
        <v>46.645470000000003</v>
      </c>
      <c r="J607" s="29"/>
      <c r="K607" s="29"/>
      <c r="L607" s="29"/>
      <c r="M607" s="29"/>
      <c r="N607" s="29"/>
      <c r="P607" s="4">
        <f t="shared" si="39"/>
        <v>9.4331353068939411E-4</v>
      </c>
      <c r="Q607" s="4">
        <f t="shared" si="39"/>
        <v>-3.6244483442875565E-4</v>
      </c>
      <c r="R607" s="4">
        <f t="shared" si="39"/>
        <v>4.7736404345581091E-3</v>
      </c>
      <c r="S607" s="4">
        <f t="shared" si="39"/>
        <v>4.0152397758066517E-4</v>
      </c>
      <c r="T607" s="4">
        <f t="shared" si="39"/>
        <v>1.5093234950585813E-3</v>
      </c>
      <c r="U607" s="35"/>
      <c r="V607" s="35"/>
      <c r="W607" s="35"/>
      <c r="X607" s="35"/>
    </row>
    <row r="608" spans="4:24" x14ac:dyDescent="0.3">
      <c r="D608" s="23">
        <v>40463</v>
      </c>
      <c r="E608" s="5">
        <v>90.962661999999995</v>
      </c>
      <c r="F608" s="28">
        <v>56.688360000000003</v>
      </c>
      <c r="G608" s="28">
        <v>131.96</v>
      </c>
      <c r="H608" s="28">
        <v>44.291789999999999</v>
      </c>
      <c r="I608" s="28">
        <v>46.809640000000002</v>
      </c>
      <c r="J608" s="29"/>
      <c r="K608" s="29"/>
      <c r="L608" s="29"/>
      <c r="M608" s="29"/>
      <c r="N608" s="29"/>
      <c r="P608" s="4">
        <f t="shared" si="39"/>
        <v>3.0811580192967331E-3</v>
      </c>
      <c r="Q608" s="4">
        <f t="shared" si="39"/>
        <v>-9.6657427498621532E-4</v>
      </c>
      <c r="R608" s="4">
        <f t="shared" si="39"/>
        <v>-2.4976361139078958E-3</v>
      </c>
      <c r="S608" s="4">
        <f t="shared" si="39"/>
        <v>6.8083547382821819E-3</v>
      </c>
      <c r="T608" s="4">
        <f t="shared" si="39"/>
        <v>3.5133481490932927E-3</v>
      </c>
      <c r="U608" s="35"/>
      <c r="V608" s="35"/>
      <c r="W608" s="35"/>
      <c r="X608" s="35"/>
    </row>
    <row r="609" spans="4:24" x14ac:dyDescent="0.3">
      <c r="D609" s="23">
        <v>40464</v>
      </c>
      <c r="E609" s="5">
        <v>91.670067000000003</v>
      </c>
      <c r="F609" s="28">
        <v>56.777410000000003</v>
      </c>
      <c r="G609" s="28">
        <v>134.07</v>
      </c>
      <c r="H609" s="28">
        <v>44.654170000000001</v>
      </c>
      <c r="I609" s="28">
        <v>47.177050000000001</v>
      </c>
      <c r="J609" s="29"/>
      <c r="K609" s="29"/>
      <c r="L609" s="29"/>
      <c r="M609" s="29"/>
      <c r="N609" s="29"/>
      <c r="P609" s="4">
        <f t="shared" si="39"/>
        <v>7.7467882306219262E-3</v>
      </c>
      <c r="Q609" s="4">
        <f t="shared" si="39"/>
        <v>1.5696366980658767E-3</v>
      </c>
      <c r="R609" s="4">
        <f t="shared" si="39"/>
        <v>1.5863205253088937E-2</v>
      </c>
      <c r="S609" s="4">
        <f t="shared" si="39"/>
        <v>8.1483634566673641E-3</v>
      </c>
      <c r="T609" s="4">
        <f t="shared" si="39"/>
        <v>7.8183809123710916E-3</v>
      </c>
      <c r="U609" s="35"/>
      <c r="V609" s="35"/>
      <c r="W609" s="35"/>
      <c r="X609" s="35"/>
    </row>
    <row r="610" spans="4:24" x14ac:dyDescent="0.3">
      <c r="D610" s="23">
        <v>40465</v>
      </c>
      <c r="E610" s="5">
        <v>91.312507999999994</v>
      </c>
      <c r="F610" s="28">
        <v>56.558129999999998</v>
      </c>
      <c r="G610" s="28">
        <v>134.75</v>
      </c>
      <c r="H610" s="28">
        <v>44.565800000000003</v>
      </c>
      <c r="I610" s="28">
        <v>47.051969999999997</v>
      </c>
      <c r="J610" s="29"/>
      <c r="K610" s="29"/>
      <c r="L610" s="29"/>
      <c r="M610" s="29"/>
      <c r="N610" s="29"/>
      <c r="P610" s="4">
        <f t="shared" si="39"/>
        <v>-3.9081257337909821E-3</v>
      </c>
      <c r="Q610" s="4">
        <f t="shared" si="39"/>
        <v>-3.8695765444437939E-3</v>
      </c>
      <c r="R610" s="4">
        <f t="shared" si="39"/>
        <v>5.0591581756367337E-3</v>
      </c>
      <c r="S610" s="4">
        <f t="shared" si="39"/>
        <v>-1.980947290121369E-3</v>
      </c>
      <c r="T610" s="4">
        <f t="shared" si="39"/>
        <v>-2.6548100248483496E-3</v>
      </c>
      <c r="U610" s="35"/>
      <c r="V610" s="35"/>
      <c r="W610" s="35"/>
      <c r="X610" s="35"/>
    </row>
    <row r="611" spans="4:24" x14ac:dyDescent="0.3">
      <c r="D611" s="23">
        <v>40466</v>
      </c>
      <c r="E611" s="5">
        <v>91.499054000000001</v>
      </c>
      <c r="F611" s="28">
        <v>56.427909999999997</v>
      </c>
      <c r="G611" s="28">
        <v>133.68</v>
      </c>
      <c r="H611" s="28">
        <v>45.51155</v>
      </c>
      <c r="I611" s="28">
        <v>47.091050000000003</v>
      </c>
      <c r="J611" s="29"/>
      <c r="K611" s="29"/>
      <c r="L611" s="29"/>
      <c r="M611" s="29"/>
      <c r="N611" s="29"/>
      <c r="P611" s="4">
        <f t="shared" si="39"/>
        <v>2.0408563080760726E-3</v>
      </c>
      <c r="Q611" s="4">
        <f t="shared" si="39"/>
        <v>-2.3050645488309684E-3</v>
      </c>
      <c r="R611" s="4">
        <f t="shared" si="39"/>
        <v>-7.9723255019682367E-3</v>
      </c>
      <c r="S611" s="4">
        <f t="shared" si="39"/>
        <v>2.0999391168629828E-2</v>
      </c>
      <c r="T611" s="4">
        <f t="shared" si="39"/>
        <v>8.3022622908736549E-4</v>
      </c>
      <c r="U611" s="35"/>
      <c r="V611" s="35"/>
      <c r="W611" s="35"/>
      <c r="X611" s="35"/>
    </row>
    <row r="612" spans="4:24" x14ac:dyDescent="0.3">
      <c r="D612" s="23">
        <v>40469</v>
      </c>
      <c r="E612" s="5">
        <v>91.949959000000007</v>
      </c>
      <c r="F612" s="28">
        <v>56.64038</v>
      </c>
      <c r="G612" s="28">
        <v>134.28</v>
      </c>
      <c r="H612" s="28">
        <v>45.343629999999997</v>
      </c>
      <c r="I612" s="28">
        <v>47.349020000000003</v>
      </c>
      <c r="J612" s="29"/>
      <c r="K612" s="29"/>
      <c r="L612" s="29"/>
      <c r="M612" s="29"/>
      <c r="N612" s="29"/>
      <c r="P612" s="4">
        <f t="shared" si="39"/>
        <v>4.9158717255072346E-3</v>
      </c>
      <c r="Q612" s="4">
        <f t="shared" si="39"/>
        <v>3.7582641443833194E-3</v>
      </c>
      <c r="R612" s="4">
        <f t="shared" si="39"/>
        <v>4.4782878246957519E-3</v>
      </c>
      <c r="S612" s="4">
        <f t="shared" si="39"/>
        <v>-3.6964362670316255E-3</v>
      </c>
      <c r="T612" s="4">
        <f t="shared" si="39"/>
        <v>5.4631607455767929E-3</v>
      </c>
      <c r="U612" s="35"/>
      <c r="V612" s="35"/>
      <c r="W612" s="35"/>
      <c r="X612" s="35"/>
    </row>
    <row r="613" spans="4:24" x14ac:dyDescent="0.3">
      <c r="D613" s="23">
        <v>40470</v>
      </c>
      <c r="E613" s="5">
        <v>90.744995000000003</v>
      </c>
      <c r="F613" s="28">
        <v>56.722610000000003</v>
      </c>
      <c r="G613" s="28">
        <v>130.11000000000001</v>
      </c>
      <c r="H613" s="28">
        <v>44.919359999999998</v>
      </c>
      <c r="I613" s="28">
        <v>46.661110000000001</v>
      </c>
      <c r="J613" s="29"/>
      <c r="K613" s="29"/>
      <c r="L613" s="29"/>
      <c r="M613" s="29"/>
      <c r="N613" s="29"/>
      <c r="P613" s="4">
        <f t="shared" ref="P613:T628" si="40">LN(E613/E612)</f>
        <v>-1.3191185046814918E-2</v>
      </c>
      <c r="Q613" s="4">
        <f t="shared" si="40"/>
        <v>1.4507382774935477E-3</v>
      </c>
      <c r="R613" s="4">
        <f t="shared" si="40"/>
        <v>-3.1546925596449504E-2</v>
      </c>
      <c r="S613" s="4">
        <f t="shared" si="40"/>
        <v>-9.4008214126928592E-3</v>
      </c>
      <c r="T613" s="4">
        <f t="shared" si="40"/>
        <v>-1.4635067057146893E-2</v>
      </c>
      <c r="U613" s="35"/>
      <c r="V613" s="35"/>
      <c r="W613" s="35"/>
      <c r="X613" s="35"/>
    </row>
    <row r="614" spans="4:24" x14ac:dyDescent="0.3">
      <c r="D614" s="23">
        <v>40471</v>
      </c>
      <c r="E614" s="5">
        <v>91.631225999999998</v>
      </c>
      <c r="F614" s="28">
        <v>56.702030000000001</v>
      </c>
      <c r="G614" s="28">
        <v>131.32</v>
      </c>
      <c r="H614" s="28">
        <v>45.246389999999998</v>
      </c>
      <c r="I614" s="28">
        <v>47.13015</v>
      </c>
      <c r="J614" s="29"/>
      <c r="K614" s="29"/>
      <c r="L614" s="29"/>
      <c r="M614" s="29"/>
      <c r="N614" s="29"/>
      <c r="P614" s="4">
        <f t="shared" si="40"/>
        <v>9.7187886761174909E-3</v>
      </c>
      <c r="Q614" s="4">
        <f t="shared" si="40"/>
        <v>-3.628841180513268E-4</v>
      </c>
      <c r="R614" s="4">
        <f t="shared" si="40"/>
        <v>9.2568461180071795E-3</v>
      </c>
      <c r="S614" s="4">
        <f t="shared" si="40"/>
        <v>7.2540057403530939E-3</v>
      </c>
      <c r="T614" s="4">
        <f t="shared" si="40"/>
        <v>1.0001868193703982E-2</v>
      </c>
      <c r="U614" s="35"/>
      <c r="V614" s="35"/>
      <c r="W614" s="35"/>
      <c r="X614" s="35"/>
    </row>
    <row r="615" spans="4:24" x14ac:dyDescent="0.3">
      <c r="D615" s="23">
        <v>40472</v>
      </c>
      <c r="E615" s="5">
        <v>91.833327999999995</v>
      </c>
      <c r="F615" s="28">
        <v>56.6541</v>
      </c>
      <c r="G615" s="28">
        <v>129.47</v>
      </c>
      <c r="H615" s="28">
        <v>45.334789999999998</v>
      </c>
      <c r="I615" s="28">
        <v>47.208320000000001</v>
      </c>
      <c r="J615" s="29"/>
      <c r="K615" s="29"/>
      <c r="L615" s="29"/>
      <c r="M615" s="29"/>
      <c r="N615" s="29"/>
      <c r="P615" s="4">
        <f t="shared" si="40"/>
        <v>2.2031730636073105E-3</v>
      </c>
      <c r="Q615" s="4">
        <f t="shared" si="40"/>
        <v>-8.4565347910785043E-4</v>
      </c>
      <c r="R615" s="4">
        <f t="shared" si="40"/>
        <v>-1.4187898562836006E-2</v>
      </c>
      <c r="S615" s="4">
        <f t="shared" si="40"/>
        <v>1.9518409467544542E-3</v>
      </c>
      <c r="T615" s="4">
        <f t="shared" si="40"/>
        <v>1.6572246272484393E-3</v>
      </c>
      <c r="U615" s="35"/>
      <c r="V615" s="35"/>
      <c r="W615" s="35"/>
      <c r="X615" s="35"/>
    </row>
    <row r="616" spans="4:24" x14ac:dyDescent="0.3">
      <c r="D616" s="23">
        <v>40473</v>
      </c>
      <c r="E616" s="5">
        <v>92.004363999999995</v>
      </c>
      <c r="F616" s="28">
        <v>56.619790000000002</v>
      </c>
      <c r="G616" s="28">
        <v>129.72999999999999</v>
      </c>
      <c r="H616" s="28">
        <v>45.64414</v>
      </c>
      <c r="I616" s="28">
        <v>47.349020000000003</v>
      </c>
      <c r="J616" s="29"/>
      <c r="K616" s="29"/>
      <c r="L616" s="29"/>
      <c r="M616" s="29"/>
      <c r="N616" s="29"/>
      <c r="P616" s="4">
        <f t="shared" si="40"/>
        <v>1.860728858022503E-3</v>
      </c>
      <c r="Q616" s="4">
        <f t="shared" si="40"/>
        <v>-6.0578834273731402E-4</v>
      </c>
      <c r="R616" s="4">
        <f t="shared" si="40"/>
        <v>2.0061735123650675E-3</v>
      </c>
      <c r="S616" s="4">
        <f t="shared" si="40"/>
        <v>6.8005018789232298E-3</v>
      </c>
      <c r="T616" s="4">
        <f t="shared" si="40"/>
        <v>2.9759742361945307E-3</v>
      </c>
      <c r="U616" s="35"/>
      <c r="V616" s="35"/>
      <c r="W616" s="35"/>
      <c r="X616" s="35"/>
    </row>
    <row r="617" spans="4:24" x14ac:dyDescent="0.3">
      <c r="D617" s="23">
        <v>40476</v>
      </c>
      <c r="E617" s="5">
        <v>92.276443</v>
      </c>
      <c r="F617" s="28">
        <v>56.6541</v>
      </c>
      <c r="G617" s="28">
        <v>130.85</v>
      </c>
      <c r="H617" s="28">
        <v>45.865119999999997</v>
      </c>
      <c r="I617" s="28">
        <v>47.505369999999999</v>
      </c>
      <c r="J617" s="29"/>
      <c r="K617" s="29"/>
      <c r="L617" s="29"/>
      <c r="M617" s="29"/>
      <c r="N617" s="29"/>
      <c r="P617" s="4">
        <f t="shared" si="40"/>
        <v>2.9528761256060903E-3</v>
      </c>
      <c r="Q617" s="4">
        <f t="shared" si="40"/>
        <v>6.0578834273732778E-4</v>
      </c>
      <c r="R617" s="4">
        <f t="shared" si="40"/>
        <v>8.5962613932338717E-3</v>
      </c>
      <c r="S617" s="4">
        <f t="shared" si="40"/>
        <v>4.8296845487639049E-3</v>
      </c>
      <c r="T617" s="4">
        <f t="shared" si="40"/>
        <v>3.2966348020024511E-3</v>
      </c>
      <c r="U617" s="35"/>
      <c r="V617" s="35"/>
      <c r="W617" s="35"/>
      <c r="X617" s="35"/>
    </row>
    <row r="618" spans="4:24" x14ac:dyDescent="0.3">
      <c r="D618" s="23">
        <v>40477</v>
      </c>
      <c r="E618" s="5">
        <v>92.292015000000006</v>
      </c>
      <c r="F618" s="28">
        <v>56.496470000000002</v>
      </c>
      <c r="G618" s="28">
        <v>130.88</v>
      </c>
      <c r="H618" s="28">
        <v>45.988860000000003</v>
      </c>
      <c r="I618" s="28">
        <v>47.49756</v>
      </c>
      <c r="J618" s="29"/>
      <c r="K618" s="29"/>
      <c r="L618" s="29"/>
      <c r="M618" s="29"/>
      <c r="N618" s="29"/>
      <c r="P618" s="4">
        <f t="shared" si="40"/>
        <v>1.6873955827228433E-4</v>
      </c>
      <c r="Q618" s="4">
        <f t="shared" si="40"/>
        <v>-2.7862007583759657E-3</v>
      </c>
      <c r="R618" s="4">
        <f t="shared" si="40"/>
        <v>2.2924387828208046E-4</v>
      </c>
      <c r="S618" s="4">
        <f t="shared" si="40"/>
        <v>2.6942779148766208E-3</v>
      </c>
      <c r="T618" s="4">
        <f t="shared" si="40"/>
        <v>-1.6441598206691304E-4</v>
      </c>
      <c r="U618" s="35"/>
      <c r="V618" s="35"/>
      <c r="W618" s="35"/>
      <c r="X618" s="35"/>
    </row>
    <row r="619" spans="4:24" x14ac:dyDescent="0.3">
      <c r="D619" s="23">
        <v>40478</v>
      </c>
      <c r="E619" s="5">
        <v>92.027687</v>
      </c>
      <c r="F619" s="28">
        <v>56.379959999999997</v>
      </c>
      <c r="G619" s="28">
        <v>129.52000000000001</v>
      </c>
      <c r="H619" s="28">
        <v>46.130279999999999</v>
      </c>
      <c r="I619" s="28">
        <v>47.403739999999999</v>
      </c>
      <c r="J619" s="29"/>
      <c r="K619" s="29"/>
      <c r="L619" s="29"/>
      <c r="M619" s="29"/>
      <c r="N619" s="29"/>
      <c r="P619" s="4">
        <f t="shared" si="40"/>
        <v>-2.868148964378806E-3</v>
      </c>
      <c r="Q619" s="4">
        <f t="shared" si="40"/>
        <v>-2.0643821101943224E-3</v>
      </c>
      <c r="R619" s="4">
        <f t="shared" si="40"/>
        <v>-1.0445563485057128E-2</v>
      </c>
      <c r="S619" s="4">
        <f t="shared" si="40"/>
        <v>3.0703741068249849E-3</v>
      </c>
      <c r="T619" s="4">
        <f t="shared" si="40"/>
        <v>-1.9772127581974288E-3</v>
      </c>
      <c r="U619" s="35"/>
      <c r="V619" s="35"/>
      <c r="W619" s="35"/>
      <c r="X619" s="35"/>
    </row>
    <row r="620" spans="4:24" x14ac:dyDescent="0.3">
      <c r="D620" s="23">
        <v>40479</v>
      </c>
      <c r="E620" s="5">
        <v>92.043243000000004</v>
      </c>
      <c r="F620" s="28">
        <v>56.571840000000002</v>
      </c>
      <c r="G620" s="28">
        <v>131.24</v>
      </c>
      <c r="H620" s="28">
        <v>46.227499999999999</v>
      </c>
      <c r="I620" s="28">
        <v>47.403739999999999</v>
      </c>
      <c r="J620" s="29"/>
      <c r="K620" s="29"/>
      <c r="L620" s="29"/>
      <c r="M620" s="29"/>
      <c r="N620" s="29"/>
      <c r="P620" s="4">
        <f t="shared" si="40"/>
        <v>1.6902180085722284E-4</v>
      </c>
      <c r="Q620" s="4">
        <f t="shared" si="40"/>
        <v>3.397558685722773E-3</v>
      </c>
      <c r="R620" s="4">
        <f t="shared" si="40"/>
        <v>1.3192398723521225E-2</v>
      </c>
      <c r="S620" s="4">
        <f t="shared" si="40"/>
        <v>2.1052917449647219E-3</v>
      </c>
      <c r="T620" s="4">
        <f t="shared" si="40"/>
        <v>0</v>
      </c>
      <c r="U620" s="35"/>
      <c r="V620" s="35"/>
      <c r="W620" s="35"/>
      <c r="X620" s="35"/>
    </row>
    <row r="621" spans="4:24" x14ac:dyDescent="0.3">
      <c r="D621" s="23">
        <v>40480</v>
      </c>
      <c r="E621" s="5">
        <v>92.113197</v>
      </c>
      <c r="F621" s="28">
        <v>56.674630000000001</v>
      </c>
      <c r="G621" s="28">
        <v>132.62</v>
      </c>
      <c r="H621" s="28">
        <v>46.121429999999997</v>
      </c>
      <c r="I621" s="28">
        <v>47.466290000000001</v>
      </c>
      <c r="J621" s="29"/>
      <c r="K621" s="29"/>
      <c r="L621" s="29"/>
      <c r="M621" s="29"/>
      <c r="N621" s="29"/>
      <c r="P621" s="4">
        <f t="shared" si="40"/>
        <v>7.5972367151165901E-4</v>
      </c>
      <c r="Q621" s="4">
        <f t="shared" si="40"/>
        <v>1.8153330205902115E-3</v>
      </c>
      <c r="R621" s="4">
        <f t="shared" si="40"/>
        <v>1.0460187847820537E-2</v>
      </c>
      <c r="S621" s="4">
        <f t="shared" si="40"/>
        <v>-2.2971581077054497E-3</v>
      </c>
      <c r="T621" s="4">
        <f t="shared" si="40"/>
        <v>1.3186463430789473E-3</v>
      </c>
      <c r="U621" s="35"/>
      <c r="V621" s="35"/>
      <c r="W621" s="35"/>
      <c r="X621" s="35"/>
    </row>
    <row r="622" spans="4:24" x14ac:dyDescent="0.3">
      <c r="D622" s="23">
        <v>40483</v>
      </c>
      <c r="E622" s="5">
        <v>92.144317999999998</v>
      </c>
      <c r="F622" s="28">
        <v>56.673299999999998</v>
      </c>
      <c r="G622" s="28">
        <v>131.91999999999999</v>
      </c>
      <c r="H622" s="28">
        <v>46.156799999999997</v>
      </c>
      <c r="I622" s="28">
        <v>47.474089999999997</v>
      </c>
      <c r="J622" s="29"/>
      <c r="K622" s="29"/>
      <c r="L622" s="29"/>
      <c r="M622" s="29"/>
      <c r="N622" s="29"/>
      <c r="P622" s="4">
        <f t="shared" si="40"/>
        <v>3.3779897982379458E-4</v>
      </c>
      <c r="Q622" s="4">
        <f t="shared" si="40"/>
        <v>-2.3467565751988877E-5</v>
      </c>
      <c r="R622" s="4">
        <f t="shared" si="40"/>
        <v>-5.2922176893782143E-3</v>
      </c>
      <c r="S622" s="4">
        <f t="shared" si="40"/>
        <v>7.6659471539811249E-4</v>
      </c>
      <c r="T622" s="4">
        <f t="shared" si="40"/>
        <v>1.6431364647049665E-4</v>
      </c>
      <c r="U622" s="35"/>
      <c r="V622" s="35"/>
      <c r="W622" s="35"/>
      <c r="X622" s="35"/>
    </row>
    <row r="623" spans="4:24" x14ac:dyDescent="0.3">
      <c r="D623" s="23">
        <v>40484</v>
      </c>
      <c r="E623" s="5">
        <v>92.875052999999994</v>
      </c>
      <c r="F623" s="28">
        <v>56.769469999999998</v>
      </c>
      <c r="G623" s="28">
        <v>132.49</v>
      </c>
      <c r="H623" s="28">
        <v>46.651789999999998</v>
      </c>
      <c r="I623" s="28">
        <v>47.849339999999998</v>
      </c>
      <c r="J623" s="29"/>
      <c r="K623" s="29"/>
      <c r="L623" s="29"/>
      <c r="M623" s="29"/>
      <c r="N623" s="29"/>
      <c r="P623" s="4">
        <f t="shared" si="40"/>
        <v>7.8990518189014109E-3</v>
      </c>
      <c r="Q623" s="4">
        <f t="shared" si="40"/>
        <v>1.6954808673653023E-3</v>
      </c>
      <c r="R623" s="4">
        <f t="shared" si="40"/>
        <v>4.3114926286885241E-3</v>
      </c>
      <c r="S623" s="4">
        <f t="shared" si="40"/>
        <v>1.0667001697244763E-2</v>
      </c>
      <c r="T623" s="4">
        <f t="shared" si="40"/>
        <v>7.8732361688968622E-3</v>
      </c>
      <c r="U623" s="35"/>
      <c r="V623" s="35"/>
      <c r="W623" s="35"/>
      <c r="X623" s="35"/>
    </row>
    <row r="624" spans="4:24" x14ac:dyDescent="0.3">
      <c r="D624" s="23">
        <v>40485</v>
      </c>
      <c r="E624" s="5">
        <v>93.248215000000002</v>
      </c>
      <c r="F624" s="28">
        <v>56.831310000000002</v>
      </c>
      <c r="G624" s="28">
        <v>131.57</v>
      </c>
      <c r="H624" s="28">
        <v>46.863909999999997</v>
      </c>
      <c r="I624" s="28">
        <v>48.04477</v>
      </c>
      <c r="J624" s="29"/>
      <c r="K624" s="29"/>
      <c r="L624" s="29"/>
      <c r="M624" s="29"/>
      <c r="N624" s="29"/>
      <c r="P624" s="4">
        <f t="shared" si="40"/>
        <v>4.0098425523111443E-3</v>
      </c>
      <c r="Q624" s="4">
        <f t="shared" si="40"/>
        <v>1.0887250265070381E-3</v>
      </c>
      <c r="R624" s="4">
        <f t="shared" si="40"/>
        <v>-6.9681415022850961E-3</v>
      </c>
      <c r="S624" s="4">
        <f t="shared" si="40"/>
        <v>4.5365722289261619E-3</v>
      </c>
      <c r="T624" s="4">
        <f t="shared" si="40"/>
        <v>4.0759598386967332E-3</v>
      </c>
      <c r="U624" s="35"/>
      <c r="V624" s="35"/>
      <c r="W624" s="35"/>
      <c r="X624" s="35"/>
    </row>
    <row r="625" spans="4:24" x14ac:dyDescent="0.3">
      <c r="D625" s="23">
        <v>40486</v>
      </c>
      <c r="E625" s="5">
        <v>95.043968000000007</v>
      </c>
      <c r="F625" s="28">
        <v>57.010010000000001</v>
      </c>
      <c r="G625" s="28">
        <v>136.03</v>
      </c>
      <c r="H625" s="28">
        <v>47.43844</v>
      </c>
      <c r="I625" s="28">
        <v>48.982840000000003</v>
      </c>
      <c r="J625" s="29"/>
      <c r="K625" s="29"/>
      <c r="L625" s="29"/>
      <c r="M625" s="29"/>
      <c r="N625" s="29"/>
      <c r="P625" s="4">
        <f t="shared" si="40"/>
        <v>1.907468933498362E-2</v>
      </c>
      <c r="Q625" s="4">
        <f t="shared" si="40"/>
        <v>3.1394602025937319E-3</v>
      </c>
      <c r="R625" s="4">
        <f t="shared" si="40"/>
        <v>3.3336420267591926E-2</v>
      </c>
      <c r="S625" s="4">
        <f t="shared" si="40"/>
        <v>1.218500087342771E-2</v>
      </c>
      <c r="T625" s="4">
        <f t="shared" si="40"/>
        <v>1.9336748154138304E-2</v>
      </c>
      <c r="U625" s="35"/>
      <c r="V625" s="35"/>
      <c r="W625" s="35"/>
      <c r="X625" s="35"/>
    </row>
    <row r="626" spans="4:24" x14ac:dyDescent="0.3">
      <c r="D626" s="23">
        <v>40487</v>
      </c>
      <c r="E626" s="5">
        <v>95.401566000000003</v>
      </c>
      <c r="F626" s="28">
        <v>56.769469999999998</v>
      </c>
      <c r="G626" s="28">
        <v>136.38</v>
      </c>
      <c r="H626" s="28">
        <v>47.43844</v>
      </c>
      <c r="I626" s="28">
        <v>49.201720000000002</v>
      </c>
      <c r="J626" s="29"/>
      <c r="K626" s="29"/>
      <c r="L626" s="29"/>
      <c r="M626" s="29"/>
      <c r="N626" s="29"/>
      <c r="P626" s="4">
        <f t="shared" si="40"/>
        <v>3.7553878293107631E-3</v>
      </c>
      <c r="Q626" s="4">
        <f t="shared" si="40"/>
        <v>-4.2281852291009793E-3</v>
      </c>
      <c r="R626" s="4">
        <f t="shared" si="40"/>
        <v>2.5696574471681809E-3</v>
      </c>
      <c r="S626" s="4">
        <f t="shared" si="40"/>
        <v>0</v>
      </c>
      <c r="T626" s="4">
        <f t="shared" si="40"/>
        <v>4.4585495435679251E-3</v>
      </c>
      <c r="U626" s="35"/>
      <c r="V626" s="35"/>
      <c r="W626" s="35"/>
      <c r="X626" s="35"/>
    </row>
    <row r="627" spans="4:24" x14ac:dyDescent="0.3">
      <c r="D627" s="23">
        <v>40490</v>
      </c>
      <c r="E627" s="5">
        <v>95.222793999999993</v>
      </c>
      <c r="F627" s="28">
        <v>56.783209999999997</v>
      </c>
      <c r="G627" s="28">
        <v>137.78</v>
      </c>
      <c r="H627" s="28">
        <v>47.500309999999999</v>
      </c>
      <c r="I627" s="28">
        <v>49.139180000000003</v>
      </c>
      <c r="J627" s="29"/>
      <c r="K627" s="29"/>
      <c r="L627" s="29"/>
      <c r="M627" s="29"/>
      <c r="N627" s="29"/>
      <c r="P627" s="4">
        <f t="shared" si="40"/>
        <v>-1.8756475028773583E-3</v>
      </c>
      <c r="Q627" s="4">
        <f t="shared" si="40"/>
        <v>2.4200221548371741E-4</v>
      </c>
      <c r="R627" s="4">
        <f t="shared" si="40"/>
        <v>1.021310307254307E-2</v>
      </c>
      <c r="S627" s="4">
        <f t="shared" si="40"/>
        <v>1.3033668287932623E-3</v>
      </c>
      <c r="T627" s="4">
        <f t="shared" si="40"/>
        <v>-1.2719022996758172E-3</v>
      </c>
      <c r="U627" s="35"/>
      <c r="V627" s="35"/>
      <c r="W627" s="35"/>
      <c r="X627" s="35"/>
    </row>
    <row r="628" spans="4:24" x14ac:dyDescent="0.3">
      <c r="D628" s="23">
        <v>40491</v>
      </c>
      <c r="E628" s="5">
        <v>94.538673000000003</v>
      </c>
      <c r="F628" s="28">
        <v>56.494599999999998</v>
      </c>
      <c r="G628" s="28">
        <v>135.59</v>
      </c>
      <c r="H628" s="28">
        <v>47.244</v>
      </c>
      <c r="I628" s="28">
        <v>48.756129999999999</v>
      </c>
      <c r="J628" s="29"/>
      <c r="K628" s="29"/>
      <c r="L628" s="29"/>
      <c r="M628" s="29"/>
      <c r="N628" s="29"/>
      <c r="P628" s="4">
        <f t="shared" si="40"/>
        <v>-7.2103570311122592E-3</v>
      </c>
      <c r="Q628" s="4">
        <f t="shared" si="40"/>
        <v>-5.0956250741272325E-3</v>
      </c>
      <c r="R628" s="4">
        <f t="shared" si="40"/>
        <v>-1.602258369083201E-2</v>
      </c>
      <c r="S628" s="4">
        <f t="shared" si="40"/>
        <v>-5.4105755854878534E-3</v>
      </c>
      <c r="T628" s="4">
        <f t="shared" si="40"/>
        <v>-7.8257468085790437E-3</v>
      </c>
      <c r="U628" s="35"/>
      <c r="V628" s="35"/>
      <c r="W628" s="35"/>
      <c r="X628" s="35"/>
    </row>
    <row r="629" spans="4:24" x14ac:dyDescent="0.3">
      <c r="D629" s="23">
        <v>40492</v>
      </c>
      <c r="E629" s="5">
        <v>94.919585999999995</v>
      </c>
      <c r="F629" s="28">
        <v>56.473970000000001</v>
      </c>
      <c r="G629" s="28">
        <v>137.24</v>
      </c>
      <c r="H629" s="28">
        <v>47.482640000000004</v>
      </c>
      <c r="I629" s="28">
        <v>48.967179999999999</v>
      </c>
      <c r="J629" s="29"/>
      <c r="K629" s="29"/>
      <c r="L629" s="29"/>
      <c r="M629" s="29"/>
      <c r="N629" s="29"/>
      <c r="P629" s="4">
        <f t="shared" ref="P629:T644" si="41">LN(E629/E628)</f>
        <v>4.0210811105503962E-3</v>
      </c>
      <c r="Q629" s="4">
        <f t="shared" si="41"/>
        <v>-3.6523433428120545E-4</v>
      </c>
      <c r="R629" s="4">
        <f t="shared" si="41"/>
        <v>1.209559151603125E-2</v>
      </c>
      <c r="S629" s="4">
        <f t="shared" si="41"/>
        <v>5.0385088050006388E-3</v>
      </c>
      <c r="T629" s="4">
        <f t="shared" si="41"/>
        <v>4.3193446502228471E-3</v>
      </c>
      <c r="U629" s="35"/>
      <c r="V629" s="35"/>
      <c r="W629" s="35"/>
      <c r="X629" s="35"/>
    </row>
    <row r="630" spans="4:24" x14ac:dyDescent="0.3">
      <c r="D630" s="23">
        <v>40493</v>
      </c>
      <c r="E630" s="5">
        <v>94.561995999999994</v>
      </c>
      <c r="F630" s="28">
        <v>56.494599999999998</v>
      </c>
      <c r="G630" s="28">
        <v>137.66</v>
      </c>
      <c r="H630" s="28">
        <v>47.182099999999998</v>
      </c>
      <c r="I630" s="28">
        <v>48.834290000000003</v>
      </c>
      <c r="J630" s="29"/>
      <c r="K630" s="29"/>
      <c r="L630" s="29"/>
      <c r="M630" s="29"/>
      <c r="N630" s="29"/>
      <c r="P630" s="4">
        <f t="shared" si="41"/>
        <v>-3.7744082643718377E-3</v>
      </c>
      <c r="Q630" s="4">
        <f t="shared" si="41"/>
        <v>3.6523433428126774E-4</v>
      </c>
      <c r="R630" s="4">
        <f t="shared" si="41"/>
        <v>3.0556589799691524E-3</v>
      </c>
      <c r="S630" s="4">
        <f t="shared" si="41"/>
        <v>-6.349587179873723E-3</v>
      </c>
      <c r="T630" s="4">
        <f t="shared" si="41"/>
        <v>-2.7175477379519381E-3</v>
      </c>
      <c r="U630" s="35"/>
      <c r="V630" s="35"/>
      <c r="W630" s="35"/>
      <c r="X630" s="35"/>
    </row>
    <row r="631" spans="4:24" x14ac:dyDescent="0.3">
      <c r="D631" s="23">
        <v>40494</v>
      </c>
      <c r="E631" s="5">
        <v>93.442558000000005</v>
      </c>
      <c r="F631" s="28">
        <v>56.240319999999997</v>
      </c>
      <c r="G631" s="28">
        <v>133.69</v>
      </c>
      <c r="H631" s="28">
        <v>46.413130000000002</v>
      </c>
      <c r="I631" s="28">
        <v>48.216740000000001</v>
      </c>
      <c r="J631" s="29"/>
      <c r="K631" s="29"/>
      <c r="L631" s="29"/>
      <c r="M631" s="29"/>
      <c r="N631" s="29"/>
      <c r="P631" s="4">
        <f t="shared" si="41"/>
        <v>-1.1908767164673826E-2</v>
      </c>
      <c r="Q631" s="4">
        <f t="shared" si="41"/>
        <v>-4.5111209769050321E-3</v>
      </c>
      <c r="R631" s="4">
        <f t="shared" si="41"/>
        <v>-2.9263189975186975E-2</v>
      </c>
      <c r="S631" s="4">
        <f t="shared" si="41"/>
        <v>-1.643219003421709E-2</v>
      </c>
      <c r="T631" s="4">
        <f t="shared" si="41"/>
        <v>-1.2726466375382732E-2</v>
      </c>
      <c r="U631" s="35"/>
      <c r="V631" s="35"/>
      <c r="W631" s="35"/>
      <c r="X631" s="35"/>
    </row>
    <row r="632" spans="4:24" x14ac:dyDescent="0.3">
      <c r="D632" s="23">
        <v>40497</v>
      </c>
      <c r="E632" s="5">
        <v>93.310387000000006</v>
      </c>
      <c r="F632" s="28">
        <v>55.972299999999997</v>
      </c>
      <c r="G632" s="28">
        <v>132.41999999999999</v>
      </c>
      <c r="H632" s="28">
        <v>46.236339999999998</v>
      </c>
      <c r="I632" s="28">
        <v>48.146380000000001</v>
      </c>
      <c r="J632" s="29"/>
      <c r="K632" s="29"/>
      <c r="L632" s="29"/>
      <c r="M632" s="29"/>
      <c r="N632" s="29"/>
      <c r="P632" s="4">
        <f t="shared" si="41"/>
        <v>-1.4154638586017551E-3</v>
      </c>
      <c r="Q632" s="4">
        <f t="shared" si="41"/>
        <v>-4.7770118847770757E-3</v>
      </c>
      <c r="R632" s="4">
        <f t="shared" si="41"/>
        <v>-9.5449974983311797E-3</v>
      </c>
      <c r="S632" s="4">
        <f t="shared" si="41"/>
        <v>-3.816324358228203E-3</v>
      </c>
      <c r="T632" s="4">
        <f t="shared" si="41"/>
        <v>-1.4603099713581379E-3</v>
      </c>
      <c r="U632" s="35"/>
      <c r="V632" s="35"/>
      <c r="W632" s="35"/>
      <c r="X632" s="35"/>
    </row>
    <row r="633" spans="4:24" x14ac:dyDescent="0.3">
      <c r="D633" s="23">
        <v>40498</v>
      </c>
      <c r="E633" s="5">
        <v>91.856689000000003</v>
      </c>
      <c r="F633" s="28">
        <v>56.157890000000002</v>
      </c>
      <c r="G633" s="28">
        <v>130.97</v>
      </c>
      <c r="H633" s="28">
        <v>45.476219999999998</v>
      </c>
      <c r="I633" s="28">
        <v>47.380310000000001</v>
      </c>
      <c r="J633" s="29"/>
      <c r="K633" s="29"/>
      <c r="L633" s="29"/>
      <c r="M633" s="29"/>
      <c r="N633" s="29"/>
      <c r="P633" s="4">
        <f t="shared" si="41"/>
        <v>-1.5701796434689753E-2</v>
      </c>
      <c r="Q633" s="4">
        <f t="shared" si="41"/>
        <v>3.3102622847967574E-3</v>
      </c>
      <c r="R633" s="4">
        <f t="shared" si="41"/>
        <v>-1.101040015538839E-2</v>
      </c>
      <c r="S633" s="4">
        <f t="shared" si="41"/>
        <v>-1.657651701052637E-2</v>
      </c>
      <c r="T633" s="4">
        <f t="shared" si="41"/>
        <v>-1.6039212139749889E-2</v>
      </c>
      <c r="U633" s="35"/>
      <c r="V633" s="35"/>
      <c r="W633" s="35"/>
      <c r="X633" s="35"/>
    </row>
    <row r="634" spans="4:24" x14ac:dyDescent="0.3">
      <c r="D634" s="23">
        <v>40499</v>
      </c>
      <c r="E634" s="5">
        <v>91.903296999999995</v>
      </c>
      <c r="F634" s="28">
        <v>56.171610000000001</v>
      </c>
      <c r="G634" s="28">
        <v>130.38</v>
      </c>
      <c r="H634" s="28">
        <v>45.608789999999999</v>
      </c>
      <c r="I634" s="28">
        <v>47.458460000000002</v>
      </c>
      <c r="J634" s="29"/>
      <c r="K634" s="29"/>
      <c r="L634" s="29"/>
      <c r="M634" s="29"/>
      <c r="N634" s="29"/>
      <c r="P634" s="4">
        <f t="shared" si="41"/>
        <v>5.0727040215846429E-4</v>
      </c>
      <c r="Q634" s="4">
        <f t="shared" si="41"/>
        <v>2.442813342572948E-4</v>
      </c>
      <c r="R634" s="4">
        <f t="shared" si="41"/>
        <v>-4.5150258449183573E-3</v>
      </c>
      <c r="S634" s="4">
        <f t="shared" si="41"/>
        <v>2.9109091300486703E-3</v>
      </c>
      <c r="T634" s="4">
        <f t="shared" si="41"/>
        <v>1.6480605492589023E-3</v>
      </c>
      <c r="U634" s="35"/>
      <c r="V634" s="35"/>
      <c r="W634" s="35"/>
      <c r="X634" s="35"/>
    </row>
    <row r="635" spans="4:24" x14ac:dyDescent="0.3">
      <c r="D635" s="23">
        <v>40500</v>
      </c>
      <c r="E635" s="5">
        <v>93.255966000000001</v>
      </c>
      <c r="F635" s="28">
        <v>56.171610000000001</v>
      </c>
      <c r="G635" s="28">
        <v>132.09</v>
      </c>
      <c r="H635" s="28">
        <v>46.34243</v>
      </c>
      <c r="I635" s="28">
        <v>48.122950000000003</v>
      </c>
      <c r="J635" s="29"/>
      <c r="K635" s="29"/>
      <c r="L635" s="29"/>
      <c r="M635" s="29"/>
      <c r="N635" s="29"/>
      <c r="P635" s="4">
        <f t="shared" si="41"/>
        <v>1.4611130359426834E-2</v>
      </c>
      <c r="Q635" s="4">
        <f t="shared" si="41"/>
        <v>0</v>
      </c>
      <c r="R635" s="4">
        <f t="shared" si="41"/>
        <v>1.3030244939378861E-2</v>
      </c>
      <c r="S635" s="4">
        <f t="shared" si="41"/>
        <v>1.5957495025633303E-2</v>
      </c>
      <c r="T635" s="4">
        <f t="shared" si="41"/>
        <v>1.3904392194479497E-2</v>
      </c>
      <c r="U635" s="35"/>
      <c r="V635" s="35"/>
      <c r="W635" s="35"/>
      <c r="X635" s="35"/>
    </row>
    <row r="636" spans="4:24" x14ac:dyDescent="0.3">
      <c r="D636" s="23">
        <v>40501</v>
      </c>
      <c r="E636" s="5">
        <v>93.512505000000004</v>
      </c>
      <c r="F636" s="28">
        <v>56.185339999999997</v>
      </c>
      <c r="G636" s="28">
        <v>132.19999999999999</v>
      </c>
      <c r="H636" s="28">
        <v>46.377769999999998</v>
      </c>
      <c r="I636" s="28">
        <v>48.318370000000002</v>
      </c>
      <c r="J636" s="29"/>
      <c r="K636" s="29"/>
      <c r="L636" s="29"/>
      <c r="M636" s="29"/>
      <c r="N636" s="29"/>
      <c r="P636" s="4">
        <f t="shared" si="41"/>
        <v>2.7471356376460956E-3</v>
      </c>
      <c r="Q636" s="4">
        <f t="shared" si="41"/>
        <v>2.443996578465373E-4</v>
      </c>
      <c r="R636" s="4">
        <f t="shared" si="41"/>
        <v>8.324189818136173E-4</v>
      </c>
      <c r="S636" s="4">
        <f t="shared" si="41"/>
        <v>7.6229347458944201E-4</v>
      </c>
      <c r="T636" s="4">
        <f t="shared" si="41"/>
        <v>4.0526253158096118E-3</v>
      </c>
      <c r="U636" s="35"/>
      <c r="V636" s="35"/>
      <c r="W636" s="35"/>
      <c r="X636" s="35"/>
    </row>
    <row r="637" spans="4:24" x14ac:dyDescent="0.3">
      <c r="D637" s="23">
        <v>40504</v>
      </c>
      <c r="E637" s="5">
        <v>93.434792000000002</v>
      </c>
      <c r="F637" s="28">
        <v>56.350279999999998</v>
      </c>
      <c r="G637" s="28">
        <v>133.47999999999999</v>
      </c>
      <c r="H637" s="28">
        <v>46.766689999999997</v>
      </c>
      <c r="I637" s="28">
        <v>48.3262</v>
      </c>
      <c r="J637" s="29"/>
      <c r="K637" s="29"/>
      <c r="L637" s="29"/>
      <c r="M637" s="29"/>
      <c r="N637" s="29"/>
      <c r="P637" s="4">
        <f t="shared" si="41"/>
        <v>-8.3138944208774389E-4</v>
      </c>
      <c r="Q637" s="4">
        <f t="shared" si="41"/>
        <v>2.9313406387672949E-3</v>
      </c>
      <c r="R637" s="4">
        <f t="shared" si="41"/>
        <v>9.6357264655874408E-3</v>
      </c>
      <c r="S637" s="4">
        <f t="shared" si="41"/>
        <v>8.3509477690161399E-3</v>
      </c>
      <c r="T637" s="4">
        <f t="shared" si="41"/>
        <v>1.6203703978667349E-4</v>
      </c>
      <c r="U637" s="35"/>
      <c r="V637" s="35"/>
      <c r="W637" s="35"/>
      <c r="X637" s="35"/>
    </row>
    <row r="638" spans="4:24" x14ac:dyDescent="0.3">
      <c r="D638" s="23">
        <v>40505</v>
      </c>
      <c r="E638" s="5">
        <v>92.082108000000005</v>
      </c>
      <c r="F638" s="28">
        <v>56.364040000000003</v>
      </c>
      <c r="G638" s="28">
        <v>134.41</v>
      </c>
      <c r="H638" s="28">
        <v>46.02422</v>
      </c>
      <c r="I638" s="28">
        <v>47.638260000000002</v>
      </c>
      <c r="J638" s="29"/>
      <c r="K638" s="29"/>
      <c r="L638" s="29"/>
      <c r="M638" s="29"/>
      <c r="N638" s="29"/>
      <c r="P638" s="4">
        <f t="shared" si="41"/>
        <v>-1.4583123937235213E-2</v>
      </c>
      <c r="Q638" s="4">
        <f t="shared" si="41"/>
        <v>2.4415708790785645E-4</v>
      </c>
      <c r="R638" s="4">
        <f t="shared" si="41"/>
        <v>6.9431761998836874E-3</v>
      </c>
      <c r="S638" s="4">
        <f t="shared" si="41"/>
        <v>-1.6003417706753086E-2</v>
      </c>
      <c r="T638" s="4">
        <f t="shared" si="41"/>
        <v>-1.4337636763038814E-2</v>
      </c>
      <c r="U638" s="35"/>
      <c r="V638" s="35"/>
      <c r="W638" s="35"/>
      <c r="X638" s="35"/>
    </row>
    <row r="639" spans="4:24" x14ac:dyDescent="0.3">
      <c r="D639" s="23">
        <v>40506</v>
      </c>
      <c r="E639" s="5">
        <v>93.442558000000005</v>
      </c>
      <c r="F639" s="28">
        <v>56.096029999999999</v>
      </c>
      <c r="G639" s="28">
        <v>134.18</v>
      </c>
      <c r="H639" s="28">
        <v>46.952300000000001</v>
      </c>
      <c r="I639" s="28">
        <v>48.404350000000001</v>
      </c>
      <c r="J639" s="29"/>
      <c r="K639" s="29"/>
      <c r="L639" s="29"/>
      <c r="M639" s="29"/>
      <c r="N639" s="29"/>
      <c r="P639" s="4">
        <f t="shared" si="41"/>
        <v>1.4666237273382876E-2</v>
      </c>
      <c r="Q639" s="4">
        <f t="shared" si="41"/>
        <v>-4.7663229692764732E-3</v>
      </c>
      <c r="R639" s="4">
        <f t="shared" si="41"/>
        <v>-1.7126479483148874E-3</v>
      </c>
      <c r="S639" s="4">
        <f t="shared" si="41"/>
        <v>1.9964413075504821E-2</v>
      </c>
      <c r="T639" s="4">
        <f t="shared" si="41"/>
        <v>1.5953465826421834E-2</v>
      </c>
      <c r="U639" s="35"/>
      <c r="V639" s="35"/>
      <c r="W639" s="35"/>
      <c r="X639" s="35"/>
    </row>
    <row r="640" spans="4:24" x14ac:dyDescent="0.3">
      <c r="D640" s="23">
        <v>40508</v>
      </c>
      <c r="E640" s="5">
        <v>92.354218000000003</v>
      </c>
      <c r="F640" s="28">
        <v>56.226610000000001</v>
      </c>
      <c r="G640" s="28">
        <v>133.11000000000001</v>
      </c>
      <c r="H640" s="28">
        <v>46.642940000000003</v>
      </c>
      <c r="I640" s="28">
        <v>48.076030000000003</v>
      </c>
      <c r="J640" s="29"/>
      <c r="K640" s="29"/>
      <c r="L640" s="29"/>
      <c r="M640" s="29"/>
      <c r="N640" s="29"/>
      <c r="P640" s="4">
        <f t="shared" si="41"/>
        <v>-1.1715514893095785E-2</v>
      </c>
      <c r="Q640" s="4">
        <f t="shared" si="41"/>
        <v>2.325088848102265E-3</v>
      </c>
      <c r="R640" s="4">
        <f t="shared" si="41"/>
        <v>-8.0063280758140756E-3</v>
      </c>
      <c r="S640" s="4">
        <f t="shared" si="41"/>
        <v>-6.6106166636613339E-3</v>
      </c>
      <c r="T640" s="4">
        <f t="shared" si="41"/>
        <v>-6.8059696147064657E-3</v>
      </c>
      <c r="U640" s="35"/>
      <c r="V640" s="35"/>
      <c r="W640" s="35"/>
      <c r="X640" s="35"/>
    </row>
    <row r="641" spans="4:24" x14ac:dyDescent="0.3">
      <c r="D641" s="23">
        <v>40511</v>
      </c>
      <c r="E641" s="5">
        <v>92.634079</v>
      </c>
      <c r="F641" s="28">
        <v>56.26784</v>
      </c>
      <c r="G641" s="28">
        <v>133.51</v>
      </c>
      <c r="H641" s="28">
        <v>46.607590000000002</v>
      </c>
      <c r="I641" s="28">
        <v>48.005670000000002</v>
      </c>
      <c r="J641" s="29"/>
      <c r="K641" s="29"/>
      <c r="L641" s="29"/>
      <c r="M641" s="29"/>
      <c r="N641" s="29"/>
      <c r="P641" s="4">
        <f t="shared" si="41"/>
        <v>3.0257180378268464E-3</v>
      </c>
      <c r="Q641" s="4">
        <f t="shared" si="41"/>
        <v>7.3301397262002686E-4</v>
      </c>
      <c r="R641" s="4">
        <f t="shared" si="41"/>
        <v>3.0005273430756493E-3</v>
      </c>
      <c r="S641" s="4">
        <f t="shared" si="41"/>
        <v>-7.5817267083294788E-4</v>
      </c>
      <c r="T641" s="4">
        <f t="shared" si="41"/>
        <v>-1.4645871706462409E-3</v>
      </c>
      <c r="U641" s="35"/>
      <c r="V641" s="35"/>
      <c r="W641" s="35"/>
      <c r="X641" s="35"/>
    </row>
    <row r="642" spans="4:24" x14ac:dyDescent="0.3">
      <c r="D642" s="23">
        <v>40512</v>
      </c>
      <c r="E642" s="5">
        <v>92.113197</v>
      </c>
      <c r="F642" s="28">
        <v>56.288420000000002</v>
      </c>
      <c r="G642" s="28">
        <v>135.41999999999999</v>
      </c>
      <c r="H642" s="28">
        <v>46.041899999999998</v>
      </c>
      <c r="I642" s="28">
        <v>47.708620000000003</v>
      </c>
      <c r="J642" s="29"/>
      <c r="K642" s="29"/>
      <c r="L642" s="29"/>
      <c r="M642" s="29"/>
      <c r="N642" s="29"/>
      <c r="P642" s="4">
        <f t="shared" si="41"/>
        <v>-5.6388748075765667E-3</v>
      </c>
      <c r="Q642" s="4">
        <f t="shared" si="41"/>
        <v>3.6568379634052857E-4</v>
      </c>
      <c r="R642" s="4">
        <f t="shared" si="41"/>
        <v>1.4204678655495809E-2</v>
      </c>
      <c r="S642" s="4">
        <f t="shared" si="41"/>
        <v>-1.2211551940931785E-2</v>
      </c>
      <c r="T642" s="4">
        <f t="shared" si="41"/>
        <v>-6.2070345757159603E-3</v>
      </c>
      <c r="U642" s="35"/>
      <c r="V642" s="35"/>
      <c r="W642" s="35"/>
      <c r="X642" s="35"/>
    </row>
    <row r="643" spans="4:24" x14ac:dyDescent="0.3">
      <c r="D643" s="23">
        <v>40513</v>
      </c>
      <c r="E643" s="5">
        <v>94.072211999999993</v>
      </c>
      <c r="F643" s="28">
        <v>55.943939999999998</v>
      </c>
      <c r="G643" s="28">
        <v>135.38</v>
      </c>
      <c r="H643" s="28">
        <v>47.014159999999997</v>
      </c>
      <c r="I643" s="28">
        <v>48.732669999999999</v>
      </c>
      <c r="J643" s="29"/>
      <c r="K643" s="29"/>
      <c r="L643" s="29"/>
      <c r="M643" s="29"/>
      <c r="N643" s="29"/>
      <c r="P643" s="4">
        <f t="shared" si="41"/>
        <v>2.1044477213044015E-2</v>
      </c>
      <c r="Q643" s="4">
        <f t="shared" si="41"/>
        <v>-6.1387122533156802E-3</v>
      </c>
      <c r="R643" s="4">
        <f t="shared" si="41"/>
        <v>-2.95420977037727E-4</v>
      </c>
      <c r="S643" s="4">
        <f t="shared" si="41"/>
        <v>2.0896981466753978E-2</v>
      </c>
      <c r="T643" s="4">
        <f t="shared" si="41"/>
        <v>2.1237552707856523E-2</v>
      </c>
      <c r="U643" s="35"/>
      <c r="V643" s="35"/>
      <c r="W643" s="35"/>
      <c r="X643" s="35"/>
    </row>
    <row r="644" spans="4:24" x14ac:dyDescent="0.3">
      <c r="D644" s="23">
        <v>40514</v>
      </c>
      <c r="E644" s="5">
        <v>95.277161000000007</v>
      </c>
      <c r="F644" s="28">
        <v>55.895679999999999</v>
      </c>
      <c r="G644" s="28">
        <v>135.19999999999999</v>
      </c>
      <c r="H644" s="28">
        <v>47.491480000000003</v>
      </c>
      <c r="I644" s="28">
        <v>49.358049999999999</v>
      </c>
      <c r="J644" s="29"/>
      <c r="K644" s="29"/>
      <c r="L644" s="29"/>
      <c r="M644" s="29"/>
      <c r="N644" s="29"/>
      <c r="P644" s="4">
        <f t="shared" si="41"/>
        <v>1.2727428101967178E-2</v>
      </c>
      <c r="Q644" s="4">
        <f t="shared" si="41"/>
        <v>-8.630215838602021E-4</v>
      </c>
      <c r="R644" s="4">
        <f t="shared" si="41"/>
        <v>-1.3304754715979053E-3</v>
      </c>
      <c r="S644" s="4">
        <f t="shared" si="41"/>
        <v>1.0101493599980976E-2</v>
      </c>
      <c r="T644" s="4">
        <f t="shared" si="41"/>
        <v>1.275122608033021E-2</v>
      </c>
      <c r="U644" s="35"/>
      <c r="V644" s="35"/>
      <c r="W644" s="35"/>
      <c r="X644" s="35"/>
    </row>
    <row r="645" spans="4:24" x14ac:dyDescent="0.3">
      <c r="D645" s="23">
        <v>40515</v>
      </c>
      <c r="E645" s="5">
        <v>95.533730000000006</v>
      </c>
      <c r="F645" s="28">
        <v>55.985280000000003</v>
      </c>
      <c r="G645" s="28">
        <v>138.07</v>
      </c>
      <c r="H645" s="28">
        <v>47.615229999999997</v>
      </c>
      <c r="I645" s="28">
        <v>49.514400000000002</v>
      </c>
      <c r="J645" s="29"/>
      <c r="K645" s="29"/>
      <c r="L645" s="29"/>
      <c r="M645" s="29"/>
      <c r="N645" s="29"/>
      <c r="P645" s="4">
        <f t="shared" ref="P645:T660" si="42">LN(E645/E644)</f>
        <v>2.6892506322087951E-3</v>
      </c>
      <c r="Q645" s="4">
        <f t="shared" si="42"/>
        <v>1.6017027232403721E-3</v>
      </c>
      <c r="R645" s="4">
        <f t="shared" si="42"/>
        <v>2.1005639319197335E-2</v>
      </c>
      <c r="S645" s="4">
        <f t="shared" si="42"/>
        <v>2.6023415138239766E-3</v>
      </c>
      <c r="T645" s="4">
        <f t="shared" si="42"/>
        <v>3.1626632155554949E-3</v>
      </c>
      <c r="U645" s="35"/>
      <c r="V645" s="35"/>
      <c r="W645" s="35"/>
      <c r="X645" s="35"/>
    </row>
    <row r="646" spans="4:24" x14ac:dyDescent="0.3">
      <c r="D646" s="23">
        <v>40518</v>
      </c>
      <c r="E646" s="5">
        <v>95.432670999999999</v>
      </c>
      <c r="F646" s="28">
        <v>56.171289999999999</v>
      </c>
      <c r="G646" s="28">
        <v>139.11000000000001</v>
      </c>
      <c r="H646" s="28">
        <v>47.597540000000002</v>
      </c>
      <c r="I646" s="28">
        <v>49.49877</v>
      </c>
      <c r="J646" s="29"/>
      <c r="K646" s="29"/>
      <c r="L646" s="29"/>
      <c r="M646" s="29"/>
      <c r="N646" s="29"/>
      <c r="P646" s="4">
        <f t="shared" si="42"/>
        <v>-1.0583957063093443E-3</v>
      </c>
      <c r="Q646" s="4">
        <f t="shared" si="42"/>
        <v>3.3169732374119377E-3</v>
      </c>
      <c r="R646" s="4">
        <f t="shared" si="42"/>
        <v>7.5041841434182362E-3</v>
      </c>
      <c r="S646" s="4">
        <f t="shared" si="42"/>
        <v>-3.7158881531427568E-4</v>
      </c>
      <c r="T646" s="4">
        <f t="shared" si="42"/>
        <v>-3.1571557864132176E-4</v>
      </c>
      <c r="U646" s="35"/>
      <c r="V646" s="35"/>
      <c r="W646" s="35"/>
      <c r="X646" s="35"/>
    </row>
    <row r="647" spans="4:24" x14ac:dyDescent="0.3">
      <c r="D647" s="23">
        <v>40519</v>
      </c>
      <c r="E647" s="5">
        <v>95.487082999999998</v>
      </c>
      <c r="F647" s="28">
        <v>55.764769999999999</v>
      </c>
      <c r="G647" s="28">
        <v>136.5</v>
      </c>
      <c r="H647" s="28">
        <v>47.62406</v>
      </c>
      <c r="I647" s="28">
        <v>49.55348</v>
      </c>
      <c r="J647" s="29"/>
      <c r="K647" s="29"/>
      <c r="L647" s="29"/>
      <c r="M647" s="29"/>
      <c r="N647" s="29"/>
      <c r="P647" s="4">
        <f t="shared" si="42"/>
        <v>5.6999865475630056E-4</v>
      </c>
      <c r="Q647" s="4">
        <f t="shared" si="42"/>
        <v>-7.2634642895359801E-3</v>
      </c>
      <c r="R647" s="4">
        <f t="shared" si="42"/>
        <v>-1.8940372446464796E-2</v>
      </c>
      <c r="S647" s="4">
        <f t="shared" si="42"/>
        <v>5.5701648965552134E-4</v>
      </c>
      <c r="T647" s="4">
        <f t="shared" si="42"/>
        <v>1.1046696175711977E-3</v>
      </c>
      <c r="U647" s="35"/>
      <c r="V647" s="35"/>
      <c r="W647" s="35"/>
      <c r="X647" s="35"/>
    </row>
    <row r="648" spans="4:24" x14ac:dyDescent="0.3">
      <c r="D648" s="23">
        <v>40520</v>
      </c>
      <c r="E648" s="5">
        <v>95.836922000000001</v>
      </c>
      <c r="F648" s="28">
        <v>55.4754</v>
      </c>
      <c r="G648" s="28">
        <v>134.79</v>
      </c>
      <c r="H648" s="28">
        <v>47.800840000000001</v>
      </c>
      <c r="I648" s="28">
        <v>49.694189999999999</v>
      </c>
      <c r="J648" s="29"/>
      <c r="K648" s="29"/>
      <c r="L648" s="29"/>
      <c r="M648" s="29"/>
      <c r="N648" s="29"/>
      <c r="P648" s="4">
        <f t="shared" si="42"/>
        <v>3.6570360305068308E-3</v>
      </c>
      <c r="Q648" s="4">
        <f t="shared" si="42"/>
        <v>-5.2026287393518644E-3</v>
      </c>
      <c r="R648" s="4">
        <f t="shared" si="42"/>
        <v>-1.2606602874836174E-2</v>
      </c>
      <c r="S648" s="4">
        <f t="shared" si="42"/>
        <v>3.7051168454914898E-3</v>
      </c>
      <c r="T648" s="4">
        <f t="shared" si="42"/>
        <v>2.8355344619915559E-3</v>
      </c>
      <c r="U648" s="35"/>
      <c r="V648" s="35"/>
      <c r="W648" s="35"/>
      <c r="X648" s="35"/>
    </row>
    <row r="649" spans="4:24" x14ac:dyDescent="0.3">
      <c r="D649" s="23">
        <v>40521</v>
      </c>
      <c r="E649" s="5">
        <v>96.210052000000005</v>
      </c>
      <c r="F649" s="28">
        <v>55.523609999999998</v>
      </c>
      <c r="G649" s="28">
        <v>135.37</v>
      </c>
      <c r="H649" s="28">
        <v>47.845039999999997</v>
      </c>
      <c r="I649" s="28">
        <v>49.873980000000003</v>
      </c>
      <c r="J649" s="29"/>
      <c r="K649" s="29"/>
      <c r="L649" s="29"/>
      <c r="M649" s="29"/>
      <c r="N649" s="29"/>
      <c r="P649" s="4">
        <f t="shared" si="42"/>
        <v>3.8858250326869971E-3</v>
      </c>
      <c r="Q649" s="4">
        <f t="shared" si="42"/>
        <v>8.6865645074593167E-4</v>
      </c>
      <c r="R649" s="4">
        <f t="shared" si="42"/>
        <v>4.2937584475166938E-3</v>
      </c>
      <c r="S649" s="4">
        <f t="shared" si="42"/>
        <v>9.2424269913952257E-4</v>
      </c>
      <c r="T649" s="4">
        <f t="shared" si="42"/>
        <v>3.6113990124507617E-3</v>
      </c>
      <c r="U649" s="35"/>
      <c r="V649" s="35"/>
      <c r="W649" s="35"/>
      <c r="X649" s="35"/>
    </row>
    <row r="650" spans="4:24" x14ac:dyDescent="0.3">
      <c r="D650" s="23">
        <v>40522</v>
      </c>
      <c r="E650" s="5">
        <v>96.769829000000001</v>
      </c>
      <c r="F650" s="28">
        <v>55.344459999999998</v>
      </c>
      <c r="G650" s="28">
        <v>135.41</v>
      </c>
      <c r="H650" s="28">
        <v>48.163240000000002</v>
      </c>
      <c r="I650" s="28">
        <v>50.194499999999998</v>
      </c>
      <c r="J650" s="29"/>
      <c r="K650" s="29"/>
      <c r="L650" s="29"/>
      <c r="M650" s="29"/>
      <c r="N650" s="29"/>
      <c r="P650" s="4">
        <f t="shared" si="42"/>
        <v>5.8014189573322543E-3</v>
      </c>
      <c r="Q650" s="4">
        <f t="shared" si="42"/>
        <v>-3.2317718875309793E-3</v>
      </c>
      <c r="R650" s="4">
        <f t="shared" si="42"/>
        <v>2.9544279703773072E-4</v>
      </c>
      <c r="S650" s="4">
        <f t="shared" si="42"/>
        <v>6.6286192212622816E-3</v>
      </c>
      <c r="T650" s="4">
        <f t="shared" si="42"/>
        <v>6.4060350692872071E-3</v>
      </c>
      <c r="U650" s="35"/>
      <c r="V650" s="35"/>
      <c r="W650" s="35"/>
      <c r="X650" s="35"/>
    </row>
    <row r="651" spans="4:24" x14ac:dyDescent="0.3">
      <c r="D651" s="23">
        <v>40525</v>
      </c>
      <c r="E651" s="5">
        <v>96.831985000000003</v>
      </c>
      <c r="F651" s="28">
        <v>55.489170000000001</v>
      </c>
      <c r="G651" s="28">
        <v>136.05000000000001</v>
      </c>
      <c r="H651" s="28">
        <v>47.995289999999997</v>
      </c>
      <c r="I651" s="28">
        <v>50.210140000000003</v>
      </c>
      <c r="J651" s="29"/>
      <c r="K651" s="29"/>
      <c r="L651" s="29"/>
      <c r="M651" s="29"/>
      <c r="N651" s="29"/>
      <c r="P651" s="4">
        <f t="shared" si="42"/>
        <v>6.4210144369355971E-4</v>
      </c>
      <c r="Q651" s="4">
        <f t="shared" si="42"/>
        <v>2.6113027648787582E-3</v>
      </c>
      <c r="R651" s="4">
        <f t="shared" si="42"/>
        <v>4.7152522345226232E-3</v>
      </c>
      <c r="S651" s="4">
        <f t="shared" si="42"/>
        <v>-3.4931933918442336E-3</v>
      </c>
      <c r="T651" s="4">
        <f t="shared" si="42"/>
        <v>3.1153938954429217E-4</v>
      </c>
      <c r="U651" s="35"/>
      <c r="V651" s="35"/>
      <c r="W651" s="35"/>
      <c r="X651" s="35"/>
    </row>
    <row r="652" spans="4:24" x14ac:dyDescent="0.3">
      <c r="D652" s="23">
        <v>40526</v>
      </c>
      <c r="E652" s="5">
        <v>96.917511000000005</v>
      </c>
      <c r="F652" s="28">
        <v>55.137740000000001</v>
      </c>
      <c r="G652" s="28">
        <v>136.18</v>
      </c>
      <c r="H652" s="28">
        <v>48.083680000000001</v>
      </c>
      <c r="I652" s="28">
        <v>50.225769999999997</v>
      </c>
      <c r="J652" s="29"/>
      <c r="K652" s="29"/>
      <c r="L652" s="29"/>
      <c r="M652" s="29"/>
      <c r="N652" s="29"/>
      <c r="P652" s="4">
        <f t="shared" si="42"/>
        <v>8.8285138615376004E-4</v>
      </c>
      <c r="Q652" s="4">
        <f t="shared" si="42"/>
        <v>-6.3534483998537433E-3</v>
      </c>
      <c r="R652" s="4">
        <f t="shared" si="42"/>
        <v>9.5507482556532474E-4</v>
      </c>
      <c r="S652" s="4">
        <f t="shared" si="42"/>
        <v>1.8399453061640424E-3</v>
      </c>
      <c r="T652" s="4">
        <f t="shared" si="42"/>
        <v>3.1124326201990876E-4</v>
      </c>
      <c r="U652" s="35"/>
      <c r="V652" s="35"/>
      <c r="W652" s="35"/>
      <c r="X652" s="35"/>
    </row>
    <row r="653" spans="4:24" x14ac:dyDescent="0.3">
      <c r="D653" s="23">
        <v>40527</v>
      </c>
      <c r="E653" s="5">
        <v>96.474365000000006</v>
      </c>
      <c r="F653" s="28">
        <v>54.96546</v>
      </c>
      <c r="G653" s="28">
        <v>134.69999999999999</v>
      </c>
      <c r="H653" s="28">
        <v>47.871540000000003</v>
      </c>
      <c r="I653" s="28">
        <v>50.006909999999998</v>
      </c>
      <c r="J653" s="29"/>
      <c r="K653" s="29"/>
      <c r="L653" s="29"/>
      <c r="M653" s="29"/>
      <c r="N653" s="29"/>
      <c r="P653" s="4">
        <f t="shared" si="42"/>
        <v>-4.5828892586094044E-3</v>
      </c>
      <c r="Q653" s="4">
        <f t="shared" si="42"/>
        <v>-3.1294302181881163E-3</v>
      </c>
      <c r="R653" s="4">
        <f t="shared" si="42"/>
        <v>-1.0927456638502395E-2</v>
      </c>
      <c r="S653" s="4">
        <f t="shared" si="42"/>
        <v>-4.4216530508555812E-3</v>
      </c>
      <c r="T653" s="4">
        <f t="shared" si="42"/>
        <v>-4.3670457145265455E-3</v>
      </c>
      <c r="U653" s="35"/>
      <c r="V653" s="35"/>
      <c r="W653" s="35"/>
      <c r="X653" s="35"/>
    </row>
    <row r="654" spans="4:24" x14ac:dyDescent="0.3">
      <c r="D654" s="23">
        <v>40528</v>
      </c>
      <c r="E654" s="5">
        <v>97.034087999999997</v>
      </c>
      <c r="F654" s="28">
        <v>55.08952</v>
      </c>
      <c r="G654" s="28">
        <v>133.81</v>
      </c>
      <c r="H654" s="28">
        <v>48.242789999999999</v>
      </c>
      <c r="I654" s="28">
        <v>50.30395</v>
      </c>
      <c r="J654" s="29"/>
      <c r="K654" s="29"/>
      <c r="L654" s="29"/>
      <c r="M654" s="29"/>
      <c r="N654" s="29"/>
      <c r="P654" s="4">
        <f t="shared" si="42"/>
        <v>5.7850140633532391E-3</v>
      </c>
      <c r="Q654" s="4">
        <f t="shared" si="42"/>
        <v>2.2545104737260071E-3</v>
      </c>
      <c r="R654" s="4">
        <f t="shared" si="42"/>
        <v>-6.6292000994207746E-3</v>
      </c>
      <c r="S654" s="4">
        <f t="shared" si="42"/>
        <v>7.7252132187722953E-3</v>
      </c>
      <c r="T654" s="4">
        <f t="shared" si="42"/>
        <v>5.9224069700985604E-3</v>
      </c>
      <c r="U654" s="35"/>
      <c r="V654" s="35"/>
      <c r="W654" s="35"/>
      <c r="X654" s="35"/>
    </row>
    <row r="655" spans="4:24" x14ac:dyDescent="0.3">
      <c r="D655" s="23">
        <v>40529</v>
      </c>
      <c r="E655" s="5">
        <v>97.138030999999998</v>
      </c>
      <c r="F655" s="28">
        <v>55.427120000000002</v>
      </c>
      <c r="G655" s="28">
        <v>134.19999999999999</v>
      </c>
      <c r="H655" s="28">
        <v>48.285310000000003</v>
      </c>
      <c r="I655" s="28">
        <v>50.397759999999998</v>
      </c>
      <c r="J655" s="29"/>
      <c r="K655" s="29"/>
      <c r="L655" s="29"/>
      <c r="M655" s="29"/>
      <c r="N655" s="29"/>
      <c r="P655" s="4">
        <f t="shared" si="42"/>
        <v>1.0706275490424532E-3</v>
      </c>
      <c r="Q655" s="4">
        <f t="shared" si="42"/>
        <v>6.1095062265015881E-3</v>
      </c>
      <c r="R655" s="4">
        <f t="shared" si="42"/>
        <v>2.9103412206838556E-3</v>
      </c>
      <c r="S655" s="4">
        <f t="shared" si="42"/>
        <v>8.8098704418966198E-4</v>
      </c>
      <c r="T655" s="4">
        <f t="shared" si="42"/>
        <v>1.863126795690583E-3</v>
      </c>
      <c r="U655" s="35"/>
      <c r="V655" s="35"/>
      <c r="W655" s="35"/>
      <c r="X655" s="35"/>
    </row>
    <row r="656" spans="4:24" x14ac:dyDescent="0.3">
      <c r="D656" s="23">
        <v>40532</v>
      </c>
      <c r="E656" s="5">
        <v>97.372467</v>
      </c>
      <c r="F656" s="28">
        <v>55.46161</v>
      </c>
      <c r="G656" s="28">
        <v>135.11000000000001</v>
      </c>
      <c r="H656" s="28">
        <v>48.320729999999998</v>
      </c>
      <c r="I656" s="28">
        <v>50.530650000000001</v>
      </c>
      <c r="J656" s="29"/>
      <c r="K656" s="29"/>
      <c r="L656" s="29"/>
      <c r="M656" s="29"/>
      <c r="N656" s="29"/>
      <c r="P656" s="4">
        <f t="shared" si="42"/>
        <v>2.4105240172519944E-3</v>
      </c>
      <c r="Q656" s="4">
        <f t="shared" si="42"/>
        <v>6.2206503965183638E-4</v>
      </c>
      <c r="R656" s="4">
        <f t="shared" si="42"/>
        <v>6.7580369342864098E-3</v>
      </c>
      <c r="S656" s="4">
        <f t="shared" si="42"/>
        <v>7.3328751674605957E-4</v>
      </c>
      <c r="T656" s="4">
        <f t="shared" si="42"/>
        <v>2.6333532212456357E-3</v>
      </c>
      <c r="U656" s="35"/>
      <c r="V656" s="35"/>
      <c r="W656" s="35"/>
      <c r="X656" s="35"/>
    </row>
    <row r="657" spans="4:24" x14ac:dyDescent="0.3">
      <c r="D657" s="23">
        <v>40533</v>
      </c>
      <c r="E657" s="5">
        <v>97.989875999999995</v>
      </c>
      <c r="F657" s="28">
        <v>55.523609999999998</v>
      </c>
      <c r="G657" s="28">
        <v>135.32</v>
      </c>
      <c r="H657" s="28">
        <v>48.61298</v>
      </c>
      <c r="I657" s="28">
        <v>50.835509999999999</v>
      </c>
      <c r="J657" s="29"/>
      <c r="K657" s="29"/>
      <c r="L657" s="29"/>
      <c r="M657" s="29"/>
      <c r="N657" s="29"/>
      <c r="P657" s="4">
        <f t="shared" si="42"/>
        <v>6.3206761960757979E-3</v>
      </c>
      <c r="Q657" s="4">
        <f t="shared" si="42"/>
        <v>1.1172660008144653E-3</v>
      </c>
      <c r="R657" s="4">
        <f t="shared" si="42"/>
        <v>1.5530824406398093E-3</v>
      </c>
      <c r="S657" s="4">
        <f t="shared" si="42"/>
        <v>6.0299123083834031E-3</v>
      </c>
      <c r="T657" s="4">
        <f t="shared" si="42"/>
        <v>6.0150432683113569E-3</v>
      </c>
      <c r="U657" s="35"/>
      <c r="V657" s="35"/>
      <c r="W657" s="35"/>
      <c r="X657" s="35"/>
    </row>
    <row r="658" spans="4:24" x14ac:dyDescent="0.3">
      <c r="D658" s="23">
        <v>40534</v>
      </c>
      <c r="E658" s="5">
        <v>98.294646999999998</v>
      </c>
      <c r="F658" s="28">
        <v>55.46161</v>
      </c>
      <c r="G658" s="28">
        <v>135.05000000000001</v>
      </c>
      <c r="H658" s="28">
        <v>48.604120000000002</v>
      </c>
      <c r="I658" s="28">
        <v>51.028849999999998</v>
      </c>
      <c r="J658" s="29"/>
      <c r="K658" s="29"/>
      <c r="L658" s="29"/>
      <c r="M658" s="29"/>
      <c r="N658" s="29"/>
      <c r="P658" s="4">
        <f t="shared" si="42"/>
        <v>3.1054027109638374E-3</v>
      </c>
      <c r="Q658" s="4">
        <f t="shared" si="42"/>
        <v>-1.1172660008145056E-3</v>
      </c>
      <c r="R658" s="4">
        <f t="shared" si="42"/>
        <v>-1.9972636738830258E-3</v>
      </c>
      <c r="S658" s="4">
        <f t="shared" si="42"/>
        <v>-1.8227246080224568E-4</v>
      </c>
      <c r="T658" s="4">
        <f t="shared" si="42"/>
        <v>3.7960329239177682E-3</v>
      </c>
      <c r="U658" s="35"/>
      <c r="V658" s="35"/>
      <c r="W658" s="35"/>
      <c r="X658" s="35"/>
    </row>
    <row r="659" spans="4:24" x14ac:dyDescent="0.3">
      <c r="D659" s="23">
        <v>40535</v>
      </c>
      <c r="E659" s="5">
        <v>98.153976</v>
      </c>
      <c r="F659" s="28">
        <v>55.399569999999997</v>
      </c>
      <c r="G659" s="28">
        <v>134.66</v>
      </c>
      <c r="H659" s="28">
        <v>48.480139999999999</v>
      </c>
      <c r="I659" s="28">
        <v>50.958120000000001</v>
      </c>
      <c r="J659" s="29"/>
      <c r="K659" s="29"/>
      <c r="L659" s="29"/>
      <c r="M659" s="29"/>
      <c r="N659" s="29"/>
      <c r="P659" s="4">
        <f t="shared" si="42"/>
        <v>-1.4321405963056897E-3</v>
      </c>
      <c r="Q659" s="4">
        <f t="shared" si="42"/>
        <v>-1.1192377074901332E-3</v>
      </c>
      <c r="R659" s="4">
        <f t="shared" si="42"/>
        <v>-2.8919971214898098E-3</v>
      </c>
      <c r="S659" s="4">
        <f t="shared" si="42"/>
        <v>-2.5540714302474464E-3</v>
      </c>
      <c r="T659" s="4">
        <f t="shared" si="42"/>
        <v>-1.3870401550250839E-3</v>
      </c>
      <c r="U659" s="35"/>
      <c r="V659" s="35"/>
      <c r="W659" s="35"/>
      <c r="X659" s="35"/>
    </row>
    <row r="660" spans="4:24" x14ac:dyDescent="0.3">
      <c r="D660" s="23">
        <v>40539</v>
      </c>
      <c r="E660" s="5">
        <v>98.193047000000007</v>
      </c>
      <c r="F660" s="28">
        <v>55.55433</v>
      </c>
      <c r="G660" s="28">
        <v>135.02000000000001</v>
      </c>
      <c r="H660" s="28">
        <v>48.506709999999998</v>
      </c>
      <c r="I660" s="28">
        <v>50.989550000000001</v>
      </c>
      <c r="J660" s="29"/>
      <c r="K660" s="29"/>
      <c r="L660" s="29"/>
      <c r="M660" s="29"/>
      <c r="N660" s="29"/>
      <c r="P660" s="4">
        <f t="shared" si="42"/>
        <v>3.9797904667706458E-4</v>
      </c>
      <c r="Q660" s="4">
        <f t="shared" si="42"/>
        <v>2.7896288523833511E-3</v>
      </c>
      <c r="R660" s="4">
        <f t="shared" si="42"/>
        <v>2.6698324965897554E-3</v>
      </c>
      <c r="S660" s="4">
        <f t="shared" si="42"/>
        <v>5.479093436831521E-4</v>
      </c>
      <c r="T660" s="4">
        <f t="shared" si="42"/>
        <v>6.1659086462239362E-4</v>
      </c>
      <c r="U660" s="35"/>
      <c r="V660" s="35"/>
      <c r="W660" s="35"/>
      <c r="X660" s="35"/>
    </row>
    <row r="661" spans="4:24" x14ac:dyDescent="0.3">
      <c r="D661" s="23">
        <v>40540</v>
      </c>
      <c r="E661" s="5">
        <v>98.333702000000002</v>
      </c>
      <c r="F661" s="28">
        <v>55.193429999999999</v>
      </c>
      <c r="G661" s="28">
        <v>137.22</v>
      </c>
      <c r="H661" s="28">
        <v>48.41816</v>
      </c>
      <c r="I661" s="28">
        <v>51.036709999999999</v>
      </c>
      <c r="J661" s="29"/>
      <c r="K661" s="29"/>
      <c r="L661" s="29"/>
      <c r="M661" s="29"/>
      <c r="N661" s="29"/>
      <c r="P661" s="4">
        <f t="shared" ref="P661:T676" si="43">LN(E661/E660)</f>
        <v>1.4314084442115659E-3</v>
      </c>
      <c r="Q661" s="4">
        <f t="shared" si="43"/>
        <v>-6.5175363823771204E-3</v>
      </c>
      <c r="R661" s="4">
        <f t="shared" si="43"/>
        <v>1.6162561649020229E-2</v>
      </c>
      <c r="S661" s="4">
        <f t="shared" si="43"/>
        <v>-1.8271889275936273E-3</v>
      </c>
      <c r="T661" s="4">
        <f t="shared" si="43"/>
        <v>9.2446794303234308E-4</v>
      </c>
      <c r="U661" s="35"/>
      <c r="V661" s="35"/>
      <c r="W661" s="35"/>
      <c r="X661" s="35"/>
    </row>
    <row r="662" spans="4:24" x14ac:dyDescent="0.3">
      <c r="D662" s="23">
        <v>40541</v>
      </c>
      <c r="E662" s="5">
        <v>98.404044999999996</v>
      </c>
      <c r="F662" s="28">
        <v>55.519660000000002</v>
      </c>
      <c r="G662" s="28">
        <v>137.71</v>
      </c>
      <c r="H662" s="28">
        <v>48.524419999999999</v>
      </c>
      <c r="I662" s="28">
        <v>51.115310000000001</v>
      </c>
      <c r="J662" s="29"/>
      <c r="K662" s="29"/>
      <c r="L662" s="29"/>
      <c r="M662" s="29"/>
      <c r="N662" s="29"/>
      <c r="P662" s="4">
        <f t="shared" si="43"/>
        <v>7.1509411966117831E-4</v>
      </c>
      <c r="Q662" s="4">
        <f t="shared" si="43"/>
        <v>5.8932678002195623E-3</v>
      </c>
      <c r="R662" s="4">
        <f t="shared" si="43"/>
        <v>3.5645474762898994E-3</v>
      </c>
      <c r="S662" s="4">
        <f t="shared" si="43"/>
        <v>2.1922264201314598E-3</v>
      </c>
      <c r="T662" s="4">
        <f t="shared" si="43"/>
        <v>1.5388832352302901E-3</v>
      </c>
      <c r="U662" s="35"/>
      <c r="V662" s="35"/>
      <c r="W662" s="35"/>
      <c r="X662" s="35"/>
    </row>
    <row r="663" spans="4:24" x14ac:dyDescent="0.3">
      <c r="D663" s="23">
        <v>40542</v>
      </c>
      <c r="E663" s="5">
        <v>98.247742000000002</v>
      </c>
      <c r="F663" s="28">
        <v>55.526600000000002</v>
      </c>
      <c r="G663" s="28">
        <v>137.03</v>
      </c>
      <c r="H663" s="28">
        <v>48.409300000000002</v>
      </c>
      <c r="I663" s="28">
        <v>51.052419999999998</v>
      </c>
      <c r="J663" s="29"/>
      <c r="K663" s="29"/>
      <c r="L663" s="29"/>
      <c r="M663" s="29"/>
      <c r="N663" s="29"/>
      <c r="P663" s="4">
        <f t="shared" si="43"/>
        <v>-1.5896426399047358E-3</v>
      </c>
      <c r="Q663" s="4">
        <f t="shared" si="43"/>
        <v>1.2499295355001487E-4</v>
      </c>
      <c r="R663" s="4">
        <f t="shared" si="43"/>
        <v>-4.9501447809250027E-3</v>
      </c>
      <c r="S663" s="4">
        <f t="shared" si="43"/>
        <v>-2.3752323571812747E-3</v>
      </c>
      <c r="T663" s="4">
        <f t="shared" si="43"/>
        <v>-1.231112954025971E-3</v>
      </c>
      <c r="U663" s="35"/>
      <c r="V663" s="35"/>
      <c r="W663" s="35"/>
      <c r="X663" s="35"/>
    </row>
    <row r="664" spans="4:24" x14ac:dyDescent="0.3">
      <c r="D664" s="23">
        <v>40543</v>
      </c>
      <c r="E664" s="5">
        <v>98.271186999999998</v>
      </c>
      <c r="F664" s="28">
        <v>55.714010000000002</v>
      </c>
      <c r="G664" s="28">
        <v>138.72</v>
      </c>
      <c r="H664" s="28">
        <v>48.232170000000004</v>
      </c>
      <c r="I664" s="28">
        <v>51.028849999999998</v>
      </c>
      <c r="J664" s="29"/>
      <c r="K664" s="29"/>
      <c r="L664" s="29"/>
      <c r="M664" s="29"/>
      <c r="N664" s="29"/>
      <c r="P664" s="4">
        <f t="shared" si="43"/>
        <v>2.3860297051812203E-4</v>
      </c>
      <c r="Q664" s="4">
        <f t="shared" si="43"/>
        <v>3.3694561241459E-3</v>
      </c>
      <c r="R664" s="4">
        <f t="shared" si="43"/>
        <v>1.2257633074122098E-2</v>
      </c>
      <c r="S664" s="4">
        <f t="shared" si="43"/>
        <v>-3.6657182128646401E-3</v>
      </c>
      <c r="T664" s="4">
        <f t="shared" si="43"/>
        <v>-4.6178893383388525E-4</v>
      </c>
      <c r="U664" s="35"/>
      <c r="V664" s="35"/>
      <c r="W664" s="35"/>
      <c r="X664" s="35"/>
    </row>
    <row r="665" spans="4:24" x14ac:dyDescent="0.3">
      <c r="D665" s="23">
        <v>40546</v>
      </c>
      <c r="E665" s="5">
        <v>99.287148000000002</v>
      </c>
      <c r="F665" s="28">
        <v>55.644590000000001</v>
      </c>
      <c r="G665" s="28">
        <v>138</v>
      </c>
      <c r="H665" s="28">
        <v>48.984969999999997</v>
      </c>
      <c r="I665" s="28">
        <v>51.555410000000002</v>
      </c>
      <c r="J665" s="29"/>
      <c r="K665" s="29"/>
      <c r="L665" s="29"/>
      <c r="M665" s="29"/>
      <c r="N665" s="29"/>
      <c r="P665" s="4">
        <f t="shared" si="43"/>
        <v>1.028526542548948E-2</v>
      </c>
      <c r="Q665" s="4">
        <f t="shared" si="43"/>
        <v>-1.2467830772405579E-3</v>
      </c>
      <c r="R665" s="4">
        <f t="shared" si="43"/>
        <v>-5.2038278750269982E-3</v>
      </c>
      <c r="S665" s="4">
        <f t="shared" si="43"/>
        <v>1.5487290552197377E-2</v>
      </c>
      <c r="T665" s="4">
        <f t="shared" si="43"/>
        <v>1.0265992551518954E-2</v>
      </c>
      <c r="U665" s="35"/>
      <c r="V665" s="35"/>
      <c r="W665" s="35"/>
      <c r="X665" s="35"/>
    </row>
    <row r="666" spans="4:24" x14ac:dyDescent="0.3">
      <c r="D666" s="23">
        <v>40547</v>
      </c>
      <c r="E666" s="5">
        <v>99.232399000000001</v>
      </c>
      <c r="F666" s="28">
        <v>55.651490000000003</v>
      </c>
      <c r="G666" s="28">
        <v>134.75</v>
      </c>
      <c r="H666" s="28">
        <v>48.94952</v>
      </c>
      <c r="I666" s="28">
        <v>51.453229999999998</v>
      </c>
      <c r="J666" s="29"/>
      <c r="K666" s="29"/>
      <c r="L666" s="29"/>
      <c r="M666" s="29"/>
      <c r="N666" s="29"/>
      <c r="P666" s="4">
        <f t="shared" si="43"/>
        <v>-5.5157290267273795E-4</v>
      </c>
      <c r="Q666" s="4">
        <f t="shared" si="43"/>
        <v>1.2399358555751584E-4</v>
      </c>
      <c r="R666" s="4">
        <f t="shared" si="43"/>
        <v>-2.3832475368098148E-2</v>
      </c>
      <c r="S666" s="4">
        <f t="shared" si="43"/>
        <v>-7.2395336001246293E-4</v>
      </c>
      <c r="T666" s="4">
        <f t="shared" si="43"/>
        <v>-1.9839119032004581E-3</v>
      </c>
      <c r="U666" s="35"/>
      <c r="V666" s="35"/>
      <c r="W666" s="35"/>
      <c r="X666" s="35"/>
    </row>
    <row r="667" spans="4:24" x14ac:dyDescent="0.3">
      <c r="D667" s="23">
        <v>40548</v>
      </c>
      <c r="E667" s="5">
        <v>99.748192000000003</v>
      </c>
      <c r="F667" s="28">
        <v>55.408569999999997</v>
      </c>
      <c r="G667" s="28">
        <v>134.37</v>
      </c>
      <c r="H667" s="28">
        <v>49.365789999999997</v>
      </c>
      <c r="I667" s="28">
        <v>51.736179999999997</v>
      </c>
      <c r="J667" s="29"/>
      <c r="K667" s="29"/>
      <c r="L667" s="29"/>
      <c r="M667" s="29"/>
      <c r="N667" s="29"/>
      <c r="P667" s="4">
        <f t="shared" si="43"/>
        <v>5.1843665021082171E-3</v>
      </c>
      <c r="Q667" s="4">
        <f t="shared" si="43"/>
        <v>-4.3745769162198559E-3</v>
      </c>
      <c r="R667" s="4">
        <f t="shared" si="43"/>
        <v>-2.8240209017881489E-3</v>
      </c>
      <c r="S667" s="4">
        <f t="shared" si="43"/>
        <v>8.4681111724969078E-3</v>
      </c>
      <c r="T667" s="4">
        <f t="shared" si="43"/>
        <v>5.4841036333541779E-3</v>
      </c>
      <c r="U667" s="35"/>
      <c r="V667" s="35"/>
      <c r="W667" s="35"/>
      <c r="X667" s="35"/>
    </row>
    <row r="668" spans="4:24" x14ac:dyDescent="0.3">
      <c r="D668" s="23">
        <v>40549</v>
      </c>
      <c r="E668" s="5">
        <v>99.552811000000005</v>
      </c>
      <c r="F668" s="28">
        <v>55.457160000000002</v>
      </c>
      <c r="G668" s="28">
        <v>133.83000000000001</v>
      </c>
      <c r="H668" s="28">
        <v>49.525190000000002</v>
      </c>
      <c r="I668" s="28">
        <v>51.618259999999999</v>
      </c>
      <c r="J668" s="29"/>
      <c r="K668" s="29"/>
      <c r="L668" s="29"/>
      <c r="M668" s="29"/>
      <c r="N668" s="29"/>
      <c r="P668" s="4">
        <f t="shared" si="43"/>
        <v>-1.9606631140767282E-3</v>
      </c>
      <c r="Q668" s="4">
        <f t="shared" si="43"/>
        <v>8.7655586827741221E-4</v>
      </c>
      <c r="R668" s="4">
        <f t="shared" si="43"/>
        <v>-4.0268510790352685E-3</v>
      </c>
      <c r="S668" s="4">
        <f t="shared" si="43"/>
        <v>3.2237548469697505E-3</v>
      </c>
      <c r="T668" s="4">
        <f t="shared" si="43"/>
        <v>-2.2818574831658198E-3</v>
      </c>
      <c r="U668" s="35"/>
      <c r="V668" s="35"/>
      <c r="W668" s="35"/>
      <c r="X668" s="35"/>
    </row>
    <row r="669" spans="4:24" x14ac:dyDescent="0.3">
      <c r="D669" s="23">
        <v>40550</v>
      </c>
      <c r="E669" s="5">
        <v>99.357460000000003</v>
      </c>
      <c r="F669" s="28">
        <v>55.665390000000002</v>
      </c>
      <c r="G669" s="28">
        <v>133.58000000000001</v>
      </c>
      <c r="H669" s="28">
        <v>49.480919999999998</v>
      </c>
      <c r="I669" s="28">
        <v>51.500399999999999</v>
      </c>
      <c r="J669" s="29"/>
      <c r="K669" s="29"/>
      <c r="L669" s="29"/>
      <c r="M669" s="29"/>
      <c r="N669" s="29"/>
      <c r="P669" s="4">
        <f t="shared" si="43"/>
        <v>-1.9642129270187633E-3</v>
      </c>
      <c r="Q669" s="4">
        <f t="shared" si="43"/>
        <v>3.7477585553581001E-3</v>
      </c>
      <c r="R669" s="4">
        <f t="shared" si="43"/>
        <v>-1.8697885107932127E-3</v>
      </c>
      <c r="S669" s="4">
        <f t="shared" si="43"/>
        <v>-8.9428830100331659E-4</v>
      </c>
      <c r="T669" s="4">
        <f t="shared" si="43"/>
        <v>-2.2859112273575536E-3</v>
      </c>
      <c r="U669" s="35"/>
      <c r="V669" s="35"/>
      <c r="W669" s="35"/>
      <c r="X669" s="35"/>
    </row>
    <row r="670" spans="4:24" x14ac:dyDescent="0.3">
      <c r="D670" s="23">
        <v>40553</v>
      </c>
      <c r="E670" s="5">
        <v>99.232399000000001</v>
      </c>
      <c r="F670" s="28">
        <v>55.797269999999997</v>
      </c>
      <c r="G670" s="28">
        <v>134.12</v>
      </c>
      <c r="H670" s="28">
        <v>49.666910000000001</v>
      </c>
      <c r="I670" s="28">
        <v>51.53969</v>
      </c>
      <c r="J670" s="29"/>
      <c r="K670" s="29"/>
      <c r="L670" s="29"/>
      <c r="M670" s="29"/>
      <c r="N670" s="29"/>
      <c r="P670" s="4">
        <f t="shared" si="43"/>
        <v>-1.259490461012831E-3</v>
      </c>
      <c r="Q670" s="4">
        <f t="shared" si="43"/>
        <v>2.3663541053111099E-3</v>
      </c>
      <c r="R670" s="4">
        <f t="shared" si="43"/>
        <v>4.0343723005378997E-3</v>
      </c>
      <c r="S670" s="4">
        <f t="shared" si="43"/>
        <v>3.7517758717153511E-3</v>
      </c>
      <c r="T670" s="4">
        <f t="shared" si="43"/>
        <v>7.6261583048304465E-4</v>
      </c>
      <c r="U670" s="35"/>
      <c r="V670" s="35"/>
      <c r="W670" s="35"/>
      <c r="X670" s="35"/>
    </row>
    <row r="671" spans="4:24" x14ac:dyDescent="0.3">
      <c r="D671" s="23">
        <v>40554</v>
      </c>
      <c r="E671" s="5">
        <v>99.584098999999995</v>
      </c>
      <c r="F671" s="28">
        <v>55.686199999999999</v>
      </c>
      <c r="G671" s="28">
        <v>134.91</v>
      </c>
      <c r="H671" s="28">
        <v>49.737760000000002</v>
      </c>
      <c r="I671" s="28">
        <v>51.744010000000003</v>
      </c>
      <c r="J671" s="29"/>
      <c r="K671" s="29"/>
      <c r="L671" s="29"/>
      <c r="M671" s="29"/>
      <c r="N671" s="29"/>
      <c r="P671" s="4">
        <f t="shared" si="43"/>
        <v>3.5379394606658088E-3</v>
      </c>
      <c r="Q671" s="4">
        <f t="shared" si="43"/>
        <v>-1.9925830573668912E-3</v>
      </c>
      <c r="R671" s="4">
        <f t="shared" si="43"/>
        <v>5.8729678526979121E-3</v>
      </c>
      <c r="S671" s="4">
        <f t="shared" si="43"/>
        <v>1.4254865892585355E-3</v>
      </c>
      <c r="T671" s="4">
        <f t="shared" si="43"/>
        <v>3.9564861934976471E-3</v>
      </c>
      <c r="U671" s="35"/>
      <c r="V671" s="35"/>
      <c r="W671" s="35"/>
      <c r="X671" s="35"/>
    </row>
    <row r="672" spans="4:24" x14ac:dyDescent="0.3">
      <c r="D672" s="23">
        <v>40555</v>
      </c>
      <c r="E672" s="5">
        <v>100.48278000000001</v>
      </c>
      <c r="F672" s="28">
        <v>55.651490000000003</v>
      </c>
      <c r="G672" s="28">
        <v>135.46</v>
      </c>
      <c r="H672" s="28">
        <v>50.092010000000002</v>
      </c>
      <c r="I672" s="28">
        <v>52.207709999999999</v>
      </c>
      <c r="J672" s="29"/>
      <c r="K672" s="29"/>
      <c r="L672" s="29"/>
      <c r="M672" s="29"/>
      <c r="N672" s="29"/>
      <c r="P672" s="4">
        <f t="shared" si="43"/>
        <v>8.9838662836294308E-3</v>
      </c>
      <c r="Q672" s="4">
        <f t="shared" si="43"/>
        <v>-6.2350855535972332E-4</v>
      </c>
      <c r="R672" s="4">
        <f t="shared" si="43"/>
        <v>4.0685043360319251E-3</v>
      </c>
      <c r="S672" s="4">
        <f t="shared" si="43"/>
        <v>7.0971111509765955E-3</v>
      </c>
      <c r="T672" s="4">
        <f t="shared" si="43"/>
        <v>8.9215084774778696E-3</v>
      </c>
      <c r="U672" s="35"/>
      <c r="V672" s="35"/>
      <c r="W672" s="35"/>
      <c r="X672" s="35"/>
    </row>
    <row r="673" spans="4:24" x14ac:dyDescent="0.3">
      <c r="D673" s="23">
        <v>40556</v>
      </c>
      <c r="E673" s="5">
        <v>100.318657</v>
      </c>
      <c r="F673" s="28">
        <v>55.825040000000001</v>
      </c>
      <c r="G673" s="28">
        <v>134.05000000000001</v>
      </c>
      <c r="H673" s="28">
        <v>50.109720000000003</v>
      </c>
      <c r="I673" s="28">
        <v>52.129130000000004</v>
      </c>
      <c r="J673" s="29"/>
      <c r="K673" s="29"/>
      <c r="L673" s="29"/>
      <c r="M673" s="29"/>
      <c r="N673" s="29"/>
      <c r="P673" s="4">
        <f t="shared" si="43"/>
        <v>-1.6346799006937158E-3</v>
      </c>
      <c r="Q673" s="4">
        <f t="shared" si="43"/>
        <v>3.113662404317328E-3</v>
      </c>
      <c r="R673" s="4">
        <f t="shared" si="43"/>
        <v>-1.0463529104789215E-2</v>
      </c>
      <c r="S673" s="4">
        <f t="shared" si="43"/>
        <v>3.5348691453547998E-4</v>
      </c>
      <c r="T673" s="4">
        <f t="shared" si="43"/>
        <v>-1.5062755371407681E-3</v>
      </c>
      <c r="U673" s="35"/>
      <c r="V673" s="35"/>
      <c r="W673" s="35"/>
      <c r="X673" s="35"/>
    </row>
    <row r="674" spans="4:24" x14ac:dyDescent="0.3">
      <c r="D674" s="23">
        <v>40557</v>
      </c>
      <c r="E674" s="5">
        <v>101.045433</v>
      </c>
      <c r="F674" s="28">
        <v>55.74868</v>
      </c>
      <c r="G674" s="28">
        <v>132.69</v>
      </c>
      <c r="H674" s="28">
        <v>50.481670000000001</v>
      </c>
      <c r="I674" s="28">
        <v>52.467059999999996</v>
      </c>
      <c r="J674" s="29"/>
      <c r="K674" s="29"/>
      <c r="L674" s="29"/>
      <c r="M674" s="29"/>
      <c r="N674" s="29"/>
      <c r="P674" s="4">
        <f t="shared" si="43"/>
        <v>7.2185577465697223E-3</v>
      </c>
      <c r="Q674" s="4">
        <f t="shared" si="43"/>
        <v>-1.3687813209437589E-3</v>
      </c>
      <c r="R674" s="4">
        <f t="shared" si="43"/>
        <v>-1.0197284133623337E-2</v>
      </c>
      <c r="S674" s="4">
        <f t="shared" si="43"/>
        <v>7.3952988456440927E-3</v>
      </c>
      <c r="T674" s="4">
        <f t="shared" si="43"/>
        <v>6.4616345163353425E-3</v>
      </c>
      <c r="U674" s="35"/>
      <c r="V674" s="35"/>
      <c r="W674" s="35"/>
      <c r="X674" s="35"/>
    </row>
    <row r="675" spans="4:24" x14ac:dyDescent="0.3">
      <c r="D675" s="23">
        <v>40561</v>
      </c>
      <c r="E675" s="5">
        <v>101.217392</v>
      </c>
      <c r="F675" s="28">
        <v>55.693159999999999</v>
      </c>
      <c r="G675" s="28">
        <v>133.43</v>
      </c>
      <c r="H675" s="28">
        <v>50.623399999999997</v>
      </c>
      <c r="I675" s="28">
        <v>52.600659999999998</v>
      </c>
      <c r="J675" s="29"/>
      <c r="K675" s="29"/>
      <c r="L675" s="29"/>
      <c r="M675" s="29"/>
      <c r="N675" s="29"/>
      <c r="P675" s="4">
        <f t="shared" si="43"/>
        <v>1.7003524145441339E-3</v>
      </c>
      <c r="Q675" s="4">
        <f t="shared" si="43"/>
        <v>-9.963942553957324E-4</v>
      </c>
      <c r="R675" s="4">
        <f t="shared" si="43"/>
        <v>5.5614152059842844E-3</v>
      </c>
      <c r="S675" s="4">
        <f t="shared" si="43"/>
        <v>2.8036198943631563E-3</v>
      </c>
      <c r="T675" s="4">
        <f t="shared" si="43"/>
        <v>2.5431230829896156E-3</v>
      </c>
      <c r="U675" s="35"/>
      <c r="V675" s="35"/>
      <c r="W675" s="35"/>
      <c r="X675" s="35"/>
    </row>
    <row r="676" spans="4:24" x14ac:dyDescent="0.3">
      <c r="D676" s="23">
        <v>40562</v>
      </c>
      <c r="E676" s="5">
        <v>100.22489899999999</v>
      </c>
      <c r="F676" s="28">
        <v>55.762590000000003</v>
      </c>
      <c r="G676" s="28">
        <v>133.72</v>
      </c>
      <c r="H676" s="28">
        <v>50.047719999999998</v>
      </c>
      <c r="I676" s="28">
        <v>51.97193</v>
      </c>
      <c r="J676" s="29"/>
      <c r="K676" s="29"/>
      <c r="L676" s="29"/>
      <c r="M676" s="29"/>
      <c r="N676" s="29"/>
      <c r="P676" s="4">
        <f t="shared" si="43"/>
        <v>-9.8539489995697945E-3</v>
      </c>
      <c r="Q676" s="4">
        <f t="shared" si="43"/>
        <v>1.2458757664958113E-3</v>
      </c>
      <c r="R676" s="4">
        <f t="shared" si="43"/>
        <v>2.1710657975685002E-3</v>
      </c>
      <c r="S676" s="4">
        <f t="shared" si="43"/>
        <v>-1.1436969710945077E-2</v>
      </c>
      <c r="T676" s="4">
        <f t="shared" si="43"/>
        <v>-1.2024902052967497E-2</v>
      </c>
      <c r="U676" s="35"/>
      <c r="V676" s="35"/>
      <c r="W676" s="35"/>
      <c r="X676" s="35"/>
    </row>
    <row r="677" spans="4:24" x14ac:dyDescent="0.3">
      <c r="D677" s="23">
        <v>40563</v>
      </c>
      <c r="E677" s="5">
        <v>100.092026</v>
      </c>
      <c r="F677" s="28">
        <v>55.55433</v>
      </c>
      <c r="G677" s="28">
        <v>131.19999999999999</v>
      </c>
      <c r="H677" s="28">
        <v>49.693480000000001</v>
      </c>
      <c r="I677" s="28">
        <v>51.814749999999997</v>
      </c>
      <c r="J677" s="29"/>
      <c r="K677" s="29"/>
      <c r="L677" s="29"/>
      <c r="M677" s="29"/>
      <c r="N677" s="29"/>
      <c r="P677" s="4">
        <f t="shared" ref="P677:T692" si="44">LN(E677/E676)</f>
        <v>-1.3266279869999873E-3</v>
      </c>
      <c r="Q677" s="4">
        <f t="shared" si="44"/>
        <v>-3.7417535983288635E-3</v>
      </c>
      <c r="R677" s="4">
        <f t="shared" si="44"/>
        <v>-1.9025185041909309E-2</v>
      </c>
      <c r="S677" s="4">
        <f t="shared" si="44"/>
        <v>-7.1032129039764191E-3</v>
      </c>
      <c r="T677" s="4">
        <f t="shared" si="44"/>
        <v>-3.0289073736198889E-3</v>
      </c>
      <c r="U677" s="35"/>
      <c r="V677" s="35"/>
      <c r="W677" s="35"/>
      <c r="X677" s="35"/>
    </row>
    <row r="678" spans="4:24" x14ac:dyDescent="0.3">
      <c r="D678" s="23">
        <v>40564</v>
      </c>
      <c r="E678" s="5">
        <v>100.318657</v>
      </c>
      <c r="F678" s="28">
        <v>55.665390000000002</v>
      </c>
      <c r="G678" s="28">
        <v>131.03</v>
      </c>
      <c r="H678" s="28">
        <v>49.312640000000002</v>
      </c>
      <c r="I678" s="28">
        <v>51.901209999999999</v>
      </c>
      <c r="J678" s="29"/>
      <c r="K678" s="29"/>
      <c r="L678" s="29"/>
      <c r="M678" s="29"/>
      <c r="N678" s="29"/>
      <c r="P678" s="4">
        <f t="shared" si="44"/>
        <v>2.2616668254559573E-3</v>
      </c>
      <c r="Q678" s="4">
        <f t="shared" si="44"/>
        <v>1.9971285112706226E-3</v>
      </c>
      <c r="R678" s="4">
        <f t="shared" si="44"/>
        <v>-1.2965718934946798E-3</v>
      </c>
      <c r="S678" s="4">
        <f t="shared" si="44"/>
        <v>-7.6932997352449836E-3</v>
      </c>
      <c r="T678" s="4">
        <f t="shared" si="44"/>
        <v>1.6672461987105559E-3</v>
      </c>
      <c r="U678" s="35"/>
      <c r="V678" s="35"/>
      <c r="W678" s="35"/>
      <c r="X678" s="35"/>
    </row>
    <row r="679" spans="4:24" x14ac:dyDescent="0.3">
      <c r="D679" s="23">
        <v>40567</v>
      </c>
      <c r="E679" s="5">
        <v>100.88912999999999</v>
      </c>
      <c r="F679" s="28">
        <v>55.658470000000001</v>
      </c>
      <c r="G679" s="28">
        <v>130.36000000000001</v>
      </c>
      <c r="H679" s="28">
        <v>49.994579999999999</v>
      </c>
      <c r="I679" s="28">
        <v>52.191989999999997</v>
      </c>
      <c r="J679" s="29"/>
      <c r="K679" s="29"/>
      <c r="L679" s="29"/>
      <c r="M679" s="29"/>
      <c r="N679" s="29"/>
      <c r="P679" s="4">
        <f t="shared" si="44"/>
        <v>5.6705014961423768E-3</v>
      </c>
      <c r="Q679" s="4">
        <f t="shared" si="44"/>
        <v>-1.2432195593852749E-4</v>
      </c>
      <c r="R679" s="4">
        <f t="shared" si="44"/>
        <v>-5.126450647132976E-3</v>
      </c>
      <c r="S679" s="4">
        <f t="shared" si="44"/>
        <v>1.3734161913623102E-2</v>
      </c>
      <c r="T679" s="4">
        <f t="shared" si="44"/>
        <v>5.5869308727547464E-3</v>
      </c>
      <c r="U679" s="35"/>
      <c r="V679" s="35"/>
      <c r="W679" s="35"/>
      <c r="X679" s="35"/>
    </row>
    <row r="680" spans="4:24" x14ac:dyDescent="0.3">
      <c r="D680" s="23">
        <v>40568</v>
      </c>
      <c r="E680" s="5">
        <v>100.94386299999999</v>
      </c>
      <c r="F680" s="28">
        <v>55.804200000000002</v>
      </c>
      <c r="G680" s="28">
        <v>130.1</v>
      </c>
      <c r="H680" s="28">
        <v>50.065429999999999</v>
      </c>
      <c r="I680" s="28">
        <v>52.223419999999997</v>
      </c>
      <c r="J680" s="29"/>
      <c r="K680" s="29"/>
      <c r="L680" s="29"/>
      <c r="M680" s="29"/>
      <c r="N680" s="29"/>
      <c r="P680" s="4">
        <f t="shared" si="44"/>
        <v>5.4235930932915145E-4</v>
      </c>
      <c r="Q680" s="4">
        <f t="shared" si="44"/>
        <v>2.6148679739352297E-3</v>
      </c>
      <c r="R680" s="4">
        <f t="shared" si="44"/>
        <v>-1.9964684509013349E-3</v>
      </c>
      <c r="S680" s="4">
        <f t="shared" si="44"/>
        <v>1.4161504049558969E-3</v>
      </c>
      <c r="T680" s="4">
        <f t="shared" si="44"/>
        <v>6.0201843672802848E-4</v>
      </c>
      <c r="U680" s="35"/>
      <c r="V680" s="35"/>
      <c r="W680" s="35"/>
      <c r="X680" s="35"/>
    </row>
    <row r="681" spans="4:24" x14ac:dyDescent="0.3">
      <c r="D681" s="23">
        <v>40569</v>
      </c>
      <c r="E681" s="5">
        <v>101.33457900000001</v>
      </c>
      <c r="F681" s="28">
        <v>55.609870000000001</v>
      </c>
      <c r="G681" s="28">
        <v>131.16</v>
      </c>
      <c r="H681" s="28">
        <v>50.331130000000002</v>
      </c>
      <c r="I681" s="28">
        <v>52.522060000000003</v>
      </c>
      <c r="J681" s="29"/>
      <c r="K681" s="29"/>
      <c r="L681" s="29"/>
      <c r="M681" s="29"/>
      <c r="N681" s="29"/>
      <c r="P681" s="4">
        <f t="shared" si="44"/>
        <v>3.8631549863258046E-3</v>
      </c>
      <c r="Q681" s="4">
        <f t="shared" si="44"/>
        <v>-3.488431884219211E-3</v>
      </c>
      <c r="R681" s="4">
        <f t="shared" si="44"/>
        <v>8.1145664579879481E-3</v>
      </c>
      <c r="S681" s="4">
        <f t="shared" si="44"/>
        <v>5.2930223968341485E-3</v>
      </c>
      <c r="T681" s="4">
        <f t="shared" si="44"/>
        <v>5.7022185434046609E-3</v>
      </c>
      <c r="U681" s="35"/>
      <c r="V681" s="35"/>
      <c r="W681" s="35"/>
      <c r="X681" s="35"/>
    </row>
    <row r="682" spans="4:24" x14ac:dyDescent="0.3">
      <c r="D682" s="23">
        <v>40570</v>
      </c>
      <c r="E682" s="5">
        <v>101.584671</v>
      </c>
      <c r="F682" s="28">
        <v>55.720939999999999</v>
      </c>
      <c r="G682" s="28">
        <v>127.93</v>
      </c>
      <c r="H682" s="28">
        <v>50.641109999999998</v>
      </c>
      <c r="I682" s="28">
        <v>52.679250000000003</v>
      </c>
      <c r="J682" s="29"/>
      <c r="K682" s="29"/>
      <c r="L682" s="29"/>
      <c r="M682" s="29"/>
      <c r="N682" s="29"/>
      <c r="P682" s="4">
        <f t="shared" si="44"/>
        <v>2.4649423514887113E-3</v>
      </c>
      <c r="Q682" s="4">
        <f t="shared" si="44"/>
        <v>1.9953153462206885E-3</v>
      </c>
      <c r="R682" s="4">
        <f t="shared" si="44"/>
        <v>-2.4934712647503771E-2</v>
      </c>
      <c r="S682" s="4">
        <f t="shared" si="44"/>
        <v>6.1399246727415488E-3</v>
      </c>
      <c r="T682" s="4">
        <f t="shared" si="44"/>
        <v>2.9883680532123424E-3</v>
      </c>
      <c r="U682" s="35"/>
      <c r="V682" s="35"/>
      <c r="W682" s="35"/>
      <c r="X682" s="35"/>
    </row>
    <row r="683" spans="4:24" x14ac:dyDescent="0.3">
      <c r="D683" s="23">
        <v>40571</v>
      </c>
      <c r="E683" s="5">
        <v>99.810730000000007</v>
      </c>
      <c r="F683" s="28">
        <v>55.838920000000002</v>
      </c>
      <c r="G683" s="28">
        <v>130.28</v>
      </c>
      <c r="H683" s="28">
        <v>49.356900000000003</v>
      </c>
      <c r="I683" s="28">
        <v>51.736179999999997</v>
      </c>
      <c r="J683" s="29"/>
      <c r="K683" s="29"/>
      <c r="L683" s="29"/>
      <c r="M683" s="29"/>
      <c r="N683" s="29"/>
      <c r="P683" s="4">
        <f t="shared" si="44"/>
        <v>-1.7616955209051391E-2</v>
      </c>
      <c r="Q683" s="4">
        <f t="shared" si="44"/>
        <v>2.1150984589501797E-3</v>
      </c>
      <c r="R683" s="4">
        <f t="shared" si="44"/>
        <v>1.820274107908906E-2</v>
      </c>
      <c r="S683" s="4">
        <f t="shared" si="44"/>
        <v>-2.5686123291876868E-2</v>
      </c>
      <c r="T683" s="4">
        <f t="shared" si="44"/>
        <v>-1.8064296531342443E-2</v>
      </c>
      <c r="U683" s="35"/>
      <c r="V683" s="35"/>
      <c r="W683" s="35"/>
      <c r="X683" s="35"/>
    </row>
    <row r="684" spans="4:24" x14ac:dyDescent="0.3">
      <c r="D684" s="23">
        <v>40574</v>
      </c>
      <c r="E684" s="5">
        <v>100.560913</v>
      </c>
      <c r="F684" s="28">
        <v>55.762590000000003</v>
      </c>
      <c r="G684" s="28">
        <v>129.87</v>
      </c>
      <c r="H684" s="28">
        <v>49.596060000000001</v>
      </c>
      <c r="I684" s="28">
        <v>52.074100000000001</v>
      </c>
      <c r="J684" s="29"/>
      <c r="K684" s="29"/>
      <c r="L684" s="29"/>
      <c r="M684" s="29"/>
      <c r="N684" s="29"/>
      <c r="P684" s="4">
        <f t="shared" si="44"/>
        <v>7.4879508293472265E-3</v>
      </c>
      <c r="Q684" s="4">
        <f t="shared" si="44"/>
        <v>-1.3679028518901203E-3</v>
      </c>
      <c r="R684" s="4">
        <f t="shared" si="44"/>
        <v>-3.1520302860338295E-3</v>
      </c>
      <c r="S684" s="4">
        <f t="shared" si="44"/>
        <v>4.833821356749474E-3</v>
      </c>
      <c r="T684" s="4">
        <f t="shared" si="44"/>
        <v>6.5103608921022746E-3</v>
      </c>
      <c r="U684" s="35"/>
      <c r="V684" s="35"/>
      <c r="W684" s="35"/>
      <c r="X684" s="35"/>
    </row>
    <row r="685" spans="4:24" x14ac:dyDescent="0.3">
      <c r="D685" s="23">
        <v>40575</v>
      </c>
      <c r="E685" s="5">
        <v>102.17076900000001</v>
      </c>
      <c r="F685" s="28">
        <v>55.654699999999998</v>
      </c>
      <c r="G685" s="28">
        <v>130.80000000000001</v>
      </c>
      <c r="H685" s="28">
        <v>50.525979999999997</v>
      </c>
      <c r="I685" s="28">
        <v>52.930729999999997</v>
      </c>
      <c r="J685" s="29"/>
      <c r="K685" s="29"/>
      <c r="L685" s="29"/>
      <c r="M685" s="29"/>
      <c r="N685" s="29"/>
      <c r="P685" s="4">
        <f t="shared" si="44"/>
        <v>1.5881975848742347E-2</v>
      </c>
      <c r="Q685" s="4">
        <f t="shared" si="44"/>
        <v>-1.9366838615859127E-3</v>
      </c>
      <c r="R685" s="4">
        <f t="shared" si="44"/>
        <v>7.1354889010995931E-3</v>
      </c>
      <c r="S685" s="4">
        <f t="shared" si="44"/>
        <v>1.8576264348178769E-2</v>
      </c>
      <c r="T685" s="4">
        <f t="shared" si="44"/>
        <v>1.6316373342836848E-2</v>
      </c>
      <c r="U685" s="35"/>
      <c r="V685" s="35"/>
      <c r="W685" s="35"/>
      <c r="X685" s="35"/>
    </row>
    <row r="686" spans="4:24" x14ac:dyDescent="0.3">
      <c r="D686" s="23">
        <v>40576</v>
      </c>
      <c r="E686" s="5">
        <v>101.97537199999999</v>
      </c>
      <c r="F686" s="28">
        <v>55.592019999999998</v>
      </c>
      <c r="G686" s="28">
        <v>130.44999999999999</v>
      </c>
      <c r="H686" s="28">
        <v>50.446269999999998</v>
      </c>
      <c r="I686" s="28">
        <v>52.867870000000003</v>
      </c>
      <c r="J686" s="29"/>
      <c r="K686" s="29"/>
      <c r="L686" s="29"/>
      <c r="M686" s="29"/>
      <c r="N686" s="29"/>
      <c r="P686" s="4">
        <f t="shared" si="44"/>
        <v>-1.9142860963433394E-3</v>
      </c>
      <c r="Q686" s="4">
        <f t="shared" si="44"/>
        <v>-1.1268648034335339E-3</v>
      </c>
      <c r="R686" s="4">
        <f t="shared" si="44"/>
        <v>-2.6794274403610296E-3</v>
      </c>
      <c r="S686" s="4">
        <f t="shared" si="44"/>
        <v>-1.5788499624046445E-3</v>
      </c>
      <c r="T686" s="4">
        <f t="shared" si="44"/>
        <v>-1.1882956371211336E-3</v>
      </c>
      <c r="U686" s="35"/>
      <c r="V686" s="35"/>
      <c r="W686" s="35"/>
      <c r="X686" s="35"/>
    </row>
    <row r="687" spans="4:24" x14ac:dyDescent="0.3">
      <c r="D687" s="23">
        <v>40577</v>
      </c>
      <c r="E687" s="5">
        <v>102.202011</v>
      </c>
      <c r="F687" s="28">
        <v>55.404110000000003</v>
      </c>
      <c r="G687" s="28">
        <v>132.19999999999999</v>
      </c>
      <c r="H687" s="28">
        <v>50.534820000000003</v>
      </c>
      <c r="I687" s="28">
        <v>52.98574</v>
      </c>
      <c r="J687" s="29"/>
      <c r="K687" s="29"/>
      <c r="L687" s="29"/>
      <c r="M687" s="29"/>
      <c r="N687" s="29"/>
      <c r="P687" s="4">
        <f t="shared" si="44"/>
        <v>2.2200215298327323E-3</v>
      </c>
      <c r="Q687" s="4">
        <f t="shared" si="44"/>
        <v>-3.3858870488595216E-3</v>
      </c>
      <c r="R687" s="4">
        <f t="shared" si="44"/>
        <v>1.3325915834848545E-2</v>
      </c>
      <c r="S687" s="4">
        <f t="shared" si="44"/>
        <v>1.7537941548620105E-3</v>
      </c>
      <c r="T687" s="4">
        <f t="shared" si="44"/>
        <v>2.2270388079662327E-3</v>
      </c>
      <c r="U687" s="35"/>
      <c r="V687" s="35"/>
      <c r="W687" s="35"/>
      <c r="X687" s="35"/>
    </row>
    <row r="688" spans="4:24" x14ac:dyDescent="0.3">
      <c r="D688" s="23">
        <v>40578</v>
      </c>
      <c r="E688" s="5">
        <v>102.49118</v>
      </c>
      <c r="F688" s="28">
        <v>55.216189999999997</v>
      </c>
      <c r="G688" s="28">
        <v>131.66</v>
      </c>
      <c r="H688" s="28">
        <v>50.818249999999999</v>
      </c>
      <c r="I688" s="28">
        <v>53.135080000000002</v>
      </c>
      <c r="J688" s="29"/>
      <c r="K688" s="29"/>
      <c r="L688" s="29"/>
      <c r="M688" s="29"/>
      <c r="N688" s="29"/>
      <c r="P688" s="4">
        <f t="shared" si="44"/>
        <v>2.8253914158358068E-3</v>
      </c>
      <c r="Q688" s="4">
        <f t="shared" si="44"/>
        <v>-3.3975713457844426E-3</v>
      </c>
      <c r="R688" s="4">
        <f t="shared" si="44"/>
        <v>-4.0930853778551966E-3</v>
      </c>
      <c r="S688" s="4">
        <f t="shared" si="44"/>
        <v>5.5929384049209193E-3</v>
      </c>
      <c r="T688" s="4">
        <f t="shared" si="44"/>
        <v>2.8145296763447273E-3</v>
      </c>
      <c r="U688" s="35"/>
      <c r="V688" s="35"/>
      <c r="W688" s="35"/>
      <c r="X688" s="35"/>
    </row>
    <row r="689" spans="4:24" x14ac:dyDescent="0.3">
      <c r="D689" s="23">
        <v>40581</v>
      </c>
      <c r="E689" s="5">
        <v>103.131996</v>
      </c>
      <c r="F689" s="28">
        <v>55.223140000000001</v>
      </c>
      <c r="G689" s="28">
        <v>131.68</v>
      </c>
      <c r="H689" s="28">
        <v>51.05735</v>
      </c>
      <c r="I689" s="28">
        <v>53.488720000000001</v>
      </c>
      <c r="J689" s="29"/>
      <c r="K689" s="29"/>
      <c r="L689" s="29"/>
      <c r="M689" s="29"/>
      <c r="N689" s="29"/>
      <c r="P689" s="4">
        <f t="shared" si="44"/>
        <v>6.2329362582499983E-3</v>
      </c>
      <c r="Q689" s="4">
        <f t="shared" si="44"/>
        <v>1.2586095930093856E-4</v>
      </c>
      <c r="R689" s="4">
        <f t="shared" si="44"/>
        <v>1.5189488902912337E-4</v>
      </c>
      <c r="S689" s="4">
        <f t="shared" si="44"/>
        <v>4.6939687032847496E-3</v>
      </c>
      <c r="T689" s="4">
        <f t="shared" si="44"/>
        <v>6.6334401278804406E-3</v>
      </c>
      <c r="U689" s="35"/>
      <c r="V689" s="35"/>
      <c r="W689" s="35"/>
      <c r="X689" s="35"/>
    </row>
    <row r="690" spans="4:24" x14ac:dyDescent="0.3">
      <c r="D690" s="23">
        <v>40582</v>
      </c>
      <c r="E690" s="5">
        <v>103.600914</v>
      </c>
      <c r="F690" s="28">
        <v>55.049129999999998</v>
      </c>
      <c r="G690" s="28">
        <v>133.13999999999999</v>
      </c>
      <c r="H690" s="28">
        <v>51.393900000000002</v>
      </c>
      <c r="I690" s="28">
        <v>53.755940000000002</v>
      </c>
      <c r="J690" s="29"/>
      <c r="K690" s="29"/>
      <c r="L690" s="29"/>
      <c r="M690" s="29"/>
      <c r="N690" s="29"/>
      <c r="P690" s="4">
        <f t="shared" si="44"/>
        <v>4.5364698264716312E-3</v>
      </c>
      <c r="Q690" s="4">
        <f t="shared" si="44"/>
        <v>-3.1560091115197726E-3</v>
      </c>
      <c r="R690" s="4">
        <f t="shared" si="44"/>
        <v>1.102646924379767E-2</v>
      </c>
      <c r="S690" s="4">
        <f t="shared" si="44"/>
        <v>6.5699776349528467E-3</v>
      </c>
      <c r="T690" s="4">
        <f t="shared" si="44"/>
        <v>4.9833819793675812E-3</v>
      </c>
      <c r="U690" s="35"/>
      <c r="V690" s="35"/>
      <c r="W690" s="35"/>
      <c r="X690" s="35"/>
    </row>
    <row r="691" spans="4:24" x14ac:dyDescent="0.3">
      <c r="D691" s="23">
        <v>40583</v>
      </c>
      <c r="E691" s="5">
        <v>103.366463</v>
      </c>
      <c r="F691" s="28">
        <v>55.181370000000001</v>
      </c>
      <c r="G691" s="28">
        <v>133.07</v>
      </c>
      <c r="H691" s="28">
        <v>51.305349999999997</v>
      </c>
      <c r="I691" s="28">
        <v>53.61448</v>
      </c>
      <c r="J691" s="29"/>
      <c r="K691" s="29"/>
      <c r="L691" s="29"/>
      <c r="M691" s="29"/>
      <c r="N691" s="29"/>
      <c r="P691" s="4">
        <f t="shared" si="44"/>
        <v>-2.2655850760864783E-3</v>
      </c>
      <c r="Q691" s="4">
        <f t="shared" si="44"/>
        <v>2.3993370880134191E-3</v>
      </c>
      <c r="R691" s="4">
        <f t="shared" si="44"/>
        <v>-5.2590061690645034E-4</v>
      </c>
      <c r="S691" s="4">
        <f t="shared" si="44"/>
        <v>-1.7244531375588219E-3</v>
      </c>
      <c r="T691" s="4">
        <f t="shared" si="44"/>
        <v>-2.6349916829705249E-3</v>
      </c>
      <c r="U691" s="35"/>
      <c r="V691" s="35"/>
      <c r="W691" s="35"/>
      <c r="X691" s="35"/>
    </row>
    <row r="692" spans="4:24" x14ac:dyDescent="0.3">
      <c r="D692" s="23">
        <v>40584</v>
      </c>
      <c r="E692" s="5">
        <v>103.40551000000001</v>
      </c>
      <c r="F692" s="28">
        <v>55.00741</v>
      </c>
      <c r="G692" s="28">
        <v>132.85</v>
      </c>
      <c r="H692" s="28">
        <v>51.385060000000003</v>
      </c>
      <c r="I692" s="28">
        <v>53.677340000000001</v>
      </c>
      <c r="J692" s="29"/>
      <c r="K692" s="29"/>
      <c r="L692" s="29"/>
      <c r="M692" s="29"/>
      <c r="N692" s="29"/>
      <c r="P692" s="4">
        <f t="shared" si="44"/>
        <v>3.7768175152208913E-4</v>
      </c>
      <c r="Q692" s="4">
        <f t="shared" si="44"/>
        <v>-3.1574928868127361E-3</v>
      </c>
      <c r="R692" s="4">
        <f t="shared" si="44"/>
        <v>-1.6546333498285385E-3</v>
      </c>
      <c r="S692" s="4">
        <f t="shared" si="44"/>
        <v>1.5524334942038111E-3</v>
      </c>
      <c r="T692" s="4">
        <f t="shared" si="44"/>
        <v>1.1717576827816939E-3</v>
      </c>
      <c r="U692" s="35"/>
      <c r="V692" s="35"/>
      <c r="W692" s="35"/>
      <c r="X692" s="35"/>
    </row>
    <row r="693" spans="4:24" x14ac:dyDescent="0.3">
      <c r="D693" s="23">
        <v>40585</v>
      </c>
      <c r="E693" s="5">
        <v>104.022896</v>
      </c>
      <c r="F693" s="28">
        <v>55.195320000000002</v>
      </c>
      <c r="G693" s="28">
        <v>132.32</v>
      </c>
      <c r="H693" s="28">
        <v>51.757019999999997</v>
      </c>
      <c r="I693" s="28">
        <v>54.030999999999999</v>
      </c>
      <c r="J693" s="29"/>
      <c r="K693" s="29"/>
      <c r="L693" s="29"/>
      <c r="M693" s="29"/>
      <c r="N693" s="29"/>
      <c r="P693" s="4">
        <f t="shared" ref="P693:T708" si="45">LN(E693/E692)</f>
        <v>5.9527799015012314E-3</v>
      </c>
      <c r="Q693" s="4">
        <f t="shared" si="45"/>
        <v>3.4102636498112705E-3</v>
      </c>
      <c r="R693" s="4">
        <f t="shared" si="45"/>
        <v>-3.9974409304413625E-3</v>
      </c>
      <c r="S693" s="4">
        <f t="shared" si="45"/>
        <v>7.2126063871816998E-3</v>
      </c>
      <c r="T693" s="4">
        <f t="shared" si="45"/>
        <v>6.5670173913340074E-3</v>
      </c>
      <c r="U693" s="35"/>
      <c r="V693" s="35"/>
      <c r="W693" s="35"/>
      <c r="X693" s="35"/>
    </row>
    <row r="694" spans="4:24" x14ac:dyDescent="0.3">
      <c r="D694" s="23">
        <v>40588</v>
      </c>
      <c r="E694" s="5">
        <v>104.272949</v>
      </c>
      <c r="F694" s="28">
        <v>55.257930000000002</v>
      </c>
      <c r="G694" s="28">
        <v>132.94999999999999</v>
      </c>
      <c r="H694" s="28">
        <v>51.881</v>
      </c>
      <c r="I694" s="28">
        <v>54.172469999999997</v>
      </c>
      <c r="J694" s="29"/>
      <c r="K694" s="29"/>
      <c r="L694" s="29"/>
      <c r="M694" s="29"/>
      <c r="N694" s="29"/>
      <c r="P694" s="4">
        <f t="shared" si="45"/>
        <v>2.4009419882538366E-3</v>
      </c>
      <c r="Q694" s="4">
        <f t="shared" si="45"/>
        <v>1.1336924301608266E-3</v>
      </c>
      <c r="R694" s="4">
        <f t="shared" si="45"/>
        <v>4.7498864136475182E-3</v>
      </c>
      <c r="S694" s="4">
        <f t="shared" si="45"/>
        <v>2.392559393588766E-3</v>
      </c>
      <c r="T694" s="4">
        <f t="shared" si="45"/>
        <v>2.6148899034416904E-3</v>
      </c>
      <c r="U694" s="35"/>
      <c r="V694" s="35"/>
      <c r="W694" s="35"/>
      <c r="X694" s="35"/>
    </row>
    <row r="695" spans="4:24" x14ac:dyDescent="0.3">
      <c r="D695" s="23">
        <v>40589</v>
      </c>
      <c r="E695" s="5">
        <v>103.944695</v>
      </c>
      <c r="F695" s="28">
        <v>55.334530000000001</v>
      </c>
      <c r="G695" s="28">
        <v>133.97</v>
      </c>
      <c r="H695" s="28">
        <v>51.810169999999999</v>
      </c>
      <c r="I695" s="28">
        <v>53.999569999999999</v>
      </c>
      <c r="J695" s="29"/>
      <c r="K695" s="29"/>
      <c r="L695" s="29"/>
      <c r="M695" s="29"/>
      <c r="N695" s="29"/>
      <c r="P695" s="4">
        <f t="shared" si="45"/>
        <v>-3.152991894777434E-3</v>
      </c>
      <c r="Q695" s="4">
        <f t="shared" si="45"/>
        <v>1.3852664503417483E-3</v>
      </c>
      <c r="R695" s="4">
        <f t="shared" si="45"/>
        <v>7.6427765998657504E-3</v>
      </c>
      <c r="S695" s="4">
        <f t="shared" si="45"/>
        <v>-1.3661724719006491E-3</v>
      </c>
      <c r="T695" s="4">
        <f t="shared" si="45"/>
        <v>-3.1967622546989994E-3</v>
      </c>
      <c r="U695" s="35"/>
      <c r="V695" s="35"/>
      <c r="W695" s="35"/>
      <c r="X695" s="35"/>
    </row>
    <row r="696" spans="4:24" x14ac:dyDescent="0.3">
      <c r="D696" s="23">
        <v>40590</v>
      </c>
      <c r="E696" s="5">
        <v>104.601173</v>
      </c>
      <c r="F696" s="28">
        <v>55.35539</v>
      </c>
      <c r="G696" s="28">
        <v>134.1</v>
      </c>
      <c r="H696" s="28">
        <v>52.146700000000003</v>
      </c>
      <c r="I696" s="28">
        <v>54.35324</v>
      </c>
      <c r="J696" s="29"/>
      <c r="K696" s="29"/>
      <c r="L696" s="29"/>
      <c r="M696" s="29"/>
      <c r="N696" s="29"/>
      <c r="P696" s="4">
        <f t="shared" si="45"/>
        <v>6.2957868663829353E-3</v>
      </c>
      <c r="Q696" s="4">
        <f t="shared" si="45"/>
        <v>3.7690876001989285E-4</v>
      </c>
      <c r="R696" s="4">
        <f t="shared" si="45"/>
        <v>9.6989599873843074E-4</v>
      </c>
      <c r="S696" s="4">
        <f t="shared" si="45"/>
        <v>6.4744384005492334E-3</v>
      </c>
      <c r="T696" s="4">
        <f t="shared" si="45"/>
        <v>6.5281418362459383E-3</v>
      </c>
      <c r="U696" s="35"/>
      <c r="V696" s="35"/>
      <c r="W696" s="35"/>
      <c r="X696" s="35"/>
    </row>
    <row r="697" spans="4:24" x14ac:dyDescent="0.3">
      <c r="D697" s="23">
        <v>40591</v>
      </c>
      <c r="E697" s="5">
        <v>104.913788</v>
      </c>
      <c r="F697" s="28">
        <v>55.438890000000001</v>
      </c>
      <c r="G697" s="28">
        <v>135.04</v>
      </c>
      <c r="H697" s="28">
        <v>52.128999999999998</v>
      </c>
      <c r="I697" s="28">
        <v>54.549700000000001</v>
      </c>
      <c r="J697" s="29"/>
      <c r="K697" s="29"/>
      <c r="L697" s="29"/>
      <c r="M697" s="29"/>
      <c r="N697" s="29"/>
      <c r="P697" s="4">
        <f t="shared" si="45"/>
        <v>2.9841805139157918E-3</v>
      </c>
      <c r="Q697" s="4">
        <f t="shared" si="45"/>
        <v>1.5072983155624282E-3</v>
      </c>
      <c r="R697" s="4">
        <f t="shared" si="45"/>
        <v>6.9852405600141906E-3</v>
      </c>
      <c r="S697" s="4">
        <f t="shared" si="45"/>
        <v>-3.3948465788284779E-4</v>
      </c>
      <c r="T697" s="4">
        <f t="shared" si="45"/>
        <v>3.6079873163997016E-3</v>
      </c>
      <c r="U697" s="35"/>
      <c r="V697" s="35"/>
      <c r="W697" s="35"/>
      <c r="X697" s="35"/>
    </row>
    <row r="698" spans="4:24" x14ac:dyDescent="0.3">
      <c r="D698" s="23">
        <v>40592</v>
      </c>
      <c r="E698" s="5">
        <v>105.132576</v>
      </c>
      <c r="F698" s="28">
        <v>55.438890000000001</v>
      </c>
      <c r="G698" s="28">
        <v>135.41</v>
      </c>
      <c r="H698" s="28">
        <v>52.013849999999998</v>
      </c>
      <c r="I698" s="28">
        <v>54.651879999999998</v>
      </c>
      <c r="J698" s="29"/>
      <c r="K698" s="29"/>
      <c r="L698" s="29"/>
      <c r="M698" s="29"/>
      <c r="N698" s="29"/>
      <c r="P698" s="4">
        <f t="shared" si="45"/>
        <v>2.0832360528363738E-3</v>
      </c>
      <c r="Q698" s="4">
        <f t="shared" si="45"/>
        <v>0</v>
      </c>
      <c r="R698" s="4">
        <f t="shared" si="45"/>
        <v>2.7361821470856559E-3</v>
      </c>
      <c r="S698" s="4">
        <f t="shared" si="45"/>
        <v>-2.2113865123881164E-3</v>
      </c>
      <c r="T698" s="4">
        <f t="shared" si="45"/>
        <v>1.8714020405340016E-3</v>
      </c>
      <c r="U698" s="35"/>
      <c r="V698" s="35"/>
      <c r="W698" s="35"/>
      <c r="X698" s="35"/>
    </row>
    <row r="699" spans="4:24" x14ac:dyDescent="0.3">
      <c r="D699" s="23">
        <v>40596</v>
      </c>
      <c r="E699" s="5">
        <v>103.022598</v>
      </c>
      <c r="F699" s="28">
        <v>55.64772</v>
      </c>
      <c r="G699" s="28">
        <v>136.29</v>
      </c>
      <c r="H699" s="28">
        <v>50.508249999999997</v>
      </c>
      <c r="I699" s="28">
        <v>53.480879999999999</v>
      </c>
      <c r="J699" s="29"/>
      <c r="K699" s="29"/>
      <c r="L699" s="29"/>
      <c r="M699" s="29"/>
      <c r="N699" s="29"/>
      <c r="P699" s="4">
        <f t="shared" si="45"/>
        <v>-2.0273820060182423E-2</v>
      </c>
      <c r="Q699" s="4">
        <f t="shared" si="45"/>
        <v>3.7597734956513426E-3</v>
      </c>
      <c r="R699" s="4">
        <f t="shared" si="45"/>
        <v>6.4777554446888656E-3</v>
      </c>
      <c r="S699" s="4">
        <f t="shared" si="45"/>
        <v>-2.9373339996312725E-2</v>
      </c>
      <c r="T699" s="4">
        <f t="shared" si="45"/>
        <v>-2.1659407914982897E-2</v>
      </c>
      <c r="U699" s="35"/>
      <c r="V699" s="35"/>
      <c r="W699" s="35"/>
      <c r="X699" s="35"/>
    </row>
    <row r="700" spans="4:24" x14ac:dyDescent="0.3">
      <c r="D700" s="23">
        <v>40597</v>
      </c>
      <c r="E700" s="5">
        <v>102.38961</v>
      </c>
      <c r="F700" s="28">
        <v>55.64076</v>
      </c>
      <c r="G700" s="28">
        <v>137.51</v>
      </c>
      <c r="H700" s="28">
        <v>50.092010000000002</v>
      </c>
      <c r="I700" s="28">
        <v>53.032890000000002</v>
      </c>
      <c r="J700" s="29"/>
      <c r="K700" s="29"/>
      <c r="L700" s="29"/>
      <c r="M700" s="29"/>
      <c r="N700" s="29"/>
      <c r="P700" s="4">
        <f t="shared" si="45"/>
        <v>-6.1631196099019665E-3</v>
      </c>
      <c r="Q700" s="4">
        <f t="shared" si="45"/>
        <v>-1.2508033192785758E-4</v>
      </c>
      <c r="R700" s="4">
        <f t="shared" si="45"/>
        <v>8.911673295431825E-3</v>
      </c>
      <c r="S700" s="4">
        <f t="shared" si="45"/>
        <v>-8.2751749406789407E-3</v>
      </c>
      <c r="T700" s="4">
        <f t="shared" si="45"/>
        <v>-8.4119197294260668E-3</v>
      </c>
      <c r="U700" s="35"/>
      <c r="V700" s="35"/>
      <c r="W700" s="35"/>
      <c r="X700" s="35"/>
    </row>
    <row r="701" spans="4:24" x14ac:dyDescent="0.3">
      <c r="D701" s="23">
        <v>40598</v>
      </c>
      <c r="E701" s="5">
        <v>102.319237</v>
      </c>
      <c r="F701" s="28">
        <v>55.696469999999998</v>
      </c>
      <c r="G701" s="28">
        <v>136.47999999999999</v>
      </c>
      <c r="H701" s="28">
        <v>50.357700000000001</v>
      </c>
      <c r="I701" s="28">
        <v>53.040790000000001</v>
      </c>
      <c r="J701" s="29"/>
      <c r="K701" s="29"/>
      <c r="L701" s="29"/>
      <c r="M701" s="29"/>
      <c r="N701" s="29"/>
      <c r="P701" s="4">
        <f t="shared" si="45"/>
        <v>-6.87542368622675E-4</v>
      </c>
      <c r="Q701" s="4">
        <f t="shared" si="45"/>
        <v>1.0007435006133671E-3</v>
      </c>
      <c r="R701" s="4">
        <f t="shared" si="45"/>
        <v>-7.5185579914843915E-3</v>
      </c>
      <c r="S701" s="4">
        <f t="shared" si="45"/>
        <v>5.2900226311514862E-3</v>
      </c>
      <c r="T701" s="4">
        <f t="shared" si="45"/>
        <v>1.489530676150917E-4</v>
      </c>
      <c r="U701" s="35"/>
      <c r="V701" s="35"/>
      <c r="W701" s="35"/>
      <c r="X701" s="35"/>
    </row>
    <row r="702" spans="4:24" x14ac:dyDescent="0.3">
      <c r="D702" s="23">
        <v>40599</v>
      </c>
      <c r="E702" s="5">
        <v>103.413338</v>
      </c>
      <c r="F702" s="28">
        <v>55.84957</v>
      </c>
      <c r="G702" s="28">
        <v>137.38</v>
      </c>
      <c r="H702" s="28">
        <v>51.05735</v>
      </c>
      <c r="I702" s="28">
        <v>53.708779999999997</v>
      </c>
      <c r="J702" s="29"/>
      <c r="K702" s="29"/>
      <c r="L702" s="29"/>
      <c r="M702" s="29"/>
      <c r="N702" s="29"/>
      <c r="P702" s="4">
        <f t="shared" si="45"/>
        <v>1.0636247707455516E-2</v>
      </c>
      <c r="Q702" s="4">
        <f t="shared" si="45"/>
        <v>2.7450565907730169E-3</v>
      </c>
      <c r="R702" s="4">
        <f t="shared" si="45"/>
        <v>6.5727250423666317E-3</v>
      </c>
      <c r="S702" s="4">
        <f t="shared" si="45"/>
        <v>1.3797973775094037E-2</v>
      </c>
      <c r="T702" s="4">
        <f t="shared" si="45"/>
        <v>1.2515248895104615E-2</v>
      </c>
      <c r="U702" s="35"/>
      <c r="V702" s="35"/>
      <c r="W702" s="35"/>
      <c r="X702" s="35"/>
    </row>
    <row r="703" spans="4:24" x14ac:dyDescent="0.3">
      <c r="D703" s="23">
        <v>40602</v>
      </c>
      <c r="E703" s="5">
        <v>104.054123</v>
      </c>
      <c r="F703" s="28">
        <v>55.926160000000003</v>
      </c>
      <c r="G703" s="28">
        <v>137.66</v>
      </c>
      <c r="H703" s="28">
        <v>51.163640000000001</v>
      </c>
      <c r="I703" s="28">
        <v>53.999569999999999</v>
      </c>
      <c r="J703" s="29"/>
      <c r="K703" s="29"/>
      <c r="L703" s="29"/>
      <c r="M703" s="29"/>
      <c r="N703" s="29"/>
      <c r="P703" s="4">
        <f t="shared" si="45"/>
        <v>6.1772292822038534E-3</v>
      </c>
      <c r="Q703" s="4">
        <f t="shared" si="45"/>
        <v>1.3704229350453368E-3</v>
      </c>
      <c r="R703" s="4">
        <f t="shared" si="45"/>
        <v>2.0360681844826646E-3</v>
      </c>
      <c r="S703" s="4">
        <f t="shared" si="45"/>
        <v>2.0796127743787792E-3</v>
      </c>
      <c r="T703" s="4">
        <f t="shared" si="45"/>
        <v>5.3995944885097159E-3</v>
      </c>
      <c r="U703" s="35"/>
      <c r="V703" s="35"/>
      <c r="W703" s="35"/>
      <c r="X703" s="35"/>
    </row>
    <row r="704" spans="4:24" x14ac:dyDescent="0.3">
      <c r="D704" s="23">
        <v>40603</v>
      </c>
      <c r="E704" s="5">
        <v>102.319237</v>
      </c>
      <c r="F704" s="28">
        <v>55.899610000000003</v>
      </c>
      <c r="G704" s="28">
        <v>140.03</v>
      </c>
      <c r="H704" s="28">
        <v>50.33999</v>
      </c>
      <c r="I704" s="28">
        <v>53.08793</v>
      </c>
      <c r="J704" s="29"/>
      <c r="K704" s="29"/>
      <c r="L704" s="29"/>
      <c r="M704" s="29"/>
      <c r="N704" s="29"/>
      <c r="P704" s="4">
        <f t="shared" si="45"/>
        <v>-1.6813476989659324E-2</v>
      </c>
      <c r="Q704" s="4">
        <f t="shared" si="45"/>
        <v>-4.7484583381580758E-4</v>
      </c>
      <c r="R704" s="4">
        <f t="shared" si="45"/>
        <v>1.7069808397467523E-2</v>
      </c>
      <c r="S704" s="4">
        <f t="shared" si="45"/>
        <v>-1.6229332457101807E-2</v>
      </c>
      <c r="T704" s="4">
        <f t="shared" si="45"/>
        <v>-1.7026488127842982E-2</v>
      </c>
      <c r="U704" s="35"/>
      <c r="V704" s="35"/>
      <c r="W704" s="35"/>
      <c r="X704" s="35"/>
    </row>
    <row r="705" spans="4:24" x14ac:dyDescent="0.3">
      <c r="D705" s="23">
        <v>40604</v>
      </c>
      <c r="E705" s="5">
        <v>102.538094</v>
      </c>
      <c r="F705" s="28">
        <v>55.787950000000002</v>
      </c>
      <c r="G705" s="28">
        <v>139.91999999999999</v>
      </c>
      <c r="H705" s="28">
        <v>50.60568</v>
      </c>
      <c r="I705" s="28">
        <v>53.197940000000003</v>
      </c>
      <c r="J705" s="29"/>
      <c r="K705" s="29"/>
      <c r="L705" s="29"/>
      <c r="M705" s="29"/>
      <c r="N705" s="29"/>
      <c r="P705" s="4">
        <f t="shared" si="45"/>
        <v>2.1366780695196656E-3</v>
      </c>
      <c r="Q705" s="4">
        <f t="shared" si="45"/>
        <v>-1.9995071465730581E-3</v>
      </c>
      <c r="R705" s="4">
        <f t="shared" si="45"/>
        <v>-7.8585465733920271E-4</v>
      </c>
      <c r="S705" s="4">
        <f t="shared" si="45"/>
        <v>5.2640318999896104E-3</v>
      </c>
      <c r="T705" s="4">
        <f t="shared" si="45"/>
        <v>2.0700783516151159E-3</v>
      </c>
      <c r="U705" s="35"/>
      <c r="V705" s="35"/>
      <c r="W705" s="35"/>
      <c r="X705" s="35"/>
    </row>
    <row r="706" spans="4:24" x14ac:dyDescent="0.3">
      <c r="D706" s="23">
        <v>40605</v>
      </c>
      <c r="E706" s="5">
        <v>104.304192</v>
      </c>
      <c r="F706" s="28">
        <v>55.564680000000003</v>
      </c>
      <c r="G706" s="28">
        <v>138.09</v>
      </c>
      <c r="H706" s="28">
        <v>51.606459999999998</v>
      </c>
      <c r="I706" s="28">
        <v>54.164619999999999</v>
      </c>
      <c r="J706" s="29"/>
      <c r="K706" s="29"/>
      <c r="L706" s="29"/>
      <c r="M706" s="29"/>
      <c r="N706" s="29"/>
      <c r="P706" s="4">
        <f t="shared" si="45"/>
        <v>1.7077174638965069E-2</v>
      </c>
      <c r="Q706" s="4">
        <f t="shared" si="45"/>
        <v>-4.0101486458965505E-3</v>
      </c>
      <c r="R706" s="4">
        <f t="shared" si="45"/>
        <v>-1.3165184213086777E-2</v>
      </c>
      <c r="S706" s="4">
        <f t="shared" si="45"/>
        <v>1.95830354919228E-2</v>
      </c>
      <c r="T706" s="4">
        <f t="shared" si="45"/>
        <v>1.8008253979062326E-2</v>
      </c>
      <c r="U706" s="35"/>
      <c r="V706" s="35"/>
      <c r="W706" s="35"/>
      <c r="X706" s="35"/>
    </row>
    <row r="707" spans="4:24" x14ac:dyDescent="0.3">
      <c r="D707" s="23">
        <v>40606</v>
      </c>
      <c r="E707" s="5">
        <v>103.52273599999999</v>
      </c>
      <c r="F707" s="28">
        <v>55.75309</v>
      </c>
      <c r="G707" s="28">
        <v>139.35</v>
      </c>
      <c r="H707" s="28">
        <v>51.340769999999999</v>
      </c>
      <c r="I707" s="28">
        <v>53.803100000000001</v>
      </c>
      <c r="J707" s="29"/>
      <c r="K707" s="29"/>
      <c r="L707" s="29"/>
      <c r="M707" s="29"/>
      <c r="N707" s="29"/>
      <c r="P707" s="4">
        <f t="shared" si="45"/>
        <v>-7.5202928748563528E-3</v>
      </c>
      <c r="Q707" s="4">
        <f t="shared" si="45"/>
        <v>3.3850872131720249E-3</v>
      </c>
      <c r="R707" s="4">
        <f t="shared" si="45"/>
        <v>9.0831074306974464E-3</v>
      </c>
      <c r="S707" s="4">
        <f t="shared" si="45"/>
        <v>-5.1616850671513843E-3</v>
      </c>
      <c r="T707" s="4">
        <f t="shared" si="45"/>
        <v>-6.6968414468742713E-3</v>
      </c>
      <c r="U707" s="35"/>
      <c r="V707" s="35"/>
      <c r="W707" s="35"/>
      <c r="X707" s="35"/>
    </row>
    <row r="708" spans="4:24" x14ac:dyDescent="0.3">
      <c r="D708" s="23">
        <v>40609</v>
      </c>
      <c r="E708" s="5">
        <v>102.709976</v>
      </c>
      <c r="F708" s="28">
        <v>55.746119999999998</v>
      </c>
      <c r="G708" s="28">
        <v>139.72</v>
      </c>
      <c r="H708" s="28">
        <v>50.649949999999997</v>
      </c>
      <c r="I708" s="28">
        <v>53.315829999999998</v>
      </c>
      <c r="J708" s="29"/>
      <c r="K708" s="29"/>
      <c r="L708" s="29"/>
      <c r="M708" s="29"/>
      <c r="N708" s="29"/>
      <c r="P708" s="4">
        <f t="shared" si="45"/>
        <v>-7.8820105686798394E-3</v>
      </c>
      <c r="Q708" s="4">
        <f t="shared" si="45"/>
        <v>-1.2502330750296497E-4</v>
      </c>
      <c r="R708" s="4">
        <f t="shared" si="45"/>
        <v>2.6516660106740502E-3</v>
      </c>
      <c r="S708" s="4">
        <f t="shared" si="45"/>
        <v>-1.3546929855351756E-2</v>
      </c>
      <c r="T708" s="4">
        <f t="shared" si="45"/>
        <v>-9.0978011251530173E-3</v>
      </c>
      <c r="U708" s="35"/>
      <c r="V708" s="35"/>
      <c r="W708" s="35"/>
      <c r="X708" s="35"/>
    </row>
    <row r="709" spans="4:24" x14ac:dyDescent="0.3">
      <c r="D709" s="23">
        <v>40610</v>
      </c>
      <c r="E709" s="5">
        <v>103.608673</v>
      </c>
      <c r="F709" s="28">
        <v>55.697249999999997</v>
      </c>
      <c r="G709" s="28">
        <v>139.36000000000001</v>
      </c>
      <c r="H709" s="28">
        <v>50.853659999999998</v>
      </c>
      <c r="I709" s="28">
        <v>53.795250000000003</v>
      </c>
      <c r="J709" s="29"/>
      <c r="K709" s="29"/>
      <c r="L709" s="29"/>
      <c r="M709" s="29"/>
      <c r="N709" s="29"/>
      <c r="P709" s="4">
        <f t="shared" ref="P709:T724" si="46">LN(E709/E708)</f>
        <v>8.7117930275142277E-3</v>
      </c>
      <c r="Q709" s="4">
        <f t="shared" si="46"/>
        <v>-8.7703742506253703E-4</v>
      </c>
      <c r="R709" s="4">
        <f t="shared" si="46"/>
        <v>-2.5799068344384631E-3</v>
      </c>
      <c r="S709" s="4">
        <f t="shared" si="46"/>
        <v>4.0138527781981128E-3</v>
      </c>
      <c r="T709" s="4">
        <f t="shared" si="46"/>
        <v>8.9518881067112508E-3</v>
      </c>
      <c r="U709" s="35"/>
      <c r="V709" s="35"/>
      <c r="W709" s="35"/>
      <c r="X709" s="35"/>
    </row>
    <row r="710" spans="4:24" x14ac:dyDescent="0.3">
      <c r="D710" s="23">
        <v>40611</v>
      </c>
      <c r="E710" s="5">
        <v>103.460205</v>
      </c>
      <c r="F710" s="28">
        <v>55.794930000000001</v>
      </c>
      <c r="G710" s="28">
        <v>139.41</v>
      </c>
      <c r="H710" s="28">
        <v>50.508249999999997</v>
      </c>
      <c r="I710" s="28">
        <v>53.716639999999998</v>
      </c>
      <c r="J710" s="29"/>
      <c r="K710" s="29"/>
      <c r="L710" s="29"/>
      <c r="M710" s="29"/>
      <c r="N710" s="29"/>
      <c r="P710" s="4">
        <f t="shared" si="46"/>
        <v>-1.4339965220827873E-3</v>
      </c>
      <c r="Q710" s="4">
        <f t="shared" si="46"/>
        <v>1.7522309635053985E-3</v>
      </c>
      <c r="R710" s="4">
        <f t="shared" si="46"/>
        <v>3.5871866080395274E-4</v>
      </c>
      <c r="S710" s="4">
        <f t="shared" si="46"/>
        <v>-6.8154070304510808E-3</v>
      </c>
      <c r="T710" s="4">
        <f t="shared" si="46"/>
        <v>-1.462350145807106E-3</v>
      </c>
      <c r="U710" s="35"/>
      <c r="V710" s="35"/>
      <c r="W710" s="35"/>
      <c r="X710" s="35"/>
    </row>
    <row r="711" spans="4:24" x14ac:dyDescent="0.3">
      <c r="D711" s="23">
        <v>40612</v>
      </c>
      <c r="E711" s="5">
        <v>101.545601</v>
      </c>
      <c r="F711" s="28">
        <v>56.053170000000001</v>
      </c>
      <c r="G711" s="28">
        <v>137.77000000000001</v>
      </c>
      <c r="H711" s="28">
        <v>49.720039999999997</v>
      </c>
      <c r="I711" s="28">
        <v>52.687100000000001</v>
      </c>
      <c r="J711" s="29"/>
      <c r="K711" s="29"/>
      <c r="L711" s="29"/>
      <c r="M711" s="29"/>
      <c r="N711" s="29"/>
      <c r="P711" s="4">
        <f t="shared" si="46"/>
        <v>-1.8679077489676049E-2</v>
      </c>
      <c r="Q711" s="4">
        <f t="shared" si="46"/>
        <v>4.6176995205819181E-3</v>
      </c>
      <c r="R711" s="4">
        <f t="shared" si="46"/>
        <v>-1.1833603708488918E-2</v>
      </c>
      <c r="S711" s="4">
        <f t="shared" si="46"/>
        <v>-1.5728618127704909E-2</v>
      </c>
      <c r="T711" s="4">
        <f t="shared" si="46"/>
        <v>-1.9352179361633429E-2</v>
      </c>
      <c r="U711" s="35"/>
      <c r="V711" s="35"/>
      <c r="W711" s="35"/>
      <c r="X711" s="35"/>
    </row>
    <row r="712" spans="4:24" x14ac:dyDescent="0.3">
      <c r="D712" s="23">
        <v>40613</v>
      </c>
      <c r="E712" s="5">
        <v>102.248924</v>
      </c>
      <c r="F712" s="28">
        <v>56.060119999999998</v>
      </c>
      <c r="G712" s="28">
        <v>138.22</v>
      </c>
      <c r="H712" s="28">
        <v>50.030009999999997</v>
      </c>
      <c r="I712" s="28">
        <v>53.040790000000001</v>
      </c>
      <c r="J712" s="29"/>
      <c r="K712" s="29"/>
      <c r="L712" s="29"/>
      <c r="M712" s="29"/>
      <c r="N712" s="29"/>
      <c r="P712" s="4">
        <f t="shared" si="46"/>
        <v>6.9023031143245987E-3</v>
      </c>
      <c r="Q712" s="4">
        <f t="shared" si="46"/>
        <v>1.2398173327893798E-4</v>
      </c>
      <c r="R712" s="4">
        <f t="shared" si="46"/>
        <v>3.2609906067404453E-3</v>
      </c>
      <c r="S712" s="4">
        <f t="shared" si="46"/>
        <v>6.2149542327495245E-3</v>
      </c>
      <c r="T712" s="4">
        <f t="shared" si="46"/>
        <v>6.6905963863076942E-3</v>
      </c>
      <c r="U712" s="35"/>
      <c r="V712" s="35"/>
      <c r="W712" s="35"/>
      <c r="X712" s="35"/>
    </row>
    <row r="713" spans="4:24" x14ac:dyDescent="0.3">
      <c r="D713" s="23">
        <v>40616</v>
      </c>
      <c r="E713" s="5">
        <v>101.63157699999999</v>
      </c>
      <c r="F713" s="28">
        <v>56.115969999999997</v>
      </c>
      <c r="G713" s="28">
        <v>138.86000000000001</v>
      </c>
      <c r="H713" s="28">
        <v>49.852879999999999</v>
      </c>
      <c r="I713" s="28">
        <v>52.71855</v>
      </c>
      <c r="J713" s="29"/>
      <c r="K713" s="29"/>
      <c r="L713" s="29"/>
      <c r="M713" s="29"/>
      <c r="N713" s="29"/>
      <c r="P713" s="4">
        <f t="shared" si="46"/>
        <v>-6.0559875391404949E-3</v>
      </c>
      <c r="Q713" s="4">
        <f t="shared" si="46"/>
        <v>9.957559514642176E-4</v>
      </c>
      <c r="R713" s="4">
        <f t="shared" si="46"/>
        <v>4.6196126618791751E-3</v>
      </c>
      <c r="S713" s="4">
        <f t="shared" si="46"/>
        <v>-3.5467573211723554E-3</v>
      </c>
      <c r="T713" s="4">
        <f t="shared" si="46"/>
        <v>-6.0938541636037114E-3</v>
      </c>
      <c r="U713" s="35"/>
      <c r="V713" s="35"/>
      <c r="W713" s="35"/>
      <c r="X713" s="35"/>
    </row>
    <row r="714" spans="4:24" x14ac:dyDescent="0.3">
      <c r="D714" s="23">
        <v>40617</v>
      </c>
      <c r="E714" s="5">
        <v>100.467133</v>
      </c>
      <c r="F714" s="28">
        <v>56.150860000000002</v>
      </c>
      <c r="G714" s="28">
        <v>136.27000000000001</v>
      </c>
      <c r="H714" s="28">
        <v>49.144370000000002</v>
      </c>
      <c r="I714" s="28">
        <v>52.160559999999997</v>
      </c>
      <c r="J714" s="29"/>
      <c r="K714" s="29"/>
      <c r="L714" s="29"/>
      <c r="M714" s="29"/>
      <c r="N714" s="29"/>
      <c r="P714" s="4">
        <f t="shared" si="46"/>
        <v>-1.1523644915307933E-2</v>
      </c>
      <c r="Q714" s="4">
        <f t="shared" si="46"/>
        <v>6.2155493520674111E-4</v>
      </c>
      <c r="R714" s="4">
        <f t="shared" si="46"/>
        <v>-1.8828019563397934E-2</v>
      </c>
      <c r="S714" s="4">
        <f t="shared" si="46"/>
        <v>-1.4313975331031962E-2</v>
      </c>
      <c r="T714" s="4">
        <f t="shared" si="46"/>
        <v>-1.0640732265304861E-2</v>
      </c>
      <c r="U714" s="35"/>
      <c r="V714" s="35"/>
      <c r="W714" s="35"/>
      <c r="X714" s="35"/>
    </row>
    <row r="715" spans="4:24" x14ac:dyDescent="0.3">
      <c r="D715" s="23">
        <v>40618</v>
      </c>
      <c r="E715" s="5">
        <v>98.607230999999999</v>
      </c>
      <c r="F715" s="28">
        <v>56.416069999999998</v>
      </c>
      <c r="G715" s="28">
        <v>136.24</v>
      </c>
      <c r="H715" s="28">
        <v>47.957599999999999</v>
      </c>
      <c r="I715" s="28">
        <v>51.256749999999997</v>
      </c>
      <c r="J715" s="29"/>
      <c r="K715" s="29"/>
      <c r="L715" s="29"/>
      <c r="M715" s="29"/>
      <c r="N715" s="29"/>
      <c r="P715" s="4">
        <f t="shared" si="46"/>
        <v>-1.8686043552128977E-2</v>
      </c>
      <c r="Q715" s="4">
        <f t="shared" si="46"/>
        <v>4.7120498127424899E-3</v>
      </c>
      <c r="R715" s="4">
        <f t="shared" si="46"/>
        <v>-2.2017540729653393E-4</v>
      </c>
      <c r="S715" s="4">
        <f t="shared" si="46"/>
        <v>-2.4445005522193319E-2</v>
      </c>
      <c r="T715" s="4">
        <f t="shared" si="46"/>
        <v>-1.7479337094140412E-2</v>
      </c>
      <c r="U715" s="35"/>
      <c r="V715" s="35"/>
      <c r="W715" s="35"/>
      <c r="X715" s="35"/>
    </row>
    <row r="716" spans="4:24" x14ac:dyDescent="0.3">
      <c r="D716" s="23">
        <v>40619</v>
      </c>
      <c r="E716" s="5">
        <v>99.912291999999994</v>
      </c>
      <c r="F716" s="28">
        <v>56.332299999999996</v>
      </c>
      <c r="G716" s="28">
        <v>136.97</v>
      </c>
      <c r="H716" s="28">
        <v>48.40043</v>
      </c>
      <c r="I716" s="28">
        <v>51.846200000000003</v>
      </c>
      <c r="J716" s="29"/>
      <c r="K716" s="29"/>
      <c r="L716" s="29"/>
      <c r="M716" s="29"/>
      <c r="N716" s="29"/>
      <c r="P716" s="4">
        <f t="shared" si="46"/>
        <v>1.3148125494796053E-2</v>
      </c>
      <c r="Q716" s="4">
        <f t="shared" si="46"/>
        <v>-1.4859641059875755E-3</v>
      </c>
      <c r="R716" s="4">
        <f t="shared" si="46"/>
        <v>5.3438873922969235E-3</v>
      </c>
      <c r="S716" s="4">
        <f t="shared" si="46"/>
        <v>9.1914107748735929E-3</v>
      </c>
      <c r="T716" s="4">
        <f t="shared" si="46"/>
        <v>1.1434326995145686E-2</v>
      </c>
      <c r="U716" s="35"/>
      <c r="V716" s="35"/>
      <c r="W716" s="35"/>
      <c r="X716" s="35"/>
    </row>
    <row r="717" spans="4:24" x14ac:dyDescent="0.3">
      <c r="D717" s="23">
        <v>40620</v>
      </c>
      <c r="E717" s="5">
        <v>100.27570299999999</v>
      </c>
      <c r="F717" s="28">
        <v>56.325339999999997</v>
      </c>
      <c r="G717" s="28">
        <v>138.37</v>
      </c>
      <c r="H717" s="28">
        <v>48.291350000000001</v>
      </c>
      <c r="I717" s="28">
        <v>52.089829999999999</v>
      </c>
      <c r="J717" s="29"/>
      <c r="K717" s="29"/>
      <c r="L717" s="29"/>
      <c r="M717" s="29"/>
      <c r="N717" s="29"/>
      <c r="P717" s="4">
        <f t="shared" si="46"/>
        <v>3.6307012236836979E-3</v>
      </c>
      <c r="Q717" s="4">
        <f t="shared" si="46"/>
        <v>-1.2356019545331089E-4</v>
      </c>
      <c r="R717" s="4">
        <f t="shared" si="46"/>
        <v>1.0169332934563116E-2</v>
      </c>
      <c r="S717" s="4">
        <f t="shared" si="46"/>
        <v>-2.2562423873843103E-3</v>
      </c>
      <c r="T717" s="4">
        <f t="shared" si="46"/>
        <v>4.6880845114240319E-3</v>
      </c>
      <c r="U717" s="35"/>
      <c r="V717" s="35"/>
      <c r="W717" s="35"/>
      <c r="X717" s="35"/>
    </row>
    <row r="718" spans="4:24" x14ac:dyDescent="0.3">
      <c r="D718" s="23">
        <v>40623</v>
      </c>
      <c r="E718" s="5">
        <v>101.829758</v>
      </c>
      <c r="F718" s="28">
        <v>56.1648</v>
      </c>
      <c r="G718" s="28">
        <v>139.13999999999999</v>
      </c>
      <c r="H718" s="28">
        <v>49.222580000000001</v>
      </c>
      <c r="I718" s="28">
        <v>52.907170000000001</v>
      </c>
      <c r="J718" s="29"/>
      <c r="K718" s="29"/>
      <c r="L718" s="29"/>
      <c r="M718" s="29"/>
      <c r="N718" s="29"/>
      <c r="P718" s="4">
        <f t="shared" si="46"/>
        <v>1.5378957318820689E-2</v>
      </c>
      <c r="Q718" s="4">
        <f t="shared" si="46"/>
        <v>-2.8542965453395922E-3</v>
      </c>
      <c r="R718" s="4">
        <f t="shared" si="46"/>
        <v>5.5493638142020832E-3</v>
      </c>
      <c r="S718" s="4">
        <f t="shared" si="46"/>
        <v>1.9100005712267474E-2</v>
      </c>
      <c r="T718" s="4">
        <f t="shared" si="46"/>
        <v>1.5569140262556699E-2</v>
      </c>
      <c r="U718" s="35"/>
      <c r="V718" s="35"/>
      <c r="W718" s="35"/>
      <c r="X718" s="35"/>
    </row>
    <row r="719" spans="4:24" x14ac:dyDescent="0.3">
      <c r="D719" s="23">
        <v>40624</v>
      </c>
      <c r="E719" s="5">
        <v>101.476555</v>
      </c>
      <c r="F719" s="28">
        <v>56.143880000000003</v>
      </c>
      <c r="G719" s="28">
        <v>139.05000000000001</v>
      </c>
      <c r="H719" s="28">
        <v>49.133890000000001</v>
      </c>
      <c r="I719" s="28">
        <v>52.734259999999999</v>
      </c>
      <c r="J719" s="29"/>
      <c r="K719" s="29"/>
      <c r="L719" s="29"/>
      <c r="M719" s="29"/>
      <c r="N719" s="29"/>
      <c r="P719" s="4">
        <f t="shared" si="46"/>
        <v>-3.4745930919086337E-3</v>
      </c>
      <c r="Q719" s="4">
        <f t="shared" si="46"/>
        <v>-3.7254467316245578E-4</v>
      </c>
      <c r="R719" s="4">
        <f t="shared" si="46"/>
        <v>-6.4703981552122073E-4</v>
      </c>
      <c r="S719" s="4">
        <f t="shared" si="46"/>
        <v>-1.8034405675179355E-3</v>
      </c>
      <c r="T719" s="4">
        <f t="shared" si="46"/>
        <v>-3.2735292282300614E-3</v>
      </c>
      <c r="U719" s="35"/>
      <c r="V719" s="35"/>
      <c r="W719" s="35"/>
      <c r="X719" s="35"/>
    </row>
    <row r="720" spans="4:24" x14ac:dyDescent="0.3">
      <c r="D720" s="23">
        <v>40625</v>
      </c>
      <c r="E720" s="5">
        <v>101.76696</v>
      </c>
      <c r="F720" s="28">
        <v>56.122959999999999</v>
      </c>
      <c r="G720" s="28">
        <v>140.34</v>
      </c>
      <c r="H720" s="28">
        <v>49.408839999999998</v>
      </c>
      <c r="I720" s="28">
        <v>52.86</v>
      </c>
      <c r="J720" s="29"/>
      <c r="K720" s="29"/>
      <c r="L720" s="29"/>
      <c r="M720" s="29"/>
      <c r="N720" s="29"/>
      <c r="P720" s="4">
        <f t="shared" si="46"/>
        <v>2.8577069003397162E-3</v>
      </c>
      <c r="Q720" s="4">
        <f t="shared" si="46"/>
        <v>-3.7268351442222656E-4</v>
      </c>
      <c r="R720" s="4">
        <f t="shared" si="46"/>
        <v>9.2344691441686617E-3</v>
      </c>
      <c r="S720" s="4">
        <f t="shared" si="46"/>
        <v>5.5803348151204028E-3</v>
      </c>
      <c r="T720" s="4">
        <f t="shared" si="46"/>
        <v>2.3815699723034774E-3</v>
      </c>
      <c r="U720" s="35"/>
      <c r="V720" s="35"/>
      <c r="W720" s="35"/>
      <c r="X720" s="35"/>
    </row>
    <row r="721" spans="4:24" x14ac:dyDescent="0.3">
      <c r="D721" s="23">
        <v>40626</v>
      </c>
      <c r="E721" s="5">
        <v>102.740234</v>
      </c>
      <c r="F721" s="28">
        <v>56.032220000000002</v>
      </c>
      <c r="G721" s="28">
        <v>139.22</v>
      </c>
      <c r="H721" s="28">
        <v>50.286859999999997</v>
      </c>
      <c r="I721" s="28">
        <v>53.362990000000003</v>
      </c>
      <c r="J721" s="29"/>
      <c r="K721" s="29"/>
      <c r="L721" s="29"/>
      <c r="M721" s="29"/>
      <c r="N721" s="29"/>
      <c r="P721" s="4">
        <f t="shared" si="46"/>
        <v>9.5183091511427658E-3</v>
      </c>
      <c r="Q721" s="4">
        <f t="shared" si="46"/>
        <v>-1.6181155395353138E-3</v>
      </c>
      <c r="R721" s="4">
        <f t="shared" si="46"/>
        <v>-8.0126340836222908E-3</v>
      </c>
      <c r="S721" s="4">
        <f t="shared" si="46"/>
        <v>1.7614454821011996E-2</v>
      </c>
      <c r="T721" s="4">
        <f t="shared" si="46"/>
        <v>9.4705253441108549E-3</v>
      </c>
      <c r="U721" s="35"/>
      <c r="V721" s="35"/>
      <c r="W721" s="35"/>
      <c r="X721" s="35"/>
    </row>
    <row r="722" spans="4:24" x14ac:dyDescent="0.3">
      <c r="D722" s="23">
        <v>40627</v>
      </c>
      <c r="E722" s="5">
        <v>103.054176</v>
      </c>
      <c r="F722" s="28">
        <v>55.955440000000003</v>
      </c>
      <c r="G722" s="28">
        <v>139.26</v>
      </c>
      <c r="H722" s="28">
        <v>50.411020000000001</v>
      </c>
      <c r="I722" s="28">
        <v>53.554769999999998</v>
      </c>
      <c r="J722" s="29"/>
      <c r="K722" s="29"/>
      <c r="L722" s="29"/>
      <c r="M722" s="29"/>
      <c r="N722" s="29"/>
      <c r="P722" s="4">
        <f t="shared" si="46"/>
        <v>3.0510279024050118E-3</v>
      </c>
      <c r="Q722" s="4">
        <f t="shared" si="46"/>
        <v>-1.3712227227620276E-3</v>
      </c>
      <c r="R722" s="4">
        <f t="shared" si="46"/>
        <v>2.8727377388023751E-4</v>
      </c>
      <c r="S722" s="4">
        <f t="shared" si="46"/>
        <v>2.4659915962334726E-3</v>
      </c>
      <c r="T722" s="4">
        <f t="shared" si="46"/>
        <v>3.5874340367574478E-3</v>
      </c>
      <c r="U722" s="35"/>
      <c r="V722" s="35"/>
      <c r="W722" s="35"/>
      <c r="X722" s="35"/>
    </row>
    <row r="723" spans="4:24" x14ac:dyDescent="0.3">
      <c r="D723" s="23">
        <v>40630</v>
      </c>
      <c r="E723" s="5">
        <v>102.80297899999999</v>
      </c>
      <c r="F723" s="28">
        <v>55.906599999999997</v>
      </c>
      <c r="G723" s="28">
        <v>138.54</v>
      </c>
      <c r="H723" s="28">
        <v>50.136069999999997</v>
      </c>
      <c r="I723" s="28">
        <v>53.428489999999996</v>
      </c>
      <c r="J723" s="29"/>
      <c r="K723" s="29"/>
      <c r="L723" s="29"/>
      <c r="M723" s="29"/>
      <c r="N723" s="29"/>
      <c r="P723" s="4">
        <f t="shared" si="46"/>
        <v>-2.4404993324444787E-3</v>
      </c>
      <c r="Q723" s="4">
        <f t="shared" si="46"/>
        <v>-8.7321853067269192E-4</v>
      </c>
      <c r="R723" s="4">
        <f t="shared" si="46"/>
        <v>-5.1835969199417265E-3</v>
      </c>
      <c r="S723" s="4">
        <f t="shared" si="46"/>
        <v>-5.4690928466435435E-3</v>
      </c>
      <c r="T723" s="4">
        <f t="shared" si="46"/>
        <v>-2.3607442631254391E-3</v>
      </c>
      <c r="U723" s="35"/>
      <c r="V723" s="35"/>
      <c r="W723" s="35"/>
      <c r="X723" s="35"/>
    </row>
    <row r="724" spans="4:24" x14ac:dyDescent="0.3">
      <c r="D724" s="23">
        <v>40631</v>
      </c>
      <c r="E724" s="5">
        <v>103.493683</v>
      </c>
      <c r="F724" s="28">
        <v>55.808889999999998</v>
      </c>
      <c r="G724" s="28">
        <v>138.21</v>
      </c>
      <c r="H724" s="28">
        <v>50.62388</v>
      </c>
      <c r="I724" s="28">
        <v>53.823090000000001</v>
      </c>
      <c r="J724" s="29"/>
      <c r="K724" s="29"/>
      <c r="L724" s="29"/>
      <c r="M724" s="29"/>
      <c r="N724" s="29"/>
      <c r="P724" s="4">
        <f t="shared" si="46"/>
        <v>6.6962458259445341E-3</v>
      </c>
      <c r="Q724" s="4">
        <f t="shared" si="46"/>
        <v>-1.7492654763538278E-3</v>
      </c>
      <c r="R724" s="4">
        <f t="shared" si="46"/>
        <v>-2.384824978523587E-3</v>
      </c>
      <c r="S724" s="4">
        <f t="shared" si="46"/>
        <v>9.68269260145657E-3</v>
      </c>
      <c r="T724" s="4">
        <f t="shared" si="46"/>
        <v>7.3584329576678884E-3</v>
      </c>
      <c r="U724" s="35"/>
      <c r="V724" s="35"/>
      <c r="W724" s="35"/>
      <c r="X724" s="35"/>
    </row>
    <row r="725" spans="4:24" x14ac:dyDescent="0.3">
      <c r="D725" s="23">
        <v>40632</v>
      </c>
      <c r="E725" s="5">
        <v>104.207939</v>
      </c>
      <c r="F725" s="28">
        <v>55.906599999999997</v>
      </c>
      <c r="G725" s="28">
        <v>138.66999999999999</v>
      </c>
      <c r="H725" s="28">
        <v>50.863320000000002</v>
      </c>
      <c r="I725" s="28">
        <v>54.225569999999998</v>
      </c>
      <c r="J725" s="29"/>
      <c r="K725" s="29"/>
      <c r="L725" s="29"/>
      <c r="M725" s="29"/>
      <c r="N725" s="29"/>
      <c r="P725" s="4">
        <f t="shared" ref="P725:T740" si="47">LN(E725/E724)</f>
        <v>6.8777394097886482E-3</v>
      </c>
      <c r="Q725" s="4">
        <f t="shared" si="47"/>
        <v>1.7492654763539037E-3</v>
      </c>
      <c r="R725" s="4">
        <f t="shared" si="47"/>
        <v>3.3227421498373882E-3</v>
      </c>
      <c r="S725" s="4">
        <f t="shared" si="47"/>
        <v>4.7186333699381685E-3</v>
      </c>
      <c r="T725" s="4">
        <f t="shared" si="47"/>
        <v>7.450011162705922E-3</v>
      </c>
      <c r="U725" s="35"/>
      <c r="V725" s="35"/>
      <c r="W725" s="35"/>
      <c r="X725" s="35"/>
    </row>
    <row r="726" spans="4:24" x14ac:dyDescent="0.3">
      <c r="D726" s="23">
        <v>40633</v>
      </c>
      <c r="E726" s="5">
        <v>104.066658</v>
      </c>
      <c r="F726" s="28">
        <v>55.843820000000001</v>
      </c>
      <c r="G726" s="28">
        <v>139.86000000000001</v>
      </c>
      <c r="H726" s="28">
        <v>50.934280000000001</v>
      </c>
      <c r="I726" s="28">
        <v>54.225569999999998</v>
      </c>
      <c r="J726" s="29"/>
      <c r="K726" s="29"/>
      <c r="L726" s="29"/>
      <c r="M726" s="29"/>
      <c r="N726" s="29"/>
      <c r="P726" s="4">
        <f t="shared" si="47"/>
        <v>-1.3566803028784242E-3</v>
      </c>
      <c r="Q726" s="4">
        <f t="shared" si="47"/>
        <v>-1.1235753137136203E-3</v>
      </c>
      <c r="R726" s="4">
        <f t="shared" si="47"/>
        <v>8.5449125099479901E-3</v>
      </c>
      <c r="S726" s="4">
        <f t="shared" si="47"/>
        <v>1.3941391838960978E-3</v>
      </c>
      <c r="T726" s="4">
        <f t="shared" si="47"/>
        <v>0</v>
      </c>
      <c r="U726" s="35"/>
      <c r="V726" s="35"/>
      <c r="W726" s="35"/>
      <c r="X726" s="35"/>
    </row>
    <row r="727" spans="4:24" x14ac:dyDescent="0.3">
      <c r="D727" s="23">
        <v>40634</v>
      </c>
      <c r="E727" s="5">
        <v>104.506165</v>
      </c>
      <c r="F727" s="28">
        <v>55.912370000000003</v>
      </c>
      <c r="G727" s="28">
        <v>139.19999999999999</v>
      </c>
      <c r="H727" s="28">
        <v>50.960889999999999</v>
      </c>
      <c r="I727" s="28">
        <v>54.486020000000003</v>
      </c>
      <c r="J727" s="29"/>
      <c r="K727" s="29"/>
      <c r="L727" s="29"/>
      <c r="M727" s="29"/>
      <c r="N727" s="29"/>
      <c r="P727" s="4">
        <f t="shared" si="47"/>
        <v>4.2144287467574936E-3</v>
      </c>
      <c r="Q727" s="4">
        <f t="shared" si="47"/>
        <v>1.2267778383859452E-3</v>
      </c>
      <c r="R727" s="4">
        <f t="shared" si="47"/>
        <v>-4.730174375401657E-3</v>
      </c>
      <c r="S727" s="4">
        <f t="shared" si="47"/>
        <v>5.223015105609006E-4</v>
      </c>
      <c r="T727" s="4">
        <f t="shared" si="47"/>
        <v>4.7915865881887239E-3</v>
      </c>
      <c r="U727" s="35"/>
      <c r="V727" s="35"/>
      <c r="W727" s="35"/>
      <c r="X727" s="35"/>
    </row>
    <row r="728" spans="4:24" x14ac:dyDescent="0.3">
      <c r="D728" s="23">
        <v>40637</v>
      </c>
      <c r="E728" s="5">
        <v>104.592506</v>
      </c>
      <c r="F728" s="28">
        <v>55.982379999999999</v>
      </c>
      <c r="G728" s="28">
        <v>139.84</v>
      </c>
      <c r="H728" s="28">
        <v>50.792389999999997</v>
      </c>
      <c r="I728" s="28">
        <v>54.533360000000002</v>
      </c>
      <c r="J728" s="29"/>
      <c r="K728" s="29"/>
      <c r="L728" s="29"/>
      <c r="M728" s="29"/>
      <c r="N728" s="29"/>
      <c r="P728" s="4">
        <f t="shared" si="47"/>
        <v>8.2583982475089603E-4</v>
      </c>
      <c r="Q728" s="4">
        <f t="shared" si="47"/>
        <v>1.2513546727732129E-3</v>
      </c>
      <c r="R728" s="4">
        <f t="shared" si="47"/>
        <v>4.5871640069061401E-3</v>
      </c>
      <c r="S728" s="4">
        <f t="shared" si="47"/>
        <v>-3.3119355763638206E-3</v>
      </c>
      <c r="T728" s="4">
        <f t="shared" si="47"/>
        <v>8.6846949552394498E-4</v>
      </c>
      <c r="U728" s="35"/>
      <c r="V728" s="35"/>
      <c r="W728" s="35"/>
      <c r="X728" s="35"/>
    </row>
    <row r="729" spans="4:24" x14ac:dyDescent="0.3">
      <c r="D729" s="23">
        <v>40638</v>
      </c>
      <c r="E729" s="5">
        <v>104.57680499999999</v>
      </c>
      <c r="F729" s="28">
        <v>55.856400000000001</v>
      </c>
      <c r="G729" s="28">
        <v>142.05000000000001</v>
      </c>
      <c r="H729" s="28">
        <v>50.65936</v>
      </c>
      <c r="I729" s="28">
        <v>54.56494</v>
      </c>
      <c r="J729" s="29"/>
      <c r="K729" s="29"/>
      <c r="L729" s="29"/>
      <c r="M729" s="29"/>
      <c r="N729" s="29"/>
      <c r="P729" s="4">
        <f t="shared" si="47"/>
        <v>-1.501271860047851E-4</v>
      </c>
      <c r="Q729" s="4">
        <f t="shared" si="47"/>
        <v>-2.2528867586765577E-3</v>
      </c>
      <c r="R729" s="4">
        <f t="shared" si="47"/>
        <v>1.5680196392971579E-2</v>
      </c>
      <c r="S729" s="4">
        <f t="shared" si="47"/>
        <v>-2.6225289607042521E-3</v>
      </c>
      <c r="T729" s="4">
        <f t="shared" si="47"/>
        <v>5.7892746050158307E-4</v>
      </c>
      <c r="U729" s="35"/>
      <c r="V729" s="35"/>
      <c r="W729" s="35"/>
      <c r="X729" s="35"/>
    </row>
    <row r="730" spans="4:24" x14ac:dyDescent="0.3">
      <c r="D730" s="23">
        <v>40639</v>
      </c>
      <c r="E730" s="5">
        <v>104.90645600000001</v>
      </c>
      <c r="F730" s="28">
        <v>55.772419999999997</v>
      </c>
      <c r="G730" s="28">
        <v>142.38</v>
      </c>
      <c r="H730" s="28">
        <v>50.78351</v>
      </c>
      <c r="I730" s="28">
        <v>54.706989999999998</v>
      </c>
      <c r="J730" s="29"/>
      <c r="K730" s="29"/>
      <c r="L730" s="29"/>
      <c r="M730" s="29"/>
      <c r="N730" s="29"/>
      <c r="P730" s="4">
        <f t="shared" si="47"/>
        <v>3.1472803176351514E-3</v>
      </c>
      <c r="Q730" s="4">
        <f t="shared" si="47"/>
        <v>-1.504629643914574E-3</v>
      </c>
      <c r="R730" s="4">
        <f t="shared" si="47"/>
        <v>2.3204313755300953E-3</v>
      </c>
      <c r="S730" s="4">
        <f t="shared" si="47"/>
        <v>2.4476843366816911E-3</v>
      </c>
      <c r="T730" s="4">
        <f t="shared" si="47"/>
        <v>2.5999372394654515E-3</v>
      </c>
      <c r="U730" s="35"/>
      <c r="V730" s="35"/>
      <c r="W730" s="35"/>
      <c r="X730" s="35"/>
    </row>
    <row r="731" spans="4:24" x14ac:dyDescent="0.3">
      <c r="D731" s="23">
        <v>40640</v>
      </c>
      <c r="E731" s="5">
        <v>104.63960299999999</v>
      </c>
      <c r="F731" s="28">
        <v>55.758429999999997</v>
      </c>
      <c r="G731" s="28">
        <v>142.51</v>
      </c>
      <c r="H731" s="28">
        <v>50.748040000000003</v>
      </c>
      <c r="I731" s="28">
        <v>54.549149999999997</v>
      </c>
      <c r="J731" s="29"/>
      <c r="K731" s="29"/>
      <c r="L731" s="29"/>
      <c r="M731" s="29"/>
      <c r="N731" s="29"/>
      <c r="P731" s="4">
        <f t="shared" si="47"/>
        <v>-2.5469640949616905E-3</v>
      </c>
      <c r="Q731" s="4">
        <f t="shared" si="47"/>
        <v>-2.5087229360075701E-4</v>
      </c>
      <c r="R731" s="4">
        <f t="shared" si="47"/>
        <v>9.1263300939364985E-4</v>
      </c>
      <c r="S731" s="4">
        <f t="shared" si="47"/>
        <v>-6.9869910275131093E-4</v>
      </c>
      <c r="T731" s="4">
        <f t="shared" si="47"/>
        <v>-2.889359075091219E-3</v>
      </c>
      <c r="U731" s="35"/>
      <c r="V731" s="35"/>
      <c r="W731" s="35"/>
      <c r="X731" s="35"/>
    </row>
    <row r="732" spans="4:24" x14ac:dyDescent="0.3">
      <c r="D732" s="23">
        <v>40641</v>
      </c>
      <c r="E732" s="5">
        <v>104.27855700000001</v>
      </c>
      <c r="F732" s="28">
        <v>55.72343</v>
      </c>
      <c r="G732" s="28">
        <v>143.66</v>
      </c>
      <c r="H732" s="28">
        <v>50.508580000000002</v>
      </c>
      <c r="I732" s="28">
        <v>54.32029</v>
      </c>
      <c r="J732" s="29"/>
      <c r="K732" s="29"/>
      <c r="L732" s="29"/>
      <c r="M732" s="29"/>
      <c r="N732" s="29"/>
      <c r="P732" s="4">
        <f t="shared" si="47"/>
        <v>-3.4563425164222073E-3</v>
      </c>
      <c r="Q732" s="4">
        <f t="shared" si="47"/>
        <v>-6.27904865418172E-4</v>
      </c>
      <c r="R732" s="4">
        <f t="shared" si="47"/>
        <v>8.0372239615346952E-3</v>
      </c>
      <c r="S732" s="4">
        <f t="shared" si="47"/>
        <v>-4.7297736465690323E-3</v>
      </c>
      <c r="T732" s="4">
        <f t="shared" si="47"/>
        <v>-4.2043081532269723E-3</v>
      </c>
      <c r="U732" s="35"/>
      <c r="V732" s="35"/>
      <c r="W732" s="35"/>
      <c r="X732" s="35"/>
    </row>
    <row r="733" spans="4:24" x14ac:dyDescent="0.3">
      <c r="D733" s="23">
        <v>40644</v>
      </c>
      <c r="E733" s="5">
        <v>103.96461499999999</v>
      </c>
      <c r="F733" s="28">
        <v>55.730370000000001</v>
      </c>
      <c r="G733" s="28">
        <v>142.63999999999999</v>
      </c>
      <c r="H733" s="28">
        <v>50.340069999999997</v>
      </c>
      <c r="I733" s="28">
        <v>54.122990000000001</v>
      </c>
      <c r="J733" s="29"/>
      <c r="K733" s="29"/>
      <c r="L733" s="29"/>
      <c r="M733" s="29"/>
      <c r="N733" s="29"/>
      <c r="P733" s="4">
        <f t="shared" si="47"/>
        <v>-3.0151503631595119E-3</v>
      </c>
      <c r="Q733" s="4">
        <f t="shared" si="47"/>
        <v>1.2453590651862438E-4</v>
      </c>
      <c r="R733" s="4">
        <f t="shared" si="47"/>
        <v>-7.1254230917707053E-3</v>
      </c>
      <c r="S733" s="4">
        <f t="shared" si="47"/>
        <v>-3.3418425893728147E-3</v>
      </c>
      <c r="T733" s="4">
        <f t="shared" si="47"/>
        <v>-3.6387725951957423E-3</v>
      </c>
      <c r="U733" s="35"/>
      <c r="V733" s="35"/>
      <c r="W733" s="35"/>
      <c r="X733" s="35"/>
    </row>
    <row r="734" spans="4:24" x14ac:dyDescent="0.3">
      <c r="D734" s="23">
        <v>40645</v>
      </c>
      <c r="E734" s="5">
        <v>103.18757600000001</v>
      </c>
      <c r="F734" s="28">
        <v>55.926380000000002</v>
      </c>
      <c r="G734" s="28">
        <v>141.61000000000001</v>
      </c>
      <c r="H734" s="28">
        <v>49.99418</v>
      </c>
      <c r="I734" s="28">
        <v>53.66525</v>
      </c>
      <c r="J734" s="29"/>
      <c r="K734" s="29"/>
      <c r="L734" s="29"/>
      <c r="M734" s="29"/>
      <c r="N734" s="29"/>
      <c r="P734" s="4">
        <f t="shared" si="47"/>
        <v>-7.502142658470214E-3</v>
      </c>
      <c r="Q734" s="4">
        <f t="shared" si="47"/>
        <v>3.5109422645130889E-3</v>
      </c>
      <c r="R734" s="4">
        <f t="shared" si="47"/>
        <v>-7.2471733199173565E-3</v>
      </c>
      <c r="S734" s="4">
        <f t="shared" si="47"/>
        <v>-6.8947815973614372E-3</v>
      </c>
      <c r="T734" s="4">
        <f t="shared" si="47"/>
        <v>-8.49337092202067E-3</v>
      </c>
      <c r="U734" s="35"/>
      <c r="V734" s="35"/>
      <c r="W734" s="35"/>
      <c r="X734" s="35"/>
    </row>
    <row r="735" spans="4:24" x14ac:dyDescent="0.3">
      <c r="D735" s="23">
        <v>40646</v>
      </c>
      <c r="E735" s="5">
        <v>103.179703</v>
      </c>
      <c r="F735" s="28">
        <v>56.03134</v>
      </c>
      <c r="G735" s="28">
        <v>141.9</v>
      </c>
      <c r="H735" s="28">
        <v>50.419879999999999</v>
      </c>
      <c r="I735" s="28">
        <v>53.696820000000002</v>
      </c>
      <c r="J735" s="29"/>
      <c r="K735" s="29"/>
      <c r="L735" s="29"/>
      <c r="M735" s="29"/>
      <c r="N735" s="29"/>
      <c r="P735" s="4">
        <f t="shared" si="47"/>
        <v>-7.6300855852447707E-5</v>
      </c>
      <c r="Q735" s="4">
        <f t="shared" si="47"/>
        <v>1.8749940736522053E-3</v>
      </c>
      <c r="R735" s="4">
        <f t="shared" si="47"/>
        <v>2.0457839310295536E-3</v>
      </c>
      <c r="S735" s="4">
        <f t="shared" si="47"/>
        <v>8.4789430958679361E-3</v>
      </c>
      <c r="T735" s="4">
        <f t="shared" si="47"/>
        <v>5.8810343187163663E-4</v>
      </c>
      <c r="U735" s="35"/>
      <c r="V735" s="35"/>
      <c r="W735" s="35"/>
      <c r="X735" s="35"/>
    </row>
    <row r="736" spans="4:24" x14ac:dyDescent="0.3">
      <c r="D736" s="23">
        <v>40647</v>
      </c>
      <c r="E736" s="5">
        <v>103.258202</v>
      </c>
      <c r="F736" s="28">
        <v>56.003360000000001</v>
      </c>
      <c r="G736" s="28">
        <v>143.81</v>
      </c>
      <c r="H736" s="28">
        <v>50.331189999999999</v>
      </c>
      <c r="I736" s="28">
        <v>53.728389999999997</v>
      </c>
      <c r="J736" s="29"/>
      <c r="K736" s="29"/>
      <c r="L736" s="29"/>
      <c r="M736" s="29"/>
      <c r="N736" s="29"/>
      <c r="P736" s="4">
        <f t="shared" si="47"/>
        <v>7.6050959520718175E-4</v>
      </c>
      <c r="Q736" s="4">
        <f t="shared" si="47"/>
        <v>-4.99488115409315E-4</v>
      </c>
      <c r="R736" s="4">
        <f t="shared" si="47"/>
        <v>1.3370399732291304E-2</v>
      </c>
      <c r="S736" s="4">
        <f t="shared" si="47"/>
        <v>-1.7605772903228646E-3</v>
      </c>
      <c r="T736" s="4">
        <f t="shared" si="47"/>
        <v>5.8775776950009413E-4</v>
      </c>
      <c r="U736" s="35"/>
      <c r="V736" s="35"/>
      <c r="W736" s="35"/>
      <c r="X736" s="35"/>
    </row>
    <row r="737" spans="4:24" x14ac:dyDescent="0.3">
      <c r="D737" s="23">
        <v>40648</v>
      </c>
      <c r="E737" s="5">
        <v>103.634972</v>
      </c>
      <c r="F737" s="28">
        <v>56.178350000000002</v>
      </c>
      <c r="G737" s="28">
        <v>145.05000000000001</v>
      </c>
      <c r="H737" s="28">
        <v>50.242519999999999</v>
      </c>
      <c r="I737" s="28">
        <v>53.98883</v>
      </c>
      <c r="J737" s="29"/>
      <c r="K737" s="29"/>
      <c r="L737" s="29"/>
      <c r="M737" s="29"/>
      <c r="N737" s="29"/>
      <c r="P737" s="4">
        <f t="shared" si="47"/>
        <v>3.6421734870884194E-3</v>
      </c>
      <c r="Q737" s="4">
        <f t="shared" si="47"/>
        <v>3.1197624270524853E-3</v>
      </c>
      <c r="R737" s="4">
        <f t="shared" si="47"/>
        <v>8.5855266691249044E-3</v>
      </c>
      <c r="S737" s="4">
        <f t="shared" si="47"/>
        <v>-1.7632843210056582E-3</v>
      </c>
      <c r="T737" s="4">
        <f t="shared" si="47"/>
        <v>4.8356336618509462E-3</v>
      </c>
      <c r="U737" s="35"/>
      <c r="V737" s="35"/>
      <c r="W737" s="35"/>
      <c r="X737" s="35"/>
    </row>
    <row r="738" spans="4:24" x14ac:dyDescent="0.3">
      <c r="D738" s="23">
        <v>40651</v>
      </c>
      <c r="E738" s="5">
        <v>102.473328</v>
      </c>
      <c r="F738" s="28">
        <v>56.241289999999999</v>
      </c>
      <c r="G738" s="28">
        <v>145.93</v>
      </c>
      <c r="H738" s="28">
        <v>49.887749999999997</v>
      </c>
      <c r="I738" s="28">
        <v>53.341679999999997</v>
      </c>
      <c r="J738" s="29"/>
      <c r="K738" s="29"/>
      <c r="L738" s="29"/>
      <c r="M738" s="29"/>
      <c r="N738" s="29"/>
      <c r="P738" s="4">
        <f t="shared" si="47"/>
        <v>-1.1272290347223605E-2</v>
      </c>
      <c r="Q738" s="4">
        <f t="shared" si="47"/>
        <v>1.1197332881726478E-3</v>
      </c>
      <c r="R738" s="4">
        <f t="shared" si="47"/>
        <v>6.0485441122413953E-3</v>
      </c>
      <c r="S738" s="4">
        <f t="shared" si="47"/>
        <v>-7.0861985000142324E-3</v>
      </c>
      <c r="T738" s="4">
        <f t="shared" si="47"/>
        <v>-1.2059158994757792E-2</v>
      </c>
      <c r="U738" s="35"/>
      <c r="V738" s="35"/>
      <c r="W738" s="35"/>
      <c r="X738" s="35"/>
    </row>
    <row r="739" spans="4:24" x14ac:dyDescent="0.3">
      <c r="D739" s="23">
        <v>40652</v>
      </c>
      <c r="E739" s="5">
        <v>103.06199599999999</v>
      </c>
      <c r="F739" s="28">
        <v>56.33229</v>
      </c>
      <c r="G739" s="28">
        <v>145.93</v>
      </c>
      <c r="H739" s="28">
        <v>50.198149999999998</v>
      </c>
      <c r="I739" s="28">
        <v>53.649470000000001</v>
      </c>
      <c r="J739" s="29"/>
      <c r="K739" s="29"/>
      <c r="L739" s="29"/>
      <c r="M739" s="29"/>
      <c r="N739" s="29"/>
      <c r="P739" s="4">
        <f t="shared" si="47"/>
        <v>5.7281599887392442E-3</v>
      </c>
      <c r="Q739" s="4">
        <f t="shared" si="47"/>
        <v>1.6167207229476903E-3</v>
      </c>
      <c r="R739" s="4">
        <f t="shared" si="47"/>
        <v>0</v>
      </c>
      <c r="S739" s="4">
        <f t="shared" si="47"/>
        <v>6.2026917913033776E-3</v>
      </c>
      <c r="T739" s="4">
        <f t="shared" si="47"/>
        <v>5.7535758626800744E-3</v>
      </c>
      <c r="U739" s="35"/>
      <c r="V739" s="35"/>
      <c r="W739" s="35"/>
      <c r="X739" s="35"/>
    </row>
    <row r="740" spans="4:24" x14ac:dyDescent="0.3">
      <c r="D740" s="23">
        <v>40653</v>
      </c>
      <c r="E740" s="5">
        <v>104.466942</v>
      </c>
      <c r="F740" s="28">
        <v>56.255279999999999</v>
      </c>
      <c r="G740" s="28">
        <v>146.5</v>
      </c>
      <c r="H740" s="28">
        <v>51.333399999999997</v>
      </c>
      <c r="I740" s="28">
        <v>54.430770000000003</v>
      </c>
      <c r="J740" s="29"/>
      <c r="K740" s="29"/>
      <c r="L740" s="29"/>
      <c r="M740" s="29"/>
      <c r="N740" s="29"/>
      <c r="P740" s="4">
        <f t="shared" si="47"/>
        <v>1.3539966788428908E-2</v>
      </c>
      <c r="Q740" s="4">
        <f t="shared" si="47"/>
        <v>-1.3680020273978907E-3</v>
      </c>
      <c r="R740" s="4">
        <f t="shared" si="47"/>
        <v>3.8983737774675557E-3</v>
      </c>
      <c r="S740" s="4">
        <f t="shared" si="47"/>
        <v>2.2363439017006034E-2</v>
      </c>
      <c r="T740" s="4">
        <f t="shared" si="47"/>
        <v>1.4458028772821667E-2</v>
      </c>
      <c r="U740" s="35"/>
      <c r="V740" s="35"/>
      <c r="W740" s="35"/>
      <c r="X740" s="35"/>
    </row>
    <row r="741" spans="4:24" x14ac:dyDescent="0.3">
      <c r="D741" s="23">
        <v>40654</v>
      </c>
      <c r="E741" s="5">
        <v>105.00063299999999</v>
      </c>
      <c r="F741" s="28">
        <v>56.297310000000003</v>
      </c>
      <c r="G741" s="28">
        <v>146.74</v>
      </c>
      <c r="H741" s="28">
        <v>51.74136</v>
      </c>
      <c r="I741" s="28">
        <v>54.699100000000001</v>
      </c>
      <c r="J741" s="29"/>
      <c r="K741" s="29"/>
      <c r="L741" s="29"/>
      <c r="M741" s="29"/>
      <c r="N741" s="29"/>
      <c r="P741" s="4">
        <f t="shared" ref="P741:T756" si="48">LN(E741/E740)</f>
        <v>5.095701850997638E-3</v>
      </c>
      <c r="Q741" s="4">
        <f t="shared" si="48"/>
        <v>7.4685090682771261E-4</v>
      </c>
      <c r="R741" s="4">
        <f t="shared" si="48"/>
        <v>1.6368848287263021E-3</v>
      </c>
      <c r="S741" s="4">
        <f t="shared" si="48"/>
        <v>7.915849238972936E-3</v>
      </c>
      <c r="T741" s="4">
        <f t="shared" si="48"/>
        <v>4.9176369541215834E-3</v>
      </c>
      <c r="U741" s="35"/>
      <c r="V741" s="35"/>
      <c r="W741" s="35"/>
      <c r="X741" s="35"/>
    </row>
    <row r="742" spans="4:24" x14ac:dyDescent="0.3">
      <c r="D742" s="23">
        <v>40658</v>
      </c>
      <c r="E742" s="5">
        <v>104.890778</v>
      </c>
      <c r="F742" s="28">
        <v>56.33229</v>
      </c>
      <c r="G742" s="28">
        <v>146.87</v>
      </c>
      <c r="H742" s="28">
        <v>51.874400000000001</v>
      </c>
      <c r="I742" s="28">
        <v>54.64385</v>
      </c>
      <c r="J742" s="29"/>
      <c r="K742" s="29"/>
      <c r="L742" s="29"/>
      <c r="M742" s="29"/>
      <c r="N742" s="29"/>
      <c r="P742" s="4">
        <f t="shared" si="48"/>
        <v>-1.0467794704673333E-3</v>
      </c>
      <c r="Q742" s="4">
        <f t="shared" si="48"/>
        <v>6.2115112057030907E-4</v>
      </c>
      <c r="R742" s="4">
        <f t="shared" si="48"/>
        <v>8.8552847992289093E-4</v>
      </c>
      <c r="S742" s="4">
        <f t="shared" si="48"/>
        <v>2.5679505339646839E-3</v>
      </c>
      <c r="T742" s="4">
        <f t="shared" si="48"/>
        <v>-1.010581929646588E-3</v>
      </c>
      <c r="U742" s="35"/>
      <c r="V742" s="35"/>
      <c r="W742" s="35"/>
      <c r="X742" s="35"/>
    </row>
    <row r="743" spans="4:24" x14ac:dyDescent="0.3">
      <c r="D743" s="23">
        <v>40659</v>
      </c>
      <c r="E743" s="5">
        <v>105.79334299999999</v>
      </c>
      <c r="F743" s="28">
        <v>56.507249999999999</v>
      </c>
      <c r="G743" s="28">
        <v>146.38</v>
      </c>
      <c r="H743" s="28">
        <v>52.167079999999999</v>
      </c>
      <c r="I743" s="28">
        <v>55.125279999999997</v>
      </c>
      <c r="J743" s="29"/>
      <c r="K743" s="29"/>
      <c r="L743" s="29"/>
      <c r="M743" s="29"/>
      <c r="N743" s="29"/>
      <c r="P743" s="4">
        <f t="shared" si="48"/>
        <v>8.5679975993867806E-3</v>
      </c>
      <c r="Q743" s="4">
        <f t="shared" si="48"/>
        <v>3.1010431309466007E-3</v>
      </c>
      <c r="R743" s="4">
        <f t="shared" si="48"/>
        <v>-3.3418615926900622E-3</v>
      </c>
      <c r="S743" s="4">
        <f t="shared" si="48"/>
        <v>5.6262323844802507E-3</v>
      </c>
      <c r="T743" s="4">
        <f t="shared" si="48"/>
        <v>8.7717391383429332E-3</v>
      </c>
      <c r="U743" s="35"/>
      <c r="V743" s="35"/>
      <c r="W743" s="35"/>
      <c r="X743" s="35"/>
    </row>
    <row r="744" spans="4:24" x14ac:dyDescent="0.3">
      <c r="D744" s="23">
        <v>40660</v>
      </c>
      <c r="E744" s="5">
        <v>106.484093</v>
      </c>
      <c r="F744" s="28">
        <v>56.479289999999999</v>
      </c>
      <c r="G744" s="28">
        <v>149.19999999999999</v>
      </c>
      <c r="H744" s="28">
        <v>52.521839999999997</v>
      </c>
      <c r="I744" s="28">
        <v>55.488300000000002</v>
      </c>
      <c r="J744" s="29"/>
      <c r="K744" s="29"/>
      <c r="L744" s="29"/>
      <c r="M744" s="29"/>
      <c r="N744" s="29"/>
      <c r="P744" s="4">
        <f t="shared" si="48"/>
        <v>6.508015651892702E-3</v>
      </c>
      <c r="Q744" s="4">
        <f t="shared" si="48"/>
        <v>-4.9492621989735773E-4</v>
      </c>
      <c r="R744" s="4">
        <f t="shared" si="48"/>
        <v>1.9081707596579289E-2</v>
      </c>
      <c r="S744" s="4">
        <f t="shared" si="48"/>
        <v>6.7774384901750501E-3</v>
      </c>
      <c r="T744" s="4">
        <f t="shared" si="48"/>
        <v>6.5637745986661658E-3</v>
      </c>
      <c r="U744" s="35"/>
      <c r="V744" s="35"/>
      <c r="W744" s="35"/>
      <c r="X744" s="35"/>
    </row>
    <row r="745" spans="4:24" x14ac:dyDescent="0.3">
      <c r="D745" s="23">
        <v>40661</v>
      </c>
      <c r="E745" s="5">
        <v>106.829384</v>
      </c>
      <c r="F745" s="28">
        <v>56.58426</v>
      </c>
      <c r="G745" s="28">
        <v>149.82</v>
      </c>
      <c r="H745" s="28">
        <v>52.442010000000003</v>
      </c>
      <c r="I745" s="28">
        <v>55.654040000000002</v>
      </c>
      <c r="J745" s="29"/>
      <c r="K745" s="29"/>
      <c r="L745" s="29"/>
      <c r="M745" s="29"/>
      <c r="N745" s="29"/>
      <c r="P745" s="4">
        <f t="shared" si="48"/>
        <v>3.2374072790278849E-3</v>
      </c>
      <c r="Q745" s="4">
        <f t="shared" si="48"/>
        <v>1.8568323771871057E-3</v>
      </c>
      <c r="R745" s="4">
        <f t="shared" si="48"/>
        <v>4.1468857500764561E-3</v>
      </c>
      <c r="S745" s="4">
        <f t="shared" si="48"/>
        <v>-1.5210954131749028E-3</v>
      </c>
      <c r="T745" s="4">
        <f t="shared" si="48"/>
        <v>2.9824839544976413E-3</v>
      </c>
      <c r="U745" s="35"/>
      <c r="V745" s="35"/>
      <c r="W745" s="35"/>
      <c r="X745" s="35"/>
    </row>
    <row r="746" spans="4:24" x14ac:dyDescent="0.3">
      <c r="D746" s="23">
        <v>40662</v>
      </c>
      <c r="E746" s="5">
        <v>107.080551</v>
      </c>
      <c r="F746" s="28">
        <v>56.661230000000003</v>
      </c>
      <c r="G746" s="28">
        <v>152.37</v>
      </c>
      <c r="H746" s="28">
        <v>52.397660000000002</v>
      </c>
      <c r="I746" s="28">
        <v>55.79607</v>
      </c>
      <c r="J746" s="29"/>
      <c r="K746" s="29"/>
      <c r="L746" s="29"/>
      <c r="M746" s="29"/>
      <c r="N746" s="29"/>
      <c r="P746" s="4">
        <f t="shared" si="48"/>
        <v>2.3483445537612457E-3</v>
      </c>
      <c r="Q746" s="4">
        <f t="shared" si="48"/>
        <v>1.359347941401893E-3</v>
      </c>
      <c r="R746" s="4">
        <f t="shared" si="48"/>
        <v>1.6877199961526618E-2</v>
      </c>
      <c r="S746" s="4">
        <f t="shared" si="48"/>
        <v>-8.4605383907645332E-4</v>
      </c>
      <c r="T746" s="4">
        <f t="shared" si="48"/>
        <v>2.5487651270684063E-3</v>
      </c>
      <c r="U746" s="35"/>
      <c r="V746" s="35"/>
      <c r="W746" s="35"/>
      <c r="X746" s="35"/>
    </row>
    <row r="747" spans="4:24" x14ac:dyDescent="0.3">
      <c r="D747" s="23">
        <v>40665</v>
      </c>
      <c r="E747" s="5">
        <v>106.915718</v>
      </c>
      <c r="F747" s="28">
        <v>56.677349999999997</v>
      </c>
      <c r="G747" s="28">
        <v>150.41</v>
      </c>
      <c r="H747" s="28">
        <v>52.3001</v>
      </c>
      <c r="I747" s="28">
        <v>55.701360000000001</v>
      </c>
      <c r="J747" s="29"/>
      <c r="K747" s="29"/>
      <c r="L747" s="29"/>
      <c r="M747" s="29"/>
      <c r="N747" s="29"/>
      <c r="P747" s="4">
        <f t="shared" si="48"/>
        <v>-1.5405224901243718E-3</v>
      </c>
      <c r="Q747" s="4">
        <f t="shared" si="48"/>
        <v>2.8445742144798855E-4</v>
      </c>
      <c r="R747" s="4">
        <f t="shared" si="48"/>
        <v>-1.2946874814141439E-2</v>
      </c>
      <c r="S747" s="4">
        <f t="shared" si="48"/>
        <v>-1.8636507263778536E-3</v>
      </c>
      <c r="T747" s="4">
        <f t="shared" si="48"/>
        <v>-1.6988736472061366E-3</v>
      </c>
      <c r="U747" s="35"/>
      <c r="V747" s="35"/>
      <c r="W747" s="35"/>
      <c r="X747" s="35"/>
    </row>
    <row r="748" spans="4:24" x14ac:dyDescent="0.3">
      <c r="D748" s="23">
        <v>40666</v>
      </c>
      <c r="E748" s="5">
        <v>106.53115099999999</v>
      </c>
      <c r="F748" s="28">
        <v>56.740540000000003</v>
      </c>
      <c r="G748" s="28">
        <v>149.88</v>
      </c>
      <c r="H748" s="28">
        <v>52.051760000000002</v>
      </c>
      <c r="I748" s="28">
        <v>55.393599999999999</v>
      </c>
      <c r="J748" s="29"/>
      <c r="K748" s="29"/>
      <c r="L748" s="29"/>
      <c r="M748" s="29"/>
      <c r="N748" s="29"/>
      <c r="P748" s="4">
        <f t="shared" si="48"/>
        <v>-3.6034018012939457E-3</v>
      </c>
      <c r="Q748" s="4">
        <f t="shared" si="48"/>
        <v>1.1142864064610863E-3</v>
      </c>
      <c r="R748" s="4">
        <f t="shared" si="48"/>
        <v>-3.5299247416353341E-3</v>
      </c>
      <c r="S748" s="4">
        <f t="shared" si="48"/>
        <v>-4.7596749848986628E-3</v>
      </c>
      <c r="T748" s="4">
        <f t="shared" si="48"/>
        <v>-5.5404995380311023E-3</v>
      </c>
      <c r="U748" s="35"/>
      <c r="V748" s="35"/>
      <c r="W748" s="35"/>
      <c r="X748" s="35"/>
    </row>
    <row r="749" spans="4:24" x14ac:dyDescent="0.3">
      <c r="D749" s="23">
        <v>40667</v>
      </c>
      <c r="E749" s="5">
        <v>105.82476</v>
      </c>
      <c r="F749" s="28">
        <v>56.810749999999999</v>
      </c>
      <c r="G749" s="28">
        <v>147.72999999999999</v>
      </c>
      <c r="H749" s="28">
        <v>51.97195</v>
      </c>
      <c r="I749" s="28">
        <v>54.983220000000003</v>
      </c>
      <c r="J749" s="29"/>
      <c r="K749" s="29"/>
      <c r="L749" s="29"/>
      <c r="M749" s="29"/>
      <c r="N749" s="29"/>
      <c r="P749" s="4">
        <f t="shared" si="48"/>
        <v>-6.6529215236573657E-3</v>
      </c>
      <c r="Q749" s="4">
        <f t="shared" si="48"/>
        <v>1.2366219520234291E-3</v>
      </c>
      <c r="R749" s="4">
        <f t="shared" si="48"/>
        <v>-1.4448690591969923E-2</v>
      </c>
      <c r="S749" s="4">
        <f t="shared" si="48"/>
        <v>-1.5344581665045025E-3</v>
      </c>
      <c r="T749" s="4">
        <f t="shared" si="48"/>
        <v>-7.4360158405041496E-3</v>
      </c>
      <c r="U749" s="35"/>
      <c r="V749" s="35"/>
      <c r="W749" s="35"/>
      <c r="X749" s="35"/>
    </row>
    <row r="750" spans="4:24" x14ac:dyDescent="0.3">
      <c r="D750" s="23">
        <v>40668</v>
      </c>
      <c r="E750" s="5">
        <v>104.867233</v>
      </c>
      <c r="F750" s="28">
        <v>56.937010000000001</v>
      </c>
      <c r="G750" s="28">
        <v>143.47</v>
      </c>
      <c r="H750" s="28">
        <v>51.68815</v>
      </c>
      <c r="I750" s="28">
        <v>54.541260000000001</v>
      </c>
      <c r="J750" s="29"/>
      <c r="K750" s="29"/>
      <c r="L750" s="29"/>
      <c r="M750" s="29"/>
      <c r="N750" s="29"/>
      <c r="P750" s="4">
        <f t="shared" si="48"/>
        <v>-9.0894160592384435E-3</v>
      </c>
      <c r="Q750" s="4">
        <f t="shared" si="48"/>
        <v>2.2200006726287298E-3</v>
      </c>
      <c r="R750" s="4">
        <f t="shared" si="48"/>
        <v>-2.9260329223218071E-2</v>
      </c>
      <c r="S750" s="4">
        <f t="shared" si="48"/>
        <v>-5.4756016843317476E-3</v>
      </c>
      <c r="T750" s="4">
        <f t="shared" si="48"/>
        <v>-8.0705683128612683E-3</v>
      </c>
      <c r="U750" s="35"/>
      <c r="V750" s="35"/>
      <c r="W750" s="35"/>
      <c r="X750" s="35"/>
    </row>
    <row r="751" spans="4:24" x14ac:dyDescent="0.3">
      <c r="D751" s="23">
        <v>40669</v>
      </c>
      <c r="E751" s="5">
        <v>105.330299</v>
      </c>
      <c r="F751" s="28">
        <v>56.97916</v>
      </c>
      <c r="G751" s="28">
        <v>145.30000000000001</v>
      </c>
      <c r="H751" s="28">
        <v>51.856650000000002</v>
      </c>
      <c r="I751" s="28">
        <v>54.778010000000002</v>
      </c>
      <c r="J751" s="29"/>
      <c r="K751" s="29"/>
      <c r="L751" s="29"/>
      <c r="M751" s="29"/>
      <c r="N751" s="29"/>
      <c r="P751" s="4">
        <f t="shared" si="48"/>
        <v>4.4060150917812832E-3</v>
      </c>
      <c r="Q751" s="4">
        <f t="shared" si="48"/>
        <v>7.4001789076193647E-4</v>
      </c>
      <c r="R751" s="4">
        <f t="shared" si="48"/>
        <v>1.2674616465938652E-2</v>
      </c>
      <c r="S751" s="4">
        <f t="shared" si="48"/>
        <v>3.2546327529381033E-3</v>
      </c>
      <c r="T751" s="4">
        <f t="shared" si="48"/>
        <v>4.3313565875782636E-3</v>
      </c>
      <c r="U751" s="35"/>
      <c r="V751" s="35"/>
      <c r="W751" s="35"/>
      <c r="X751" s="35"/>
    </row>
    <row r="752" spans="4:24" x14ac:dyDescent="0.3">
      <c r="D752" s="23">
        <v>40672</v>
      </c>
      <c r="E752" s="5">
        <v>105.738449</v>
      </c>
      <c r="F752" s="28">
        <v>57.028280000000002</v>
      </c>
      <c r="G752" s="28">
        <v>147.38</v>
      </c>
      <c r="H752" s="28">
        <v>52.051760000000002</v>
      </c>
      <c r="I752" s="28">
        <v>55.07</v>
      </c>
      <c r="J752" s="29"/>
      <c r="K752" s="29"/>
      <c r="L752" s="29"/>
      <c r="M752" s="29"/>
      <c r="N752" s="29"/>
      <c r="P752" s="4">
        <f t="shared" si="48"/>
        <v>3.8674651041619729E-3</v>
      </c>
      <c r="Q752" s="4">
        <f t="shared" si="48"/>
        <v>8.6169820214178686E-4</v>
      </c>
      <c r="R752" s="4">
        <f t="shared" si="48"/>
        <v>1.4213714762616011E-2</v>
      </c>
      <c r="S752" s="4">
        <f t="shared" si="48"/>
        <v>3.7554270978981622E-3</v>
      </c>
      <c r="T752" s="4">
        <f t="shared" si="48"/>
        <v>5.3162672259925913E-3</v>
      </c>
      <c r="U752" s="35"/>
      <c r="V752" s="35"/>
      <c r="W752" s="35"/>
      <c r="X752" s="35"/>
    </row>
    <row r="753" spans="4:24" x14ac:dyDescent="0.3">
      <c r="D753" s="23">
        <v>40673</v>
      </c>
      <c r="E753" s="5">
        <v>106.64104500000001</v>
      </c>
      <c r="F753" s="28">
        <v>56.880879999999998</v>
      </c>
      <c r="G753" s="28">
        <v>147.9</v>
      </c>
      <c r="H753" s="28">
        <v>52.49521</v>
      </c>
      <c r="I753" s="28">
        <v>55.55932</v>
      </c>
      <c r="J753" s="29"/>
      <c r="K753" s="29"/>
      <c r="L753" s="29"/>
      <c r="M753" s="29"/>
      <c r="N753" s="29"/>
      <c r="P753" s="4">
        <f t="shared" si="48"/>
        <v>8.4998925012608629E-3</v>
      </c>
      <c r="Q753" s="4">
        <f t="shared" si="48"/>
        <v>-2.5880286058194693E-3</v>
      </c>
      <c r="R753" s="4">
        <f t="shared" si="48"/>
        <v>3.5220843779008928E-3</v>
      </c>
      <c r="S753" s="4">
        <f t="shared" si="48"/>
        <v>8.4833192098520884E-3</v>
      </c>
      <c r="T753" s="4">
        <f t="shared" si="48"/>
        <v>8.8461755159770557E-3</v>
      </c>
      <c r="U753" s="35"/>
      <c r="V753" s="35"/>
      <c r="W753" s="35"/>
      <c r="X753" s="35"/>
    </row>
    <row r="754" spans="4:24" x14ac:dyDescent="0.3">
      <c r="D754" s="23">
        <v>40674</v>
      </c>
      <c r="E754" s="5">
        <v>105.518646</v>
      </c>
      <c r="F754" s="28">
        <v>56.951079999999997</v>
      </c>
      <c r="G754" s="28">
        <v>146.54</v>
      </c>
      <c r="H754" s="28">
        <v>52.113849999999999</v>
      </c>
      <c r="I754" s="28">
        <v>54.991100000000003</v>
      </c>
      <c r="J754" s="29"/>
      <c r="K754" s="29"/>
      <c r="L754" s="29"/>
      <c r="M754" s="29"/>
      <c r="N754" s="29"/>
      <c r="P754" s="4">
        <f t="shared" si="48"/>
        <v>-1.0580798511213839E-2</v>
      </c>
      <c r="Q754" s="4">
        <f t="shared" si="48"/>
        <v>1.2333971742105804E-3</v>
      </c>
      <c r="R754" s="4">
        <f t="shared" si="48"/>
        <v>-9.2379409849363617E-3</v>
      </c>
      <c r="S754" s="4">
        <f t="shared" si="48"/>
        <v>-7.2911789755940549E-3</v>
      </c>
      <c r="T754" s="4">
        <f t="shared" si="48"/>
        <v>-1.0279924833689041E-2</v>
      </c>
      <c r="U754" s="35"/>
      <c r="V754" s="35"/>
      <c r="W754" s="35"/>
      <c r="X754" s="35"/>
    </row>
    <row r="755" spans="4:24" x14ac:dyDescent="0.3">
      <c r="D755" s="23">
        <v>40675</v>
      </c>
      <c r="E755" s="5">
        <v>106.020966</v>
      </c>
      <c r="F755" s="28">
        <v>56.894919999999999</v>
      </c>
      <c r="G755" s="28">
        <v>146.59</v>
      </c>
      <c r="H755" s="28">
        <v>52.42427</v>
      </c>
      <c r="I755" s="28">
        <v>55.251519999999999</v>
      </c>
      <c r="J755" s="29"/>
      <c r="K755" s="29"/>
      <c r="L755" s="29"/>
      <c r="M755" s="29"/>
      <c r="N755" s="29"/>
      <c r="P755" s="4">
        <f t="shared" si="48"/>
        <v>4.749190370491531E-3</v>
      </c>
      <c r="Q755" s="4">
        <f t="shared" si="48"/>
        <v>-9.8659600785932187E-4</v>
      </c>
      <c r="R755" s="4">
        <f t="shared" si="48"/>
        <v>3.4114557012205525E-4</v>
      </c>
      <c r="S755" s="4">
        <f t="shared" si="48"/>
        <v>5.9389036724688937E-3</v>
      </c>
      <c r="T755" s="4">
        <f t="shared" si="48"/>
        <v>4.724497374972045E-3</v>
      </c>
      <c r="U755" s="35"/>
      <c r="V755" s="35"/>
      <c r="W755" s="35"/>
      <c r="X755" s="35"/>
    </row>
    <row r="756" spans="4:24" x14ac:dyDescent="0.3">
      <c r="D756" s="23">
        <v>40676</v>
      </c>
      <c r="E756" s="5">
        <v>105.204712</v>
      </c>
      <c r="F756" s="28">
        <v>56.97916</v>
      </c>
      <c r="G756" s="28">
        <v>145.63</v>
      </c>
      <c r="H756" s="28">
        <v>51.803440000000002</v>
      </c>
      <c r="I756" s="28">
        <v>54.746450000000003</v>
      </c>
      <c r="J756" s="29"/>
      <c r="K756" s="29"/>
      <c r="L756" s="29"/>
      <c r="M756" s="29"/>
      <c r="N756" s="29"/>
      <c r="P756" s="4">
        <f t="shared" si="48"/>
        <v>-7.7287768314961364E-3</v>
      </c>
      <c r="Q756" s="4">
        <f t="shared" si="48"/>
        <v>1.4795292373264929E-3</v>
      </c>
      <c r="R756" s="4">
        <f t="shared" si="48"/>
        <v>-6.5704158074507369E-3</v>
      </c>
      <c r="S756" s="4">
        <f t="shared" si="48"/>
        <v>-1.1913095709917734E-2</v>
      </c>
      <c r="T756" s="4">
        <f t="shared" si="48"/>
        <v>-9.1833249199038264E-3</v>
      </c>
      <c r="U756" s="35"/>
      <c r="V756" s="35"/>
      <c r="W756" s="35"/>
      <c r="X756" s="35"/>
    </row>
    <row r="757" spans="4:24" x14ac:dyDescent="0.3">
      <c r="D757" s="23">
        <v>40679</v>
      </c>
      <c r="E757" s="5">
        <v>104.53758999999999</v>
      </c>
      <c r="F757" s="28">
        <v>57.112499999999997</v>
      </c>
      <c r="G757" s="28">
        <v>145.37</v>
      </c>
      <c r="H757" s="28">
        <v>50.907679999999999</v>
      </c>
      <c r="I757" s="28">
        <v>54.367620000000002</v>
      </c>
      <c r="J757" s="29"/>
      <c r="K757" s="29"/>
      <c r="L757" s="29"/>
      <c r="M757" s="29"/>
      <c r="N757" s="29"/>
      <c r="P757" s="4">
        <f t="shared" ref="P757:T772" si="49">LN(E757/E756)</f>
        <v>-6.3613705327082775E-3</v>
      </c>
      <c r="Q757" s="4">
        <f t="shared" si="49"/>
        <v>2.3374199430340726E-3</v>
      </c>
      <c r="R757" s="4">
        <f t="shared" si="49"/>
        <v>-1.786942056255372E-3</v>
      </c>
      <c r="S757" s="4">
        <f t="shared" si="49"/>
        <v>-1.7442760065786794E-2</v>
      </c>
      <c r="T757" s="4">
        <f t="shared" si="49"/>
        <v>-6.9437703521834848E-3</v>
      </c>
      <c r="U757" s="35"/>
      <c r="V757" s="35"/>
      <c r="W757" s="35"/>
      <c r="X757" s="35"/>
    </row>
    <row r="758" spans="4:24" x14ac:dyDescent="0.3">
      <c r="D758" s="23">
        <v>40680</v>
      </c>
      <c r="E758" s="5">
        <v>104.521866</v>
      </c>
      <c r="F758" s="28">
        <v>57.203719999999997</v>
      </c>
      <c r="G758" s="28">
        <v>144.74</v>
      </c>
      <c r="H758" s="28">
        <v>51.049579999999999</v>
      </c>
      <c r="I758" s="28">
        <v>54.32029</v>
      </c>
      <c r="J758" s="29"/>
      <c r="K758" s="29"/>
      <c r="L758" s="29"/>
      <c r="M758" s="29"/>
      <c r="N758" s="29"/>
      <c r="P758" s="4">
        <f t="shared" si="49"/>
        <v>-1.5042610681659387E-4</v>
      </c>
      <c r="Q758" s="4">
        <f t="shared" si="49"/>
        <v>1.5959243467156543E-3</v>
      </c>
      <c r="R758" s="4">
        <f t="shared" si="49"/>
        <v>-4.3431870002518837E-3</v>
      </c>
      <c r="S758" s="4">
        <f t="shared" si="49"/>
        <v>2.7835210875608442E-3</v>
      </c>
      <c r="T758" s="4">
        <f t="shared" si="49"/>
        <v>-8.7093408994165337E-4</v>
      </c>
      <c r="U758" s="35"/>
      <c r="V758" s="35"/>
      <c r="W758" s="35"/>
      <c r="X758" s="35"/>
    </row>
    <row r="759" spans="4:24" x14ac:dyDescent="0.3">
      <c r="D759" s="23">
        <v>40681</v>
      </c>
      <c r="E759" s="5">
        <v>105.455872</v>
      </c>
      <c r="F759" s="28">
        <v>57.042310000000001</v>
      </c>
      <c r="G759" s="28">
        <v>145.6</v>
      </c>
      <c r="H759" s="28">
        <v>51.475290000000001</v>
      </c>
      <c r="I759" s="28">
        <v>54.841149999999999</v>
      </c>
      <c r="J759" s="29"/>
      <c r="K759" s="29"/>
      <c r="L759" s="29"/>
      <c r="M759" s="29"/>
      <c r="N759" s="29"/>
      <c r="P759" s="4">
        <f t="shared" si="49"/>
        <v>8.8962969977377255E-3</v>
      </c>
      <c r="Q759" s="4">
        <f t="shared" si="49"/>
        <v>-2.8256580538693937E-3</v>
      </c>
      <c r="R759" s="4">
        <f t="shared" si="49"/>
        <v>5.924106324603772E-3</v>
      </c>
      <c r="S759" s="4">
        <f t="shared" si="49"/>
        <v>8.3045693521772677E-3</v>
      </c>
      <c r="T759" s="4">
        <f t="shared" si="49"/>
        <v>9.5430025994444265E-3</v>
      </c>
      <c r="U759" s="35"/>
      <c r="V759" s="35"/>
      <c r="W759" s="35"/>
      <c r="X759" s="35"/>
    </row>
    <row r="760" spans="4:24" x14ac:dyDescent="0.3">
      <c r="D760" s="23">
        <v>40682</v>
      </c>
      <c r="E760" s="5">
        <v>105.707054</v>
      </c>
      <c r="F760" s="28">
        <v>57.021270000000001</v>
      </c>
      <c r="G760" s="28">
        <v>145.65</v>
      </c>
      <c r="H760" s="28">
        <v>51.626060000000003</v>
      </c>
      <c r="I760" s="28">
        <v>54.975320000000004</v>
      </c>
      <c r="J760" s="29"/>
      <c r="K760" s="29"/>
      <c r="L760" s="29"/>
      <c r="M760" s="29"/>
      <c r="N760" s="29"/>
      <c r="P760" s="4">
        <f t="shared" si="49"/>
        <v>2.37903616158701E-3</v>
      </c>
      <c r="Q760" s="4">
        <f t="shared" si="49"/>
        <v>-3.6891705904073917E-4</v>
      </c>
      <c r="R760" s="4">
        <f t="shared" si="49"/>
        <v>3.4334764285812419E-4</v>
      </c>
      <c r="S760" s="4">
        <f t="shared" si="49"/>
        <v>2.9246970572551051E-3</v>
      </c>
      <c r="T760" s="4">
        <f t="shared" si="49"/>
        <v>2.4435326824673417E-3</v>
      </c>
      <c r="U760" s="35"/>
      <c r="V760" s="35"/>
      <c r="W760" s="35"/>
      <c r="X760" s="35"/>
    </row>
    <row r="761" spans="4:24" x14ac:dyDescent="0.3">
      <c r="D761" s="23">
        <v>40683</v>
      </c>
      <c r="E761" s="5">
        <v>104.867233</v>
      </c>
      <c r="F761" s="28">
        <v>57.070369999999997</v>
      </c>
      <c r="G761" s="28">
        <v>147.49</v>
      </c>
      <c r="H761" s="28">
        <v>51.235840000000003</v>
      </c>
      <c r="I761" s="28">
        <v>54.56494</v>
      </c>
      <c r="J761" s="29"/>
      <c r="K761" s="29"/>
      <c r="L761" s="29"/>
      <c r="M761" s="29"/>
      <c r="N761" s="29"/>
      <c r="P761" s="4">
        <f t="shared" si="49"/>
        <v>-7.9765242447853383E-3</v>
      </c>
      <c r="Q761" s="4">
        <f t="shared" si="49"/>
        <v>8.6071167056951225E-4</v>
      </c>
      <c r="R761" s="4">
        <f t="shared" si="49"/>
        <v>1.2553893465967473E-2</v>
      </c>
      <c r="S761" s="4">
        <f t="shared" si="49"/>
        <v>-7.5872965983200093E-3</v>
      </c>
      <c r="T761" s="4">
        <f t="shared" si="49"/>
        <v>-7.4928052930588653E-3</v>
      </c>
      <c r="U761" s="35"/>
      <c r="V761" s="35"/>
      <c r="W761" s="35"/>
      <c r="X761" s="35"/>
    </row>
    <row r="762" spans="4:24" x14ac:dyDescent="0.3">
      <c r="D762" s="23">
        <v>40686</v>
      </c>
      <c r="E762" s="5">
        <v>103.650642</v>
      </c>
      <c r="F762" s="28">
        <v>57.105490000000003</v>
      </c>
      <c r="G762" s="28">
        <v>147.83000000000001</v>
      </c>
      <c r="H762" s="28">
        <v>50.481960000000001</v>
      </c>
      <c r="I762" s="28">
        <v>53.870440000000002</v>
      </c>
      <c r="J762" s="29"/>
      <c r="K762" s="29"/>
      <c r="L762" s="29"/>
      <c r="M762" s="29"/>
      <c r="N762" s="29"/>
      <c r="P762" s="4">
        <f t="shared" si="49"/>
        <v>-1.166906966560865E-2</v>
      </c>
      <c r="Q762" s="4">
        <f t="shared" si="49"/>
        <v>6.1519135669541036E-4</v>
      </c>
      <c r="R762" s="4">
        <f t="shared" si="49"/>
        <v>2.3025880415875988E-3</v>
      </c>
      <c r="S762" s="4">
        <f t="shared" si="49"/>
        <v>-1.4823242422216156E-2</v>
      </c>
      <c r="T762" s="4">
        <f t="shared" si="49"/>
        <v>-1.280964748799023E-2</v>
      </c>
      <c r="U762" s="35"/>
      <c r="V762" s="35"/>
      <c r="W762" s="35"/>
      <c r="X762" s="35"/>
    </row>
    <row r="763" spans="4:24" x14ac:dyDescent="0.3">
      <c r="D763" s="23">
        <v>40687</v>
      </c>
      <c r="E763" s="5">
        <v>103.56431600000001</v>
      </c>
      <c r="F763" s="28">
        <v>57.14058</v>
      </c>
      <c r="G763" s="28">
        <v>148.59</v>
      </c>
      <c r="H763" s="28">
        <v>50.171570000000003</v>
      </c>
      <c r="I763" s="28">
        <v>53.815199999999997</v>
      </c>
      <c r="J763" s="29"/>
      <c r="K763" s="29"/>
      <c r="L763" s="29"/>
      <c r="M763" s="29"/>
      <c r="N763" s="29"/>
      <c r="P763" s="4">
        <f t="shared" si="49"/>
        <v>-8.3320244665110771E-4</v>
      </c>
      <c r="Q763" s="4">
        <f t="shared" si="49"/>
        <v>6.142881081760798E-4</v>
      </c>
      <c r="R763" s="4">
        <f t="shared" si="49"/>
        <v>5.1278703552575149E-3</v>
      </c>
      <c r="S763" s="4">
        <f t="shared" si="49"/>
        <v>-6.1675131292381813E-3</v>
      </c>
      <c r="T763" s="4">
        <f t="shared" si="49"/>
        <v>-1.0259493251902967E-3</v>
      </c>
      <c r="U763" s="35"/>
      <c r="V763" s="35"/>
      <c r="W763" s="35"/>
      <c r="X763" s="35"/>
    </row>
    <row r="764" spans="4:24" x14ac:dyDescent="0.3">
      <c r="D764" s="23">
        <v>40688</v>
      </c>
      <c r="E764" s="5">
        <v>103.909645</v>
      </c>
      <c r="F764" s="28">
        <v>57.161619999999999</v>
      </c>
      <c r="G764" s="28">
        <v>148.58000000000001</v>
      </c>
      <c r="H764" s="28">
        <v>50.366669999999999</v>
      </c>
      <c r="I764" s="28">
        <v>54.036180000000002</v>
      </c>
      <c r="J764" s="29"/>
      <c r="K764" s="29"/>
      <c r="L764" s="29"/>
      <c r="M764" s="29"/>
      <c r="N764" s="29"/>
      <c r="P764" s="4">
        <f t="shared" si="49"/>
        <v>3.3288931028576606E-3</v>
      </c>
      <c r="Q764" s="4">
        <f t="shared" si="49"/>
        <v>3.6814689896846257E-4</v>
      </c>
      <c r="R764" s="4">
        <f t="shared" si="49"/>
        <v>-6.7301544595827566E-5</v>
      </c>
      <c r="S764" s="4">
        <f t="shared" si="49"/>
        <v>3.8811151836377128E-3</v>
      </c>
      <c r="T764" s="4">
        <f t="shared" si="49"/>
        <v>4.0978670691847836E-3</v>
      </c>
      <c r="U764" s="35"/>
      <c r="V764" s="35"/>
      <c r="W764" s="35"/>
      <c r="X764" s="35"/>
    </row>
    <row r="765" spans="4:24" x14ac:dyDescent="0.3">
      <c r="D765" s="23">
        <v>40689</v>
      </c>
      <c r="E765" s="5">
        <v>104.388443</v>
      </c>
      <c r="F765" s="28">
        <v>57.238819999999997</v>
      </c>
      <c r="G765" s="28">
        <v>148.22</v>
      </c>
      <c r="H765" s="28">
        <v>50.677070000000001</v>
      </c>
      <c r="I765" s="28">
        <v>54.359740000000002</v>
      </c>
      <c r="J765" s="29"/>
      <c r="K765" s="29"/>
      <c r="L765" s="29"/>
      <c r="M765" s="29"/>
      <c r="N765" s="29"/>
      <c r="P765" s="4">
        <f t="shared" si="49"/>
        <v>4.5972466465441127E-3</v>
      </c>
      <c r="Q765" s="4">
        <f t="shared" si="49"/>
        <v>1.3496453635770402E-3</v>
      </c>
      <c r="R765" s="4">
        <f t="shared" si="49"/>
        <v>-2.425877200447491E-3</v>
      </c>
      <c r="S765" s="4">
        <f t="shared" si="49"/>
        <v>6.1438932565130574E-3</v>
      </c>
      <c r="T765" s="4">
        <f t="shared" si="49"/>
        <v>5.9699841284023836E-3</v>
      </c>
      <c r="U765" s="35"/>
      <c r="V765" s="35"/>
      <c r="W765" s="35"/>
      <c r="X765" s="35"/>
    </row>
    <row r="766" spans="4:24" x14ac:dyDescent="0.3">
      <c r="D766" s="23">
        <v>40690</v>
      </c>
      <c r="E766" s="5">
        <v>104.78872699999999</v>
      </c>
      <c r="F766" s="28">
        <v>57.259869999999999</v>
      </c>
      <c r="G766" s="28">
        <v>149.69999999999999</v>
      </c>
      <c r="H766" s="28">
        <v>50.934280000000001</v>
      </c>
      <c r="I766" s="28">
        <v>54.612279999999998</v>
      </c>
      <c r="J766" s="29"/>
      <c r="K766" s="29"/>
      <c r="L766" s="29"/>
      <c r="M766" s="29"/>
      <c r="N766" s="29"/>
      <c r="P766" s="4">
        <f t="shared" si="49"/>
        <v>3.8272292201166963E-3</v>
      </c>
      <c r="Q766" s="4">
        <f t="shared" si="49"/>
        <v>3.6768980041877643E-4</v>
      </c>
      <c r="R766" s="4">
        <f t="shared" si="49"/>
        <v>9.9356349023698477E-3</v>
      </c>
      <c r="S766" s="4">
        <f t="shared" si="49"/>
        <v>5.0626342305883686E-3</v>
      </c>
      <c r="T766" s="4">
        <f t="shared" si="49"/>
        <v>4.6349595447787604E-3</v>
      </c>
      <c r="U766" s="35"/>
      <c r="V766" s="35"/>
      <c r="W766" s="35"/>
      <c r="X766" s="35"/>
    </row>
    <row r="767" spans="4:24" x14ac:dyDescent="0.3">
      <c r="D767" s="23">
        <v>40694</v>
      </c>
      <c r="E767" s="5">
        <v>105.879715</v>
      </c>
      <c r="F767" s="28">
        <v>57.330069999999999</v>
      </c>
      <c r="G767" s="28">
        <v>149.63999999999999</v>
      </c>
      <c r="H767" s="28">
        <v>51.75909</v>
      </c>
      <c r="I767" s="28">
        <v>55.204169999999998</v>
      </c>
      <c r="J767" s="29"/>
      <c r="K767" s="29"/>
      <c r="L767" s="29"/>
      <c r="M767" s="29"/>
      <c r="N767" s="29"/>
      <c r="P767" s="4">
        <f t="shared" si="49"/>
        <v>1.0357486321468884E-2</v>
      </c>
      <c r="Q767" s="4">
        <f t="shared" si="49"/>
        <v>1.2252385991662134E-3</v>
      </c>
      <c r="R767" s="4">
        <f t="shared" si="49"/>
        <v>-4.0088194563730242E-4</v>
      </c>
      <c r="S767" s="4">
        <f t="shared" si="49"/>
        <v>1.6063894615334525E-2</v>
      </c>
      <c r="T767" s="4">
        <f t="shared" si="49"/>
        <v>1.0779728020386067E-2</v>
      </c>
      <c r="U767" s="35"/>
      <c r="V767" s="35"/>
      <c r="W767" s="35"/>
      <c r="X767" s="35"/>
    </row>
    <row r="768" spans="4:24" x14ac:dyDescent="0.3">
      <c r="D768" s="23">
        <v>40695</v>
      </c>
      <c r="E768" s="5">
        <v>103.50148799999999</v>
      </c>
      <c r="F768" s="28">
        <v>57.607309999999998</v>
      </c>
      <c r="G768" s="28">
        <v>149.91</v>
      </c>
      <c r="H768" s="28">
        <v>50.632739999999998</v>
      </c>
      <c r="I768" s="28">
        <v>53.949370000000002</v>
      </c>
      <c r="J768" s="29"/>
      <c r="K768" s="29"/>
      <c r="L768" s="29"/>
      <c r="M768" s="29"/>
      <c r="N768" s="29"/>
      <c r="P768" s="4">
        <f t="shared" si="49"/>
        <v>-2.2717696215122457E-2</v>
      </c>
      <c r="Q768" s="4">
        <f t="shared" si="49"/>
        <v>4.824201450943217E-3</v>
      </c>
      <c r="R768" s="4">
        <f t="shared" si="49"/>
        <v>1.8027045442780213E-3</v>
      </c>
      <c r="S768" s="4">
        <f t="shared" si="49"/>
        <v>-2.2001666265077692E-2</v>
      </c>
      <c r="T768" s="4">
        <f t="shared" si="49"/>
        <v>-2.2992479751231591E-2</v>
      </c>
      <c r="U768" s="35"/>
      <c r="V768" s="35"/>
      <c r="W768" s="35"/>
      <c r="X768" s="35"/>
    </row>
    <row r="769" spans="4:24" x14ac:dyDescent="0.3">
      <c r="D769" s="23">
        <v>40696</v>
      </c>
      <c r="E769" s="5">
        <v>103.391655</v>
      </c>
      <c r="F769" s="28">
        <v>57.375079999999997</v>
      </c>
      <c r="G769" s="28">
        <v>149.5</v>
      </c>
      <c r="H769" s="28">
        <v>50.739170000000001</v>
      </c>
      <c r="I769" s="28">
        <v>53.846769999999999</v>
      </c>
      <c r="J769" s="29"/>
      <c r="K769" s="29"/>
      <c r="L769" s="29"/>
      <c r="M769" s="29"/>
      <c r="N769" s="29"/>
      <c r="P769" s="4">
        <f t="shared" si="49"/>
        <v>-1.0617365923794497E-3</v>
      </c>
      <c r="Q769" s="4">
        <f t="shared" si="49"/>
        <v>-4.0394066564611421E-3</v>
      </c>
      <c r="R769" s="4">
        <f t="shared" si="49"/>
        <v>-2.7387211934821508E-3</v>
      </c>
      <c r="S769" s="4">
        <f t="shared" si="49"/>
        <v>2.0997935050317213E-3</v>
      </c>
      <c r="T769" s="4">
        <f t="shared" si="49"/>
        <v>-1.9035937832722963E-3</v>
      </c>
      <c r="U769" s="35"/>
      <c r="V769" s="35"/>
      <c r="W769" s="35"/>
      <c r="X769" s="35"/>
    </row>
    <row r="770" spans="4:24" x14ac:dyDescent="0.3">
      <c r="D770" s="23">
        <v>40697</v>
      </c>
      <c r="E770" s="5">
        <v>102.36344099999999</v>
      </c>
      <c r="F770" s="28">
        <v>57.473599999999998</v>
      </c>
      <c r="G770" s="28">
        <v>150.22</v>
      </c>
      <c r="H770" s="28">
        <v>49.976430000000001</v>
      </c>
      <c r="I770" s="28">
        <v>53.294330000000002</v>
      </c>
      <c r="J770" s="29"/>
      <c r="K770" s="29"/>
      <c r="L770" s="29"/>
      <c r="M770" s="29"/>
      <c r="N770" s="29"/>
      <c r="P770" s="4">
        <f t="shared" si="49"/>
        <v>-9.9946254476041118E-3</v>
      </c>
      <c r="Q770" s="4">
        <f t="shared" si="49"/>
        <v>1.7156492206221088E-3</v>
      </c>
      <c r="R770" s="4">
        <f t="shared" si="49"/>
        <v>4.8044934271245796E-3</v>
      </c>
      <c r="S770" s="4">
        <f t="shared" si="49"/>
        <v>-1.5146701850072979E-2</v>
      </c>
      <c r="T770" s="4">
        <f t="shared" si="49"/>
        <v>-1.0312473847255466E-2</v>
      </c>
      <c r="U770" s="35"/>
      <c r="V770" s="35"/>
      <c r="W770" s="35"/>
      <c r="X770" s="35"/>
    </row>
    <row r="771" spans="4:24" x14ac:dyDescent="0.3">
      <c r="D771" s="23">
        <v>40700</v>
      </c>
      <c r="E771" s="5">
        <v>101.280327</v>
      </c>
      <c r="F771" s="28">
        <v>57.43844</v>
      </c>
      <c r="G771" s="28">
        <v>150.47999999999999</v>
      </c>
      <c r="H771" s="28">
        <v>49.568460000000002</v>
      </c>
      <c r="I771" s="28">
        <v>52.678750000000001</v>
      </c>
      <c r="J771" s="29"/>
      <c r="K771" s="29"/>
      <c r="L771" s="29"/>
      <c r="M771" s="29"/>
      <c r="N771" s="29"/>
      <c r="P771" s="4">
        <f t="shared" si="49"/>
        <v>-1.0637440310049311E-2</v>
      </c>
      <c r="Q771" s="4">
        <f t="shared" si="49"/>
        <v>-6.1194633908198573E-4</v>
      </c>
      <c r="R771" s="4">
        <f t="shared" si="49"/>
        <v>1.7292987349092179E-3</v>
      </c>
      <c r="S771" s="4">
        <f t="shared" si="49"/>
        <v>-8.1967499120765355E-3</v>
      </c>
      <c r="T771" s="4">
        <f t="shared" si="49"/>
        <v>-1.1617798102807121E-2</v>
      </c>
      <c r="U771" s="35"/>
      <c r="V771" s="35"/>
      <c r="W771" s="35"/>
      <c r="X771" s="35"/>
    </row>
    <row r="772" spans="4:24" x14ac:dyDescent="0.3">
      <c r="D772" s="23">
        <v>40701</v>
      </c>
      <c r="E772" s="5">
        <v>101.217552</v>
      </c>
      <c r="F772" s="28">
        <v>57.508789999999998</v>
      </c>
      <c r="G772" s="28">
        <v>150.41999999999999</v>
      </c>
      <c r="H772" s="28">
        <v>49.479790000000001</v>
      </c>
      <c r="I772" s="28">
        <v>52.655079999999998</v>
      </c>
      <c r="J772" s="29"/>
      <c r="K772" s="29"/>
      <c r="L772" s="29"/>
      <c r="M772" s="29"/>
      <c r="N772" s="29"/>
      <c r="P772" s="4">
        <f t="shared" si="49"/>
        <v>-6.2000651385524794E-4</v>
      </c>
      <c r="Q772" s="4">
        <f t="shared" si="49"/>
        <v>1.22404008837141E-3</v>
      </c>
      <c r="R772" s="4">
        <f t="shared" si="49"/>
        <v>-3.9880359451793443E-4</v>
      </c>
      <c r="S772" s="4">
        <f t="shared" si="49"/>
        <v>-1.790440995924651E-3</v>
      </c>
      <c r="T772" s="4">
        <f t="shared" si="49"/>
        <v>-4.4942826817215417E-4</v>
      </c>
      <c r="U772" s="35"/>
      <c r="V772" s="35"/>
      <c r="W772" s="35"/>
      <c r="X772" s="35"/>
    </row>
    <row r="773" spans="4:24" x14ac:dyDescent="0.3">
      <c r="D773" s="23">
        <v>40702</v>
      </c>
      <c r="E773" s="5">
        <v>100.793701</v>
      </c>
      <c r="F773" s="28">
        <v>57.621400000000001</v>
      </c>
      <c r="G773" s="28">
        <v>149.81</v>
      </c>
      <c r="H773" s="28">
        <v>49.125030000000002</v>
      </c>
      <c r="I773" s="28">
        <v>52.378860000000003</v>
      </c>
      <c r="J773" s="29"/>
      <c r="K773" s="29"/>
      <c r="L773" s="29"/>
      <c r="M773" s="29"/>
      <c r="N773" s="29"/>
      <c r="P773" s="4">
        <f t="shared" ref="P773:T788" si="50">LN(E773/E772)</f>
        <v>-4.1963169444676094E-3</v>
      </c>
      <c r="Q773" s="4">
        <f t="shared" si="50"/>
        <v>1.9562207951073435E-3</v>
      </c>
      <c r="R773" s="4">
        <f t="shared" si="50"/>
        <v>-4.0635568689663904E-3</v>
      </c>
      <c r="S773" s="4">
        <f t="shared" si="50"/>
        <v>-7.1956224999729463E-3</v>
      </c>
      <c r="T773" s="4">
        <f t="shared" si="50"/>
        <v>-5.2596453446545578E-3</v>
      </c>
      <c r="U773" s="35"/>
      <c r="V773" s="35"/>
      <c r="W773" s="35"/>
      <c r="X773" s="35"/>
    </row>
    <row r="774" spans="4:24" x14ac:dyDescent="0.3">
      <c r="D774" s="23">
        <v>40703</v>
      </c>
      <c r="E774" s="5">
        <v>101.562859</v>
      </c>
      <c r="F774" s="28">
        <v>57.487699999999997</v>
      </c>
      <c r="G774" s="28">
        <v>150.56</v>
      </c>
      <c r="H774" s="28">
        <v>49.213709999999999</v>
      </c>
      <c r="I774" s="28">
        <v>52.749789999999997</v>
      </c>
      <c r="J774" s="29"/>
      <c r="K774" s="29"/>
      <c r="L774" s="29"/>
      <c r="M774" s="29"/>
      <c r="N774" s="29"/>
      <c r="P774" s="4">
        <f t="shared" si="50"/>
        <v>7.6020436817232926E-3</v>
      </c>
      <c r="Q774" s="4">
        <f t="shared" si="50"/>
        <v>-2.3230146031000582E-3</v>
      </c>
      <c r="R774" s="4">
        <f t="shared" si="50"/>
        <v>4.9938513077790025E-3</v>
      </c>
      <c r="S774" s="4">
        <f t="shared" si="50"/>
        <v>1.8035623405071037E-3</v>
      </c>
      <c r="T774" s="4">
        <f t="shared" si="50"/>
        <v>7.0567164949447547E-3</v>
      </c>
      <c r="U774" s="35"/>
      <c r="V774" s="35"/>
      <c r="W774" s="35"/>
      <c r="X774" s="35"/>
    </row>
    <row r="775" spans="4:24" x14ac:dyDescent="0.3">
      <c r="D775" s="23">
        <v>40704</v>
      </c>
      <c r="E775" s="5">
        <v>100.150108</v>
      </c>
      <c r="F775" s="28">
        <v>57.558050000000001</v>
      </c>
      <c r="G775" s="28">
        <v>149.24</v>
      </c>
      <c r="H775" s="28">
        <v>48.459870000000002</v>
      </c>
      <c r="I775" s="28">
        <v>52.000050000000002</v>
      </c>
      <c r="J775" s="29"/>
      <c r="K775" s="29"/>
      <c r="L775" s="29"/>
      <c r="M775" s="29"/>
      <c r="N775" s="29"/>
      <c r="P775" s="4">
        <f t="shared" si="50"/>
        <v>-1.4007766793367914E-2</v>
      </c>
      <c r="Q775" s="4">
        <f t="shared" si="50"/>
        <v>1.2229918752948419E-3</v>
      </c>
      <c r="R775" s="4">
        <f t="shared" si="50"/>
        <v>-8.8059274841124045E-3</v>
      </c>
      <c r="S775" s="4">
        <f t="shared" si="50"/>
        <v>-1.5436210456832704E-2</v>
      </c>
      <c r="T775" s="4">
        <f t="shared" si="50"/>
        <v>-1.4315111186170827E-2</v>
      </c>
      <c r="U775" s="35"/>
      <c r="V775" s="35"/>
      <c r="W775" s="35"/>
      <c r="X775" s="35"/>
    </row>
    <row r="776" spans="4:24" x14ac:dyDescent="0.3">
      <c r="D776" s="23">
        <v>40707</v>
      </c>
      <c r="E776" s="5">
        <v>100.228584</v>
      </c>
      <c r="F776" s="28">
        <v>57.501730000000002</v>
      </c>
      <c r="G776" s="28">
        <v>147.77000000000001</v>
      </c>
      <c r="H776" s="28">
        <v>48.459870000000002</v>
      </c>
      <c r="I776" s="28">
        <v>51.992150000000002</v>
      </c>
      <c r="J776" s="29"/>
      <c r="K776" s="29"/>
      <c r="L776" s="29"/>
      <c r="M776" s="29"/>
      <c r="N776" s="29"/>
      <c r="P776" s="4">
        <f t="shared" si="50"/>
        <v>7.8327693657390498E-4</v>
      </c>
      <c r="Q776" s="4">
        <f t="shared" si="50"/>
        <v>-9.789694452397163E-4</v>
      </c>
      <c r="R776" s="4">
        <f t="shared" si="50"/>
        <v>-9.8987374374145485E-3</v>
      </c>
      <c r="S776" s="4">
        <f t="shared" si="50"/>
        <v>0</v>
      </c>
      <c r="T776" s="4">
        <f t="shared" si="50"/>
        <v>-1.5193447230073205E-4</v>
      </c>
      <c r="U776" s="35"/>
      <c r="V776" s="35"/>
      <c r="W776" s="35"/>
      <c r="X776" s="35"/>
    </row>
    <row r="777" spans="4:24" x14ac:dyDescent="0.3">
      <c r="D777" s="23">
        <v>40708</v>
      </c>
      <c r="E777" s="5">
        <v>101.500069</v>
      </c>
      <c r="F777" s="28">
        <v>57.262509999999999</v>
      </c>
      <c r="G777" s="28">
        <v>148.66999999999999</v>
      </c>
      <c r="H777" s="28">
        <v>49.080680000000001</v>
      </c>
      <c r="I777" s="28">
        <v>52.710329999999999</v>
      </c>
      <c r="J777" s="29"/>
      <c r="K777" s="29"/>
      <c r="L777" s="29"/>
      <c r="M777" s="29"/>
      <c r="N777" s="29"/>
      <c r="P777" s="4">
        <f t="shared" si="50"/>
        <v>1.2606060854320485E-2</v>
      </c>
      <c r="Q777" s="4">
        <f t="shared" si="50"/>
        <v>-4.1689004600186028E-3</v>
      </c>
      <c r="R777" s="4">
        <f t="shared" si="50"/>
        <v>6.0720737097166352E-3</v>
      </c>
      <c r="S777" s="4">
        <f t="shared" si="50"/>
        <v>1.2729441917521211E-2</v>
      </c>
      <c r="T777" s="4">
        <f t="shared" si="50"/>
        <v>1.3718705871990993E-2</v>
      </c>
      <c r="U777" s="35"/>
      <c r="V777" s="35"/>
      <c r="W777" s="35"/>
      <c r="X777" s="35"/>
    </row>
    <row r="778" spans="4:24" x14ac:dyDescent="0.3">
      <c r="D778" s="23">
        <v>40709</v>
      </c>
      <c r="E778" s="5">
        <v>99.694884999999999</v>
      </c>
      <c r="F778" s="28">
        <v>57.494729999999997</v>
      </c>
      <c r="G778" s="28">
        <v>149.12</v>
      </c>
      <c r="H778" s="28">
        <v>48.149439999999998</v>
      </c>
      <c r="I778" s="28">
        <v>51.771180000000001</v>
      </c>
      <c r="J778" s="29"/>
      <c r="K778" s="29"/>
      <c r="L778" s="29"/>
      <c r="M778" s="29"/>
      <c r="N778" s="29"/>
      <c r="P778" s="4">
        <f t="shared" si="50"/>
        <v>-1.7945106544599868E-2</v>
      </c>
      <c r="Q778" s="4">
        <f t="shared" si="50"/>
        <v>4.0471575818699966E-3</v>
      </c>
      <c r="R778" s="4">
        <f t="shared" si="50"/>
        <v>3.0222663120217804E-3</v>
      </c>
      <c r="S778" s="4">
        <f t="shared" si="50"/>
        <v>-1.9155966822866233E-2</v>
      </c>
      <c r="T778" s="4">
        <f t="shared" si="50"/>
        <v>-1.7977827741635578E-2</v>
      </c>
      <c r="U778" s="35"/>
      <c r="V778" s="35"/>
      <c r="W778" s="35"/>
      <c r="X778" s="35"/>
    </row>
    <row r="779" spans="4:24" x14ac:dyDescent="0.3">
      <c r="D779" s="23">
        <v>40710</v>
      </c>
      <c r="E779" s="5">
        <v>99.914642000000001</v>
      </c>
      <c r="F779" s="28">
        <v>57.529910000000001</v>
      </c>
      <c r="G779" s="28">
        <v>148.97</v>
      </c>
      <c r="H779" s="28">
        <v>47.963200000000001</v>
      </c>
      <c r="I779" s="28">
        <v>51.857990000000001</v>
      </c>
      <c r="J779" s="29"/>
      <c r="K779" s="29"/>
      <c r="L779" s="29"/>
      <c r="M779" s="29"/>
      <c r="N779" s="29"/>
      <c r="P779" s="4">
        <f t="shared" si="50"/>
        <v>2.2018697412778294E-3</v>
      </c>
      <c r="Q779" s="4">
        <f t="shared" si="50"/>
        <v>6.1169504372186087E-4</v>
      </c>
      <c r="R779" s="4">
        <f t="shared" si="50"/>
        <v>-1.00640754577956E-3</v>
      </c>
      <c r="S779" s="4">
        <f t="shared" si="50"/>
        <v>-3.8754576525520373E-3</v>
      </c>
      <c r="T779" s="4">
        <f t="shared" si="50"/>
        <v>1.6753973867781042E-3</v>
      </c>
      <c r="U779" s="35"/>
      <c r="V779" s="35"/>
      <c r="W779" s="35"/>
      <c r="X779" s="35"/>
    </row>
    <row r="780" spans="4:24" x14ac:dyDescent="0.3">
      <c r="D780" s="23">
        <v>40711</v>
      </c>
      <c r="E780" s="5">
        <v>100.21283</v>
      </c>
      <c r="F780" s="28">
        <v>57.586210000000001</v>
      </c>
      <c r="G780" s="28">
        <v>149.94</v>
      </c>
      <c r="H780" s="28">
        <v>47.81297</v>
      </c>
      <c r="I780" s="28">
        <v>52.023739999999997</v>
      </c>
      <c r="J780" s="29"/>
      <c r="K780" s="29"/>
      <c r="L780" s="29"/>
      <c r="M780" s="29"/>
      <c r="N780" s="29"/>
      <c r="P780" s="4">
        <f t="shared" si="50"/>
        <v>2.9799828847735382E-3</v>
      </c>
      <c r="Q780" s="4">
        <f t="shared" si="50"/>
        <v>9.7814284374456422E-4</v>
      </c>
      <c r="R780" s="4">
        <f t="shared" si="50"/>
        <v>6.4902706834143566E-3</v>
      </c>
      <c r="S780" s="4">
        <f t="shared" si="50"/>
        <v>-3.1371085982398357E-3</v>
      </c>
      <c r="T780" s="4">
        <f t="shared" si="50"/>
        <v>3.1911316967305381E-3</v>
      </c>
      <c r="U780" s="35"/>
      <c r="V780" s="35"/>
      <c r="W780" s="35"/>
      <c r="X780" s="35"/>
    </row>
    <row r="781" spans="4:24" x14ac:dyDescent="0.3">
      <c r="D781" s="23">
        <v>40714</v>
      </c>
      <c r="E781" s="5">
        <v>100.725487</v>
      </c>
      <c r="F781" s="28">
        <v>57.515799999999999</v>
      </c>
      <c r="G781" s="28">
        <v>150.03</v>
      </c>
      <c r="H781" s="28">
        <v>48.061860000000003</v>
      </c>
      <c r="I781" s="28">
        <v>52.268369999999997</v>
      </c>
      <c r="J781" s="29"/>
      <c r="K781" s="29"/>
      <c r="L781" s="29"/>
      <c r="M781" s="29"/>
      <c r="N781" s="29"/>
      <c r="P781" s="4">
        <f t="shared" si="50"/>
        <v>5.1026416463415773E-3</v>
      </c>
      <c r="Q781" s="4">
        <f t="shared" si="50"/>
        <v>-1.2234366503670983E-3</v>
      </c>
      <c r="R781" s="4">
        <f t="shared" si="50"/>
        <v>6.0006002400612676E-4</v>
      </c>
      <c r="S781" s="4">
        <f t="shared" si="50"/>
        <v>5.1919895786064181E-3</v>
      </c>
      <c r="T781" s="4">
        <f t="shared" si="50"/>
        <v>4.6912551419029608E-3</v>
      </c>
      <c r="U781" s="35"/>
      <c r="V781" s="35"/>
      <c r="W781" s="35"/>
      <c r="X781" s="35"/>
    </row>
    <row r="782" spans="4:24" x14ac:dyDescent="0.3">
      <c r="D782" s="23">
        <v>40715</v>
      </c>
      <c r="E782" s="5">
        <v>102.10584299999999</v>
      </c>
      <c r="F782" s="28">
        <v>57.529910000000001</v>
      </c>
      <c r="G782" s="28">
        <v>150.76</v>
      </c>
      <c r="H782" s="28">
        <v>49.092959999999998</v>
      </c>
      <c r="I782" s="28">
        <v>53.065449999999998</v>
      </c>
      <c r="J782" s="29"/>
      <c r="K782" s="29"/>
      <c r="L782" s="29"/>
      <c r="M782" s="29"/>
      <c r="N782" s="29"/>
      <c r="P782" s="4">
        <f t="shared" si="50"/>
        <v>1.3611085728428366E-2</v>
      </c>
      <c r="Q782" s="4">
        <f t="shared" si="50"/>
        <v>2.4529380662264514E-4</v>
      </c>
      <c r="R782" s="4">
        <f t="shared" si="50"/>
        <v>4.853894300012547E-3</v>
      </c>
      <c r="S782" s="4">
        <f t="shared" si="50"/>
        <v>2.1226712482654547E-2</v>
      </c>
      <c r="T782" s="4">
        <f t="shared" si="50"/>
        <v>1.5134649340770863E-2</v>
      </c>
      <c r="U782" s="35"/>
      <c r="V782" s="35"/>
      <c r="W782" s="35"/>
      <c r="X782" s="35"/>
    </row>
    <row r="783" spans="4:24" x14ac:dyDescent="0.3">
      <c r="D783" s="23">
        <v>40716</v>
      </c>
      <c r="E783" s="5">
        <v>101.490593</v>
      </c>
      <c r="F783" s="28">
        <v>57.543970000000002</v>
      </c>
      <c r="G783" s="28">
        <v>150.99</v>
      </c>
      <c r="H783" s="28">
        <v>48.737409999999997</v>
      </c>
      <c r="I783" s="28">
        <v>52.77346</v>
      </c>
      <c r="J783" s="29"/>
      <c r="K783" s="29"/>
      <c r="L783" s="29"/>
      <c r="M783" s="29"/>
      <c r="N783" s="29"/>
      <c r="P783" s="4">
        <f t="shared" si="50"/>
        <v>-6.0438373569399219E-3</v>
      </c>
      <c r="Q783" s="4">
        <f t="shared" si="50"/>
        <v>2.4436475193085309E-4</v>
      </c>
      <c r="R783" s="4">
        <f t="shared" si="50"/>
        <v>1.5244410574438338E-3</v>
      </c>
      <c r="S783" s="4">
        <f t="shared" si="50"/>
        <v>-7.2687359853899677E-3</v>
      </c>
      <c r="T783" s="4">
        <f t="shared" si="50"/>
        <v>-5.5176445182213334E-3</v>
      </c>
      <c r="U783" s="35"/>
      <c r="V783" s="35"/>
      <c r="W783" s="35"/>
      <c r="X783" s="35"/>
    </row>
    <row r="784" spans="4:24" x14ac:dyDescent="0.3">
      <c r="D784" s="23">
        <v>40717</v>
      </c>
      <c r="E784" s="5">
        <v>101.198746</v>
      </c>
      <c r="F784" s="28">
        <v>57.684719999999999</v>
      </c>
      <c r="G784" s="28">
        <v>148.34</v>
      </c>
      <c r="H784" s="28">
        <v>49.190739999999998</v>
      </c>
      <c r="I784" s="28">
        <v>52.68665</v>
      </c>
      <c r="J784" s="29"/>
      <c r="K784" s="29"/>
      <c r="L784" s="29"/>
      <c r="M784" s="29"/>
      <c r="N784" s="29"/>
      <c r="P784" s="4">
        <f t="shared" si="50"/>
        <v>-2.8797489116035445E-3</v>
      </c>
      <c r="Q784" s="4">
        <f t="shared" si="50"/>
        <v>2.4429691945784993E-3</v>
      </c>
      <c r="R784" s="4">
        <f t="shared" si="50"/>
        <v>-1.7706673147966371E-2</v>
      </c>
      <c r="S784" s="4">
        <f t="shared" si="50"/>
        <v>9.2584867224935179E-3</v>
      </c>
      <c r="T784" s="4">
        <f t="shared" si="50"/>
        <v>-1.646310052341674E-3</v>
      </c>
      <c r="U784" s="35"/>
      <c r="V784" s="35"/>
      <c r="W784" s="35"/>
      <c r="X784" s="35"/>
    </row>
    <row r="785" spans="4:24" x14ac:dyDescent="0.3">
      <c r="D785" s="23">
        <v>40718</v>
      </c>
      <c r="E785" s="5">
        <v>100.02351400000001</v>
      </c>
      <c r="F785" s="28">
        <v>57.741030000000002</v>
      </c>
      <c r="G785" s="28">
        <v>146.26</v>
      </c>
      <c r="H785" s="28">
        <v>48.337420000000002</v>
      </c>
      <c r="I785" s="28">
        <v>52.086689999999997</v>
      </c>
      <c r="J785" s="29"/>
      <c r="K785" s="29"/>
      <c r="L785" s="29"/>
      <c r="M785" s="29"/>
      <c r="N785" s="29"/>
      <c r="P785" s="4">
        <f t="shared" si="50"/>
        <v>-1.1681067125229899E-2</v>
      </c>
      <c r="Q785" s="4">
        <f t="shared" si="50"/>
        <v>9.7569224314590153E-4</v>
      </c>
      <c r="R785" s="4">
        <f t="shared" si="50"/>
        <v>-1.4121076465607001E-2</v>
      </c>
      <c r="S785" s="4">
        <f t="shared" si="50"/>
        <v>-1.7499392499856551E-2</v>
      </c>
      <c r="T785" s="4">
        <f t="shared" si="50"/>
        <v>-1.1452656901382792E-2</v>
      </c>
      <c r="U785" s="35"/>
      <c r="V785" s="35"/>
      <c r="W785" s="35"/>
      <c r="X785" s="35"/>
    </row>
    <row r="786" spans="4:24" x14ac:dyDescent="0.3">
      <c r="D786" s="23">
        <v>40721</v>
      </c>
      <c r="E786" s="5">
        <v>100.914856</v>
      </c>
      <c r="F786" s="28">
        <v>57.572150000000001</v>
      </c>
      <c r="G786" s="28">
        <v>145.72999999999999</v>
      </c>
      <c r="H786" s="28">
        <v>49.110729999999997</v>
      </c>
      <c r="I786" s="28">
        <v>52.530520000000003</v>
      </c>
      <c r="J786" s="29"/>
      <c r="K786" s="29"/>
      <c r="L786" s="29"/>
      <c r="M786" s="29"/>
      <c r="N786" s="29"/>
      <c r="P786" s="4">
        <f t="shared" si="50"/>
        <v>8.8718530605825172E-3</v>
      </c>
      <c r="Q786" s="4">
        <f t="shared" si="50"/>
        <v>-2.9290688322247348E-3</v>
      </c>
      <c r="R786" s="4">
        <f t="shared" si="50"/>
        <v>-3.6302652971998846E-3</v>
      </c>
      <c r="S786" s="4">
        <f t="shared" si="50"/>
        <v>1.5871542628065814E-2</v>
      </c>
      <c r="T786" s="4">
        <f t="shared" si="50"/>
        <v>8.4848881504295467E-3</v>
      </c>
      <c r="U786" s="35"/>
      <c r="V786" s="35"/>
      <c r="W786" s="35"/>
      <c r="X786" s="35"/>
    </row>
    <row r="787" spans="4:24" x14ac:dyDescent="0.3">
      <c r="D787" s="23">
        <v>40722</v>
      </c>
      <c r="E787" s="5">
        <v>102.232063</v>
      </c>
      <c r="F787" s="28">
        <v>57.36101</v>
      </c>
      <c r="G787" s="28">
        <v>146.24</v>
      </c>
      <c r="H787" s="28">
        <v>49.839619999999996</v>
      </c>
      <c r="I787" s="28">
        <v>53.259659999999997</v>
      </c>
      <c r="J787" s="29"/>
      <c r="K787" s="29"/>
      <c r="L787" s="29"/>
      <c r="M787" s="29"/>
      <c r="N787" s="29"/>
      <c r="P787" s="4">
        <f t="shared" si="50"/>
        <v>1.2968205144017744E-2</v>
      </c>
      <c r="Q787" s="4">
        <f t="shared" si="50"/>
        <v>-3.6741396046217657E-3</v>
      </c>
      <c r="R787" s="4">
        <f t="shared" si="50"/>
        <v>3.4935131602346907E-3</v>
      </c>
      <c r="S787" s="4">
        <f t="shared" si="50"/>
        <v>1.4732705521685135E-2</v>
      </c>
      <c r="T787" s="4">
        <f t="shared" si="50"/>
        <v>1.3784862565567883E-2</v>
      </c>
      <c r="U787" s="35"/>
      <c r="V787" s="35"/>
      <c r="W787" s="35"/>
      <c r="X787" s="35"/>
    </row>
    <row r="788" spans="4:24" x14ac:dyDescent="0.3">
      <c r="D788" s="23">
        <v>40723</v>
      </c>
      <c r="E788" s="5">
        <v>103.10759</v>
      </c>
      <c r="F788" s="28">
        <v>57.234340000000003</v>
      </c>
      <c r="G788" s="28">
        <v>147.18</v>
      </c>
      <c r="H788" s="28">
        <v>50.044069999999998</v>
      </c>
      <c r="I788" s="28">
        <v>53.72728</v>
      </c>
      <c r="J788" s="29"/>
      <c r="K788" s="29"/>
      <c r="L788" s="29"/>
      <c r="M788" s="29"/>
      <c r="N788" s="29"/>
      <c r="P788" s="4">
        <f t="shared" si="50"/>
        <v>8.5276496083893285E-3</v>
      </c>
      <c r="Q788" s="4">
        <f t="shared" si="50"/>
        <v>-2.2107363272611336E-3</v>
      </c>
      <c r="R788" s="4">
        <f t="shared" si="50"/>
        <v>6.4072197926131266E-3</v>
      </c>
      <c r="S788" s="4">
        <f t="shared" si="50"/>
        <v>4.0937671712004972E-3</v>
      </c>
      <c r="T788" s="4">
        <f t="shared" si="50"/>
        <v>8.7416833837933375E-3</v>
      </c>
      <c r="U788" s="35"/>
      <c r="V788" s="35"/>
      <c r="W788" s="35"/>
      <c r="X788" s="35"/>
    </row>
    <row r="789" spans="4:24" x14ac:dyDescent="0.3">
      <c r="D789" s="23">
        <v>40724</v>
      </c>
      <c r="E789" s="5">
        <v>104.093529</v>
      </c>
      <c r="F789" s="28">
        <v>57.114730000000002</v>
      </c>
      <c r="G789" s="28">
        <v>146</v>
      </c>
      <c r="H789" s="28">
        <v>50.710720000000002</v>
      </c>
      <c r="I789" s="28">
        <v>54.210740000000001</v>
      </c>
      <c r="J789" s="29"/>
      <c r="K789" s="29"/>
      <c r="L789" s="29"/>
      <c r="M789" s="29"/>
      <c r="N789" s="29"/>
      <c r="P789" s="4">
        <f t="shared" ref="P789:T804" si="51">LN(E789/E788)</f>
        <v>9.5168061455348039E-3</v>
      </c>
      <c r="Q789" s="4">
        <f t="shared" si="51"/>
        <v>-2.092016028168389E-3</v>
      </c>
      <c r="R789" s="4">
        <f t="shared" si="51"/>
        <v>-8.0497057901165025E-3</v>
      </c>
      <c r="S789" s="4">
        <f t="shared" si="51"/>
        <v>1.3233310865835221E-2</v>
      </c>
      <c r="T789" s="4">
        <f t="shared" si="51"/>
        <v>8.95816382553641E-3</v>
      </c>
      <c r="U789" s="35"/>
      <c r="V789" s="35"/>
      <c r="W789" s="35"/>
      <c r="X789" s="35"/>
    </row>
    <row r="790" spans="4:24" x14ac:dyDescent="0.3">
      <c r="D790" s="23">
        <v>40725</v>
      </c>
      <c r="E790" s="5">
        <v>105.631653</v>
      </c>
      <c r="F790" s="28">
        <v>57.140839999999997</v>
      </c>
      <c r="G790" s="28">
        <v>144.93</v>
      </c>
      <c r="H790" s="28">
        <v>51.475169999999999</v>
      </c>
      <c r="I790" s="28">
        <v>54.987450000000003</v>
      </c>
      <c r="J790" s="29"/>
      <c r="K790" s="29"/>
      <c r="L790" s="29"/>
      <c r="M790" s="29"/>
      <c r="N790" s="29"/>
      <c r="P790" s="4">
        <f t="shared" si="51"/>
        <v>1.4668258370450677E-2</v>
      </c>
      <c r="Q790" s="4">
        <f t="shared" si="51"/>
        <v>4.5704555943332096E-4</v>
      </c>
      <c r="R790" s="4">
        <f t="shared" si="51"/>
        <v>-7.3557544739114473E-3</v>
      </c>
      <c r="S790" s="4">
        <f t="shared" si="51"/>
        <v>1.4962227393371127E-2</v>
      </c>
      <c r="T790" s="4">
        <f t="shared" si="51"/>
        <v>1.4225933579811877E-2</v>
      </c>
      <c r="U790" s="35"/>
      <c r="V790" s="35"/>
      <c r="W790" s="35"/>
      <c r="X790" s="35"/>
    </row>
    <row r="791" spans="4:24" x14ac:dyDescent="0.3">
      <c r="D791" s="23">
        <v>40729</v>
      </c>
      <c r="E791" s="5">
        <v>105.544853</v>
      </c>
      <c r="F791" s="28">
        <v>57.33135</v>
      </c>
      <c r="G791" s="28">
        <v>147.63</v>
      </c>
      <c r="H791" s="28">
        <v>51.732939999999999</v>
      </c>
      <c r="I791" s="28">
        <v>54.979509999999998</v>
      </c>
      <c r="J791" s="29"/>
      <c r="K791" s="29"/>
      <c r="L791" s="29"/>
      <c r="M791" s="29"/>
      <c r="N791" s="29"/>
      <c r="P791" s="4">
        <f t="shared" si="51"/>
        <v>-8.2206118978189193E-4</v>
      </c>
      <c r="Q791" s="4">
        <f t="shared" si="51"/>
        <v>3.328497094126079E-3</v>
      </c>
      <c r="R791" s="4">
        <f t="shared" si="51"/>
        <v>1.8458276311571403E-2</v>
      </c>
      <c r="S791" s="4">
        <f t="shared" si="51"/>
        <v>4.9951604768567887E-3</v>
      </c>
      <c r="T791" s="4">
        <f t="shared" si="51"/>
        <v>-1.4440701122963226E-4</v>
      </c>
      <c r="U791" s="35"/>
      <c r="V791" s="35"/>
      <c r="W791" s="35"/>
      <c r="X791" s="35"/>
    </row>
    <row r="792" spans="4:24" x14ac:dyDescent="0.3">
      <c r="D792" s="23">
        <v>40730</v>
      </c>
      <c r="E792" s="5">
        <v>105.671059</v>
      </c>
      <c r="F792" s="28">
        <v>57.366630000000001</v>
      </c>
      <c r="G792" s="28">
        <v>148.91</v>
      </c>
      <c r="H792" s="28">
        <v>51.901829999999997</v>
      </c>
      <c r="I792" s="28">
        <v>55.090449999999997</v>
      </c>
      <c r="J792" s="29"/>
      <c r="K792" s="29"/>
      <c r="L792" s="29"/>
      <c r="M792" s="29"/>
      <c r="N792" s="29"/>
      <c r="P792" s="4">
        <f t="shared" si="51"/>
        <v>1.1950426823889139E-3</v>
      </c>
      <c r="Q792" s="4">
        <f t="shared" si="51"/>
        <v>6.1518086216740377E-4</v>
      </c>
      <c r="R792" s="4">
        <f t="shared" si="51"/>
        <v>8.6329530561171409E-3</v>
      </c>
      <c r="S792" s="4">
        <f t="shared" si="51"/>
        <v>3.2593337065051132E-3</v>
      </c>
      <c r="T792" s="4">
        <f t="shared" si="51"/>
        <v>2.0158095372605277E-3</v>
      </c>
      <c r="U792" s="35"/>
      <c r="V792" s="35"/>
      <c r="W792" s="35"/>
      <c r="X792" s="35"/>
    </row>
    <row r="793" spans="4:24" x14ac:dyDescent="0.3">
      <c r="D793" s="23">
        <v>40731</v>
      </c>
      <c r="E793" s="5">
        <v>106.767433</v>
      </c>
      <c r="F793" s="28">
        <v>57.24662</v>
      </c>
      <c r="G793" s="28">
        <v>149.15</v>
      </c>
      <c r="H793" s="28">
        <v>52.612949999999998</v>
      </c>
      <c r="I793" s="28">
        <v>55.684899999999999</v>
      </c>
      <c r="J793" s="29"/>
      <c r="K793" s="29"/>
      <c r="L793" s="29"/>
      <c r="M793" s="29"/>
      <c r="N793" s="29"/>
      <c r="P793" s="4">
        <f t="shared" si="51"/>
        <v>1.0321893398603794E-2</v>
      </c>
      <c r="Q793" s="4">
        <f t="shared" si="51"/>
        <v>-2.0941739957518416E-3</v>
      </c>
      <c r="R793" s="4">
        <f t="shared" si="51"/>
        <v>1.6104143586438211E-3</v>
      </c>
      <c r="S793" s="4">
        <f t="shared" si="51"/>
        <v>1.3608237494783727E-2</v>
      </c>
      <c r="T793" s="4">
        <f t="shared" si="51"/>
        <v>1.0732635124813658E-2</v>
      </c>
      <c r="U793" s="35"/>
      <c r="V793" s="35"/>
      <c r="W793" s="35"/>
      <c r="X793" s="35"/>
    </row>
    <row r="794" spans="4:24" x14ac:dyDescent="0.3">
      <c r="D794" s="23">
        <v>40732</v>
      </c>
      <c r="E794" s="5">
        <v>106.010254</v>
      </c>
      <c r="F794" s="28">
        <v>57.543010000000002</v>
      </c>
      <c r="G794" s="28">
        <v>150.25</v>
      </c>
      <c r="H794" s="28">
        <v>52.47072</v>
      </c>
      <c r="I794" s="28">
        <v>55.288620000000002</v>
      </c>
      <c r="J794" s="29"/>
      <c r="K794" s="29"/>
      <c r="L794" s="29"/>
      <c r="M794" s="29"/>
      <c r="N794" s="29"/>
      <c r="P794" s="4">
        <f t="shared" si="51"/>
        <v>-7.1171202846872046E-3</v>
      </c>
      <c r="Q794" s="4">
        <f t="shared" si="51"/>
        <v>5.1640668005788343E-3</v>
      </c>
      <c r="R794" s="4">
        <f t="shared" si="51"/>
        <v>7.3480624545593188E-3</v>
      </c>
      <c r="S794" s="4">
        <f t="shared" si="51"/>
        <v>-2.7069874292077584E-3</v>
      </c>
      <c r="T794" s="4">
        <f t="shared" si="51"/>
        <v>-7.1419142948288463E-3</v>
      </c>
      <c r="U794" s="35"/>
      <c r="V794" s="35"/>
      <c r="W794" s="35"/>
      <c r="X794" s="35"/>
    </row>
    <row r="795" spans="4:24" x14ac:dyDescent="0.3">
      <c r="D795" s="23">
        <v>40735</v>
      </c>
      <c r="E795" s="5">
        <v>104.093529</v>
      </c>
      <c r="F795" s="28">
        <v>57.712359999999997</v>
      </c>
      <c r="G795" s="28">
        <v>151.59</v>
      </c>
      <c r="H795" s="28">
        <v>51.519620000000003</v>
      </c>
      <c r="I795" s="28">
        <v>54.266210000000001</v>
      </c>
      <c r="J795" s="29"/>
      <c r="K795" s="29"/>
      <c r="L795" s="29"/>
      <c r="M795" s="29"/>
      <c r="N795" s="29"/>
      <c r="P795" s="4">
        <f t="shared" si="51"/>
        <v>-1.8246012976974143E-2</v>
      </c>
      <c r="Q795" s="4">
        <f t="shared" si="51"/>
        <v>2.9386938218048469E-3</v>
      </c>
      <c r="R795" s="4">
        <f t="shared" si="51"/>
        <v>8.878934556609909E-3</v>
      </c>
      <c r="S795" s="4">
        <f t="shared" si="51"/>
        <v>-1.8292593738902976E-2</v>
      </c>
      <c r="T795" s="4">
        <f t="shared" si="51"/>
        <v>-1.8665351101366058E-2</v>
      </c>
      <c r="U795" s="35"/>
      <c r="V795" s="35"/>
      <c r="W795" s="35"/>
      <c r="X795" s="35"/>
    </row>
    <row r="796" spans="4:24" x14ac:dyDescent="0.3">
      <c r="D796" s="23">
        <v>40736</v>
      </c>
      <c r="E796" s="5">
        <v>103.643944</v>
      </c>
      <c r="F796" s="28">
        <v>57.76878</v>
      </c>
      <c r="G796" s="28">
        <v>152.77000000000001</v>
      </c>
      <c r="H796" s="28">
        <v>51.128489999999999</v>
      </c>
      <c r="I796" s="28">
        <v>54.028449999999999</v>
      </c>
      <c r="J796" s="29"/>
      <c r="K796" s="29"/>
      <c r="L796" s="29"/>
      <c r="M796" s="29"/>
      <c r="N796" s="29"/>
      <c r="P796" s="4">
        <f t="shared" si="51"/>
        <v>-4.3284025306009229E-3</v>
      </c>
      <c r="Q796" s="4">
        <f t="shared" si="51"/>
        <v>9.7712933019305451E-4</v>
      </c>
      <c r="R796" s="4">
        <f t="shared" si="51"/>
        <v>7.7540144057046392E-3</v>
      </c>
      <c r="S796" s="4">
        <f t="shared" si="51"/>
        <v>-7.6208299007388645E-3</v>
      </c>
      <c r="T796" s="4">
        <f t="shared" si="51"/>
        <v>-4.3909899530901004E-3</v>
      </c>
      <c r="U796" s="35"/>
      <c r="V796" s="35"/>
      <c r="W796" s="35"/>
      <c r="X796" s="35"/>
    </row>
    <row r="797" spans="4:24" x14ac:dyDescent="0.3">
      <c r="D797" s="23">
        <v>40737</v>
      </c>
      <c r="E797" s="5">
        <v>103.991005</v>
      </c>
      <c r="F797" s="28">
        <v>57.846380000000003</v>
      </c>
      <c r="G797" s="28">
        <v>154.13999999999999</v>
      </c>
      <c r="H797" s="28">
        <v>51.341830000000002</v>
      </c>
      <c r="I797" s="28">
        <v>54.234499999999997</v>
      </c>
      <c r="J797" s="29"/>
      <c r="K797" s="29"/>
      <c r="L797" s="29"/>
      <c r="M797" s="29"/>
      <c r="N797" s="29"/>
      <c r="P797" s="4">
        <f t="shared" si="51"/>
        <v>3.3429952413100853E-3</v>
      </c>
      <c r="Q797" s="4">
        <f t="shared" si="51"/>
        <v>1.3423847124012422E-3</v>
      </c>
      <c r="R797" s="4">
        <f t="shared" si="51"/>
        <v>8.9277579722157174E-3</v>
      </c>
      <c r="S797" s="4">
        <f t="shared" si="51"/>
        <v>4.1639434374403459E-3</v>
      </c>
      <c r="T797" s="4">
        <f t="shared" si="51"/>
        <v>3.8064776323352145E-3</v>
      </c>
      <c r="U797" s="35"/>
      <c r="V797" s="35"/>
      <c r="W797" s="35"/>
      <c r="X797" s="35"/>
    </row>
    <row r="798" spans="4:24" x14ac:dyDescent="0.3">
      <c r="D798" s="23">
        <v>40738</v>
      </c>
      <c r="E798" s="5">
        <v>103.273201</v>
      </c>
      <c r="F798" s="28">
        <v>57.627670000000002</v>
      </c>
      <c r="G798" s="28">
        <v>154.54</v>
      </c>
      <c r="H798" s="28">
        <v>50.746279999999999</v>
      </c>
      <c r="I798" s="28">
        <v>53.774819999999998</v>
      </c>
      <c r="J798" s="29"/>
      <c r="K798" s="29"/>
      <c r="L798" s="29"/>
      <c r="M798" s="29"/>
      <c r="N798" s="29"/>
      <c r="P798" s="4">
        <f t="shared" si="51"/>
        <v>-6.9264913961558129E-3</v>
      </c>
      <c r="Q798" s="4">
        <f t="shared" si="51"/>
        <v>-3.7880417553063702E-3</v>
      </c>
      <c r="R798" s="4">
        <f t="shared" si="51"/>
        <v>2.5916821555906802E-3</v>
      </c>
      <c r="S798" s="4">
        <f t="shared" si="51"/>
        <v>-1.1667504786527633E-2</v>
      </c>
      <c r="T798" s="4">
        <f t="shared" si="51"/>
        <v>-8.5119094428950295E-3</v>
      </c>
      <c r="U798" s="35"/>
      <c r="V798" s="35"/>
      <c r="W798" s="35"/>
      <c r="X798" s="35"/>
    </row>
    <row r="799" spans="4:24" x14ac:dyDescent="0.3">
      <c r="D799" s="23">
        <v>40739</v>
      </c>
      <c r="E799" s="5">
        <v>103.872704</v>
      </c>
      <c r="F799" s="28">
        <v>57.733550000000001</v>
      </c>
      <c r="G799" s="28">
        <v>155.19999999999999</v>
      </c>
      <c r="H799" s="28">
        <v>51.42183</v>
      </c>
      <c r="I799" s="28">
        <v>54.115630000000003</v>
      </c>
      <c r="J799" s="29"/>
      <c r="K799" s="29"/>
      <c r="L799" s="29"/>
      <c r="M799" s="29"/>
      <c r="N799" s="29"/>
      <c r="P799" s="4">
        <f t="shared" si="51"/>
        <v>5.7882358214625578E-3</v>
      </c>
      <c r="Q799" s="4">
        <f t="shared" si="51"/>
        <v>1.8356260401965175E-3</v>
      </c>
      <c r="R799" s="4">
        <f t="shared" si="51"/>
        <v>4.2616452436804921E-3</v>
      </c>
      <c r="S799" s="4">
        <f t="shared" si="51"/>
        <v>1.3224475726664535E-2</v>
      </c>
      <c r="T799" s="4">
        <f t="shared" si="51"/>
        <v>6.3177256852740664E-3</v>
      </c>
      <c r="U799" s="35"/>
      <c r="V799" s="35"/>
      <c r="W799" s="35"/>
      <c r="X799" s="35"/>
    </row>
    <row r="800" spans="4:24" x14ac:dyDescent="0.3">
      <c r="D800" s="23">
        <v>40742</v>
      </c>
      <c r="E800" s="5">
        <v>103.020813</v>
      </c>
      <c r="F800" s="28">
        <v>57.655880000000003</v>
      </c>
      <c r="G800" s="28">
        <v>156.57</v>
      </c>
      <c r="H800" s="28">
        <v>51.14629</v>
      </c>
      <c r="I800" s="28">
        <v>53.616309999999999</v>
      </c>
      <c r="J800" s="29"/>
      <c r="K800" s="29"/>
      <c r="L800" s="29"/>
      <c r="M800" s="29"/>
      <c r="N800" s="29"/>
      <c r="P800" s="4">
        <f t="shared" si="51"/>
        <v>-8.2351136637349061E-3</v>
      </c>
      <c r="Q800" s="4">
        <f t="shared" si="51"/>
        <v>-1.3462240298827105E-3</v>
      </c>
      <c r="R800" s="4">
        <f t="shared" si="51"/>
        <v>8.7885865743132612E-3</v>
      </c>
      <c r="S800" s="4">
        <f t="shared" si="51"/>
        <v>-5.3728324715644725E-3</v>
      </c>
      <c r="T800" s="4">
        <f t="shared" si="51"/>
        <v>-9.2697407187289499E-3</v>
      </c>
      <c r="U800" s="35"/>
      <c r="V800" s="35"/>
      <c r="W800" s="35"/>
      <c r="X800" s="35"/>
    </row>
    <row r="801" spans="4:24" x14ac:dyDescent="0.3">
      <c r="D801" s="23">
        <v>40743</v>
      </c>
      <c r="E801" s="5">
        <v>104.69296300000001</v>
      </c>
      <c r="F801" s="28">
        <v>57.811169999999997</v>
      </c>
      <c r="G801" s="28">
        <v>154.66</v>
      </c>
      <c r="H801" s="28">
        <v>52.310699999999997</v>
      </c>
      <c r="I801" s="28">
        <v>54.519820000000003</v>
      </c>
      <c r="J801" s="29"/>
      <c r="K801" s="29"/>
      <c r="L801" s="29"/>
      <c r="M801" s="29"/>
      <c r="N801" s="29"/>
      <c r="P801" s="4">
        <f t="shared" si="51"/>
        <v>1.6100868760631187E-2</v>
      </c>
      <c r="Q801" s="4">
        <f t="shared" si="51"/>
        <v>2.6897732924737383E-3</v>
      </c>
      <c r="R801" s="4">
        <f t="shared" si="51"/>
        <v>-1.2274035142542192E-2</v>
      </c>
      <c r="S801" s="4">
        <f t="shared" si="51"/>
        <v>2.2510981057780353E-2</v>
      </c>
      <c r="T801" s="4">
        <f t="shared" si="51"/>
        <v>1.6710992447760725E-2</v>
      </c>
      <c r="U801" s="35"/>
      <c r="V801" s="35"/>
      <c r="W801" s="35"/>
      <c r="X801" s="35"/>
    </row>
    <row r="802" spans="4:24" x14ac:dyDescent="0.3">
      <c r="D802" s="23">
        <v>40744</v>
      </c>
      <c r="E802" s="5">
        <v>104.62989</v>
      </c>
      <c r="F802" s="28">
        <v>57.719439999999999</v>
      </c>
      <c r="G802" s="28">
        <v>156.02000000000001</v>
      </c>
      <c r="H802" s="28">
        <v>52.088500000000003</v>
      </c>
      <c r="I802" s="28">
        <v>54.488109999999999</v>
      </c>
      <c r="J802" s="29"/>
      <c r="K802" s="29"/>
      <c r="L802" s="29"/>
      <c r="M802" s="29"/>
      <c r="N802" s="29"/>
      <c r="P802" s="4">
        <f t="shared" si="51"/>
        <v>-6.0263846976007737E-4</v>
      </c>
      <c r="Q802" s="4">
        <f t="shared" si="51"/>
        <v>-1.5879777537067612E-3</v>
      </c>
      <c r="R802" s="4">
        <f t="shared" si="51"/>
        <v>8.7550449792778619E-3</v>
      </c>
      <c r="S802" s="4">
        <f t="shared" si="51"/>
        <v>-4.2567440271473796E-3</v>
      </c>
      <c r="T802" s="4">
        <f t="shared" si="51"/>
        <v>-5.8179255205461635E-4</v>
      </c>
      <c r="U802" s="35"/>
      <c r="V802" s="35"/>
      <c r="W802" s="35"/>
      <c r="X802" s="35"/>
    </row>
    <row r="803" spans="4:24" x14ac:dyDescent="0.3">
      <c r="D803" s="23">
        <v>40745</v>
      </c>
      <c r="E803" s="5">
        <v>106.0812</v>
      </c>
      <c r="F803" s="28">
        <v>57.592440000000003</v>
      </c>
      <c r="G803" s="28">
        <v>154.83000000000001</v>
      </c>
      <c r="H803" s="28">
        <v>52.435160000000003</v>
      </c>
      <c r="I803" s="28">
        <v>55.153869999999998</v>
      </c>
      <c r="J803" s="29"/>
      <c r="K803" s="29"/>
      <c r="L803" s="29"/>
      <c r="M803" s="29"/>
      <c r="N803" s="29"/>
      <c r="P803" s="4">
        <f t="shared" si="51"/>
        <v>1.3775572522073008E-2</v>
      </c>
      <c r="Q803" s="4">
        <f t="shared" si="51"/>
        <v>-2.2027227610926458E-3</v>
      </c>
      <c r="R803" s="4">
        <f t="shared" si="51"/>
        <v>-7.6564633314215981E-3</v>
      </c>
      <c r="S803" s="4">
        <f t="shared" si="51"/>
        <v>6.6331636502741376E-3</v>
      </c>
      <c r="T803" s="4">
        <f t="shared" si="51"/>
        <v>1.2144402764925184E-2</v>
      </c>
      <c r="U803" s="35"/>
      <c r="V803" s="35"/>
      <c r="W803" s="35"/>
      <c r="X803" s="35"/>
    </row>
    <row r="804" spans="4:24" x14ac:dyDescent="0.3">
      <c r="D804" s="23">
        <v>40746</v>
      </c>
      <c r="E804" s="5">
        <v>106.152199</v>
      </c>
      <c r="F804" s="28">
        <v>57.747669999999999</v>
      </c>
      <c r="G804" s="28">
        <v>156.12</v>
      </c>
      <c r="H804" s="28">
        <v>52.977370000000001</v>
      </c>
      <c r="I804" s="28">
        <v>55.24897</v>
      </c>
      <c r="J804" s="29"/>
      <c r="K804" s="29"/>
      <c r="L804" s="29"/>
      <c r="M804" s="29"/>
      <c r="N804" s="29"/>
      <c r="P804" s="4">
        <f t="shared" si="51"/>
        <v>6.6906531189801625E-4</v>
      </c>
      <c r="Q804" s="4">
        <f t="shared" si="51"/>
        <v>2.6916931798113778E-3</v>
      </c>
      <c r="R804" s="4">
        <f t="shared" si="51"/>
        <v>8.2972014836686474E-3</v>
      </c>
      <c r="S804" s="4">
        <f t="shared" si="51"/>
        <v>1.0287482558965676E-2</v>
      </c>
      <c r="T804" s="4">
        <f t="shared" si="51"/>
        <v>1.7227821951179185E-3</v>
      </c>
      <c r="U804" s="35"/>
      <c r="V804" s="35"/>
      <c r="W804" s="35"/>
      <c r="X804" s="35"/>
    </row>
    <row r="805" spans="4:24" x14ac:dyDescent="0.3">
      <c r="D805" s="23">
        <v>40749</v>
      </c>
      <c r="E805" s="5">
        <v>105.560669</v>
      </c>
      <c r="F805" s="28">
        <v>57.557139999999997</v>
      </c>
      <c r="G805" s="28">
        <v>157.34</v>
      </c>
      <c r="H805" s="28">
        <v>52.870710000000003</v>
      </c>
      <c r="I805" s="28">
        <v>54.892330000000001</v>
      </c>
      <c r="J805" s="29"/>
      <c r="K805" s="29"/>
      <c r="L805" s="29"/>
      <c r="M805" s="29"/>
      <c r="N805" s="29"/>
      <c r="P805" s="4">
        <f t="shared" ref="P805:T820" si="52">LN(E805/E804)</f>
        <v>-5.5880546597321772E-3</v>
      </c>
      <c r="Q805" s="4">
        <f t="shared" si="52"/>
        <v>-3.304808765744079E-3</v>
      </c>
      <c r="R805" s="4">
        <f t="shared" si="52"/>
        <v>7.7841265886822875E-3</v>
      </c>
      <c r="S805" s="4">
        <f t="shared" si="52"/>
        <v>-2.0153419145794438E-3</v>
      </c>
      <c r="T805" s="4">
        <f t="shared" si="52"/>
        <v>-6.4760674958364399E-3</v>
      </c>
      <c r="U805" s="35"/>
      <c r="V805" s="35"/>
      <c r="W805" s="35"/>
      <c r="X805" s="35"/>
    </row>
    <row r="806" spans="4:24" x14ac:dyDescent="0.3">
      <c r="D806" s="23">
        <v>40750</v>
      </c>
      <c r="E806" s="5">
        <v>105.166267</v>
      </c>
      <c r="F806" s="28">
        <v>57.698270000000001</v>
      </c>
      <c r="G806" s="28">
        <v>157.77000000000001</v>
      </c>
      <c r="H806" s="28">
        <v>53.004049999999999</v>
      </c>
      <c r="I806" s="28">
        <v>54.662480000000002</v>
      </c>
      <c r="J806" s="29"/>
      <c r="K806" s="29"/>
      <c r="L806" s="29"/>
      <c r="M806" s="29"/>
      <c r="N806" s="29"/>
      <c r="P806" s="4">
        <f t="shared" si="52"/>
        <v>-3.7432562539502614E-3</v>
      </c>
      <c r="Q806" s="4">
        <f t="shared" si="52"/>
        <v>2.4489968937093562E-3</v>
      </c>
      <c r="R806" s="4">
        <f t="shared" si="52"/>
        <v>2.7292073682661498E-3</v>
      </c>
      <c r="S806" s="4">
        <f t="shared" si="52"/>
        <v>2.5188264039098882E-3</v>
      </c>
      <c r="T806" s="4">
        <f t="shared" si="52"/>
        <v>-4.1960793368886144E-3</v>
      </c>
      <c r="U806" s="35"/>
      <c r="V806" s="35"/>
      <c r="W806" s="35"/>
      <c r="X806" s="35"/>
    </row>
    <row r="807" spans="4:24" x14ac:dyDescent="0.3">
      <c r="D807" s="23">
        <v>40751</v>
      </c>
      <c r="E807" s="5">
        <v>103.012939</v>
      </c>
      <c r="F807" s="28">
        <v>57.57826</v>
      </c>
      <c r="G807" s="28">
        <v>157.19</v>
      </c>
      <c r="H807" s="28">
        <v>51.635179999999998</v>
      </c>
      <c r="I807" s="28">
        <v>53.457790000000003</v>
      </c>
      <c r="J807" s="29"/>
      <c r="K807" s="29"/>
      <c r="L807" s="29"/>
      <c r="M807" s="29"/>
      <c r="N807" s="29"/>
      <c r="P807" s="4">
        <f t="shared" si="52"/>
        <v>-2.0687991289822853E-2</v>
      </c>
      <c r="Q807" s="4">
        <f t="shared" si="52"/>
        <v>-2.0821244941365141E-3</v>
      </c>
      <c r="R807" s="4">
        <f t="shared" si="52"/>
        <v>-3.6830115292160594E-3</v>
      </c>
      <c r="S807" s="4">
        <f t="shared" si="52"/>
        <v>-2.6165102602132676E-2</v>
      </c>
      <c r="T807" s="4">
        <f t="shared" si="52"/>
        <v>-2.2285180320263567E-2</v>
      </c>
      <c r="U807" s="35"/>
      <c r="V807" s="35"/>
      <c r="W807" s="35"/>
      <c r="X807" s="35"/>
    </row>
    <row r="808" spans="4:24" x14ac:dyDescent="0.3">
      <c r="D808" s="23">
        <v>40752</v>
      </c>
      <c r="E808" s="5">
        <v>102.713173</v>
      </c>
      <c r="F808" s="28">
        <v>57.747669999999999</v>
      </c>
      <c r="G808" s="28">
        <v>157.32</v>
      </c>
      <c r="H808" s="28">
        <v>51.724049999999998</v>
      </c>
      <c r="I808" s="28">
        <v>53.275500000000001</v>
      </c>
      <c r="J808" s="29"/>
      <c r="K808" s="29"/>
      <c r="L808" s="29"/>
      <c r="M808" s="29"/>
      <c r="N808" s="29"/>
      <c r="P808" s="4">
        <f t="shared" si="52"/>
        <v>-2.9142261936319302E-3</v>
      </c>
      <c r="Q808" s="4">
        <f t="shared" si="52"/>
        <v>2.9379363661712603E-3</v>
      </c>
      <c r="R808" s="4">
        <f t="shared" si="52"/>
        <v>8.2668282346214778E-4</v>
      </c>
      <c r="S808" s="4">
        <f t="shared" si="52"/>
        <v>1.719633977538295E-3</v>
      </c>
      <c r="T808" s="4">
        <f t="shared" si="52"/>
        <v>-3.4158073313894049E-3</v>
      </c>
      <c r="U808" s="35"/>
      <c r="V808" s="35"/>
      <c r="W808" s="35"/>
      <c r="X808" s="35"/>
    </row>
    <row r="809" spans="4:24" x14ac:dyDescent="0.3">
      <c r="D809" s="23">
        <v>40753</v>
      </c>
      <c r="E809" s="5">
        <v>102.011185</v>
      </c>
      <c r="F809" s="28">
        <v>58.043999999999997</v>
      </c>
      <c r="G809" s="28">
        <v>158.29</v>
      </c>
      <c r="H809" s="28">
        <v>51.555169999999997</v>
      </c>
      <c r="I809" s="28">
        <v>52.982250000000001</v>
      </c>
      <c r="J809" s="29"/>
      <c r="K809" s="29"/>
      <c r="L809" s="29"/>
      <c r="M809" s="29"/>
      <c r="N809" s="29"/>
      <c r="P809" s="4">
        <f t="shared" si="52"/>
        <v>-6.8579113703831057E-3</v>
      </c>
      <c r="Q809" s="4">
        <f t="shared" si="52"/>
        <v>5.118341361224403E-3</v>
      </c>
      <c r="R809" s="4">
        <f t="shared" si="52"/>
        <v>6.1468461340381426E-3</v>
      </c>
      <c r="S809" s="4">
        <f t="shared" si="52"/>
        <v>-3.2703606885861169E-3</v>
      </c>
      <c r="T809" s="4">
        <f t="shared" si="52"/>
        <v>-5.5196114074538456E-3</v>
      </c>
      <c r="U809" s="35"/>
      <c r="V809" s="35"/>
      <c r="W809" s="35"/>
      <c r="X809" s="35"/>
    </row>
    <row r="810" spans="4:24" x14ac:dyDescent="0.3">
      <c r="D810" s="23">
        <v>40756</v>
      </c>
      <c r="E810" s="5">
        <v>101.57737</v>
      </c>
      <c r="F810" s="28">
        <v>58.228670000000001</v>
      </c>
      <c r="G810" s="28">
        <v>157.72</v>
      </c>
      <c r="H810" s="28">
        <v>51.315170000000002</v>
      </c>
      <c r="I810" s="28">
        <v>52.744500000000002</v>
      </c>
      <c r="J810" s="29"/>
      <c r="K810" s="29"/>
      <c r="L810" s="29"/>
      <c r="M810" s="29"/>
      <c r="N810" s="29"/>
      <c r="P810" s="4">
        <f t="shared" si="52"/>
        <v>-4.261690020628775E-3</v>
      </c>
      <c r="Q810" s="4">
        <f t="shared" si="52"/>
        <v>3.1765014990910918E-3</v>
      </c>
      <c r="R810" s="4">
        <f t="shared" si="52"/>
        <v>-3.6074846882205641E-3</v>
      </c>
      <c r="S810" s="4">
        <f t="shared" si="52"/>
        <v>-4.6660764501259408E-3</v>
      </c>
      <c r="T810" s="4">
        <f t="shared" si="52"/>
        <v>-4.4974502810021496E-3</v>
      </c>
      <c r="U810" s="35"/>
      <c r="V810" s="35"/>
      <c r="W810" s="35"/>
      <c r="X810" s="35"/>
    </row>
    <row r="811" spans="4:24" x14ac:dyDescent="0.3">
      <c r="D811" s="23">
        <v>40757</v>
      </c>
      <c r="E811" s="5">
        <v>98.982346000000007</v>
      </c>
      <c r="F811" s="28">
        <v>58.476289999999999</v>
      </c>
      <c r="G811" s="28">
        <v>161.52000000000001</v>
      </c>
      <c r="H811" s="28">
        <v>50.017409999999998</v>
      </c>
      <c r="I811" s="28">
        <v>51.349620000000002</v>
      </c>
      <c r="J811" s="29"/>
      <c r="K811" s="29"/>
      <c r="L811" s="29"/>
      <c r="M811" s="29"/>
      <c r="N811" s="29"/>
      <c r="P811" s="4">
        <f t="shared" si="52"/>
        <v>-2.5879263113724328E-2</v>
      </c>
      <c r="Q811" s="4">
        <f t="shared" si="52"/>
        <v>4.2435278086764387E-3</v>
      </c>
      <c r="R811" s="4">
        <f t="shared" si="52"/>
        <v>2.3807664995155634E-2</v>
      </c>
      <c r="S811" s="4">
        <f t="shared" si="52"/>
        <v>-2.5615275143075565E-2</v>
      </c>
      <c r="T811" s="4">
        <f t="shared" si="52"/>
        <v>-2.6801965364873649E-2</v>
      </c>
      <c r="U811" s="35"/>
      <c r="V811" s="35"/>
      <c r="W811" s="35"/>
      <c r="X811" s="35"/>
    </row>
    <row r="812" spans="4:24" x14ac:dyDescent="0.3">
      <c r="D812" s="23">
        <v>40758</v>
      </c>
      <c r="E812" s="5">
        <v>99.518669000000003</v>
      </c>
      <c r="F812" s="28">
        <v>58.518740000000001</v>
      </c>
      <c r="G812" s="28">
        <v>161.49</v>
      </c>
      <c r="H812" s="28">
        <v>50.497399999999999</v>
      </c>
      <c r="I812" s="28">
        <v>51.63494</v>
      </c>
      <c r="J812" s="29"/>
      <c r="K812" s="29"/>
      <c r="L812" s="29"/>
      <c r="M812" s="29"/>
      <c r="N812" s="29"/>
      <c r="P812" s="4">
        <f t="shared" si="52"/>
        <v>5.4037437045037712E-3</v>
      </c>
      <c r="Q812" s="4">
        <f t="shared" si="52"/>
        <v>7.2567188303381534E-4</v>
      </c>
      <c r="R812" s="4">
        <f t="shared" si="52"/>
        <v>-1.8575276360645253E-4</v>
      </c>
      <c r="S812" s="4">
        <f t="shared" si="52"/>
        <v>9.5507049867989656E-3</v>
      </c>
      <c r="T812" s="4">
        <f t="shared" si="52"/>
        <v>5.5410389677307218E-3</v>
      </c>
      <c r="U812" s="35"/>
      <c r="V812" s="35"/>
      <c r="W812" s="35"/>
      <c r="X812" s="35"/>
    </row>
    <row r="813" spans="4:24" x14ac:dyDescent="0.3">
      <c r="D813" s="23">
        <v>40759</v>
      </c>
      <c r="E813" s="5">
        <v>94.857101</v>
      </c>
      <c r="F813" s="28">
        <v>58.872520000000002</v>
      </c>
      <c r="G813" s="28">
        <v>160.63999999999999</v>
      </c>
      <c r="H813" s="28">
        <v>48.150750000000002</v>
      </c>
      <c r="I813" s="28">
        <v>49.043280000000003</v>
      </c>
      <c r="J813" s="29"/>
      <c r="K813" s="29"/>
      <c r="L813" s="29"/>
      <c r="M813" s="29"/>
      <c r="N813" s="29"/>
      <c r="P813" s="4">
        <f t="shared" si="52"/>
        <v>-4.7973695549329544E-2</v>
      </c>
      <c r="Q813" s="4">
        <f t="shared" si="52"/>
        <v>6.0273834874792825E-3</v>
      </c>
      <c r="R813" s="4">
        <f t="shared" si="52"/>
        <v>-5.2773847376113509E-3</v>
      </c>
      <c r="S813" s="4">
        <f t="shared" si="52"/>
        <v>-4.7585135360581073E-2</v>
      </c>
      <c r="T813" s="4">
        <f t="shared" si="52"/>
        <v>-5.1495401552682618E-2</v>
      </c>
      <c r="U813" s="35"/>
      <c r="V813" s="35"/>
      <c r="W813" s="35"/>
      <c r="X813" s="35"/>
    </row>
    <row r="814" spans="4:24" x14ac:dyDescent="0.3">
      <c r="D814" s="23">
        <v>40760</v>
      </c>
      <c r="E814" s="5">
        <v>94.715096000000003</v>
      </c>
      <c r="F814" s="28">
        <v>58.490450000000003</v>
      </c>
      <c r="G814" s="28">
        <v>161.75</v>
      </c>
      <c r="H814" s="28">
        <v>47.848520000000001</v>
      </c>
      <c r="I814" s="28">
        <v>48.837220000000002</v>
      </c>
      <c r="J814" s="29"/>
      <c r="K814" s="29"/>
      <c r="L814" s="29"/>
      <c r="M814" s="29"/>
      <c r="N814" s="29"/>
      <c r="P814" s="4">
        <f t="shared" si="52"/>
        <v>-1.4981630092175981E-3</v>
      </c>
      <c r="Q814" s="4">
        <f t="shared" si="52"/>
        <v>-6.5109352589465862E-3</v>
      </c>
      <c r="R814" s="4">
        <f t="shared" si="52"/>
        <v>6.8860968776457438E-3</v>
      </c>
      <c r="S814" s="4">
        <f t="shared" si="52"/>
        <v>-6.2965270157418251E-3</v>
      </c>
      <c r="T814" s="4">
        <f t="shared" si="52"/>
        <v>-4.2104465019449019E-3</v>
      </c>
      <c r="U814" s="35"/>
      <c r="V814" s="35"/>
      <c r="W814" s="35"/>
      <c r="X814" s="35"/>
    </row>
    <row r="815" spans="4:24" x14ac:dyDescent="0.3">
      <c r="D815" s="23">
        <v>40763</v>
      </c>
      <c r="E815" s="5">
        <v>88.546951000000007</v>
      </c>
      <c r="F815" s="28">
        <v>58.766370000000002</v>
      </c>
      <c r="G815" s="28">
        <v>167.12</v>
      </c>
      <c r="H815" s="28">
        <v>44.968539999999997</v>
      </c>
      <c r="I815" s="28">
        <v>45.453000000000003</v>
      </c>
      <c r="J815" s="29"/>
      <c r="K815" s="29"/>
      <c r="L815" s="29"/>
      <c r="M815" s="29"/>
      <c r="N815" s="29"/>
      <c r="P815" s="4">
        <f t="shared" si="52"/>
        <v>-6.7340465034713443E-2</v>
      </c>
      <c r="Q815" s="4">
        <f t="shared" si="52"/>
        <v>4.7062594615195526E-3</v>
      </c>
      <c r="R815" s="4">
        <f t="shared" si="52"/>
        <v>3.2660183867300491E-2</v>
      </c>
      <c r="S815" s="4">
        <f t="shared" si="52"/>
        <v>-6.2077053263992946E-2</v>
      </c>
      <c r="T815" s="4">
        <f t="shared" si="52"/>
        <v>-7.1813902019738862E-2</v>
      </c>
      <c r="U815" s="35"/>
      <c r="V815" s="35"/>
      <c r="W815" s="35"/>
      <c r="X815" s="35"/>
    </row>
    <row r="816" spans="4:24" x14ac:dyDescent="0.3">
      <c r="D816" s="23">
        <v>40764</v>
      </c>
      <c r="E816" s="5">
        <v>92.664314000000005</v>
      </c>
      <c r="F816" s="28">
        <v>58.971589999999999</v>
      </c>
      <c r="G816" s="28">
        <v>168.61</v>
      </c>
      <c r="H816" s="28">
        <v>47.137419999999999</v>
      </c>
      <c r="I816" s="28">
        <v>47.727629999999998</v>
      </c>
      <c r="J816" s="29"/>
      <c r="K816" s="29"/>
      <c r="L816" s="29"/>
      <c r="M816" s="29"/>
      <c r="N816" s="29"/>
      <c r="P816" s="4">
        <f t="shared" si="52"/>
        <v>4.5450505098993746E-2</v>
      </c>
      <c r="Q816" s="4">
        <f t="shared" si="52"/>
        <v>3.4860500016939459E-3</v>
      </c>
      <c r="R816" s="4">
        <f t="shared" si="52"/>
        <v>8.8762385415789638E-3</v>
      </c>
      <c r="S816" s="4">
        <f t="shared" si="52"/>
        <v>4.710403125340136E-2</v>
      </c>
      <c r="T816" s="4">
        <f t="shared" si="52"/>
        <v>4.8831650433712993E-2</v>
      </c>
      <c r="U816" s="35"/>
      <c r="V816" s="35"/>
      <c r="W816" s="35"/>
      <c r="X816" s="35"/>
    </row>
    <row r="817" spans="4:24" x14ac:dyDescent="0.3">
      <c r="D817" s="23">
        <v>40765</v>
      </c>
      <c r="E817" s="5">
        <v>88.570610000000002</v>
      </c>
      <c r="F817" s="28">
        <v>59.43853</v>
      </c>
      <c r="G817" s="28">
        <v>174.58</v>
      </c>
      <c r="H817" s="28">
        <v>45.208539999999999</v>
      </c>
      <c r="I817" s="28">
        <v>45.698700000000002</v>
      </c>
      <c r="J817" s="29"/>
      <c r="K817" s="29"/>
      <c r="L817" s="29"/>
      <c r="M817" s="29"/>
      <c r="N817" s="29"/>
      <c r="P817" s="4">
        <f t="shared" si="52"/>
        <v>-4.5183349205392555E-2</v>
      </c>
      <c r="Q817" s="4">
        <f t="shared" si="52"/>
        <v>7.8868667713021361E-3</v>
      </c>
      <c r="R817" s="4">
        <f t="shared" si="52"/>
        <v>3.4794733517314394E-2</v>
      </c>
      <c r="S817" s="4">
        <f t="shared" si="52"/>
        <v>-4.1781158375742193E-2</v>
      </c>
      <c r="T817" s="4">
        <f t="shared" si="52"/>
        <v>-4.3440624373464874E-2</v>
      </c>
      <c r="U817" s="35"/>
      <c r="V817" s="35"/>
      <c r="W817" s="35"/>
      <c r="X817" s="35"/>
    </row>
    <row r="818" spans="4:24" x14ac:dyDescent="0.3">
      <c r="D818" s="23">
        <v>40766</v>
      </c>
      <c r="E818" s="5">
        <v>92.546020999999996</v>
      </c>
      <c r="F818" s="28">
        <v>58.86544</v>
      </c>
      <c r="G818" s="28">
        <v>170.75</v>
      </c>
      <c r="H818" s="28">
        <v>47.199649999999998</v>
      </c>
      <c r="I818" s="28">
        <v>47.791040000000002</v>
      </c>
      <c r="J818" s="29"/>
      <c r="K818" s="29"/>
      <c r="L818" s="29"/>
      <c r="M818" s="29"/>
      <c r="N818" s="29"/>
      <c r="P818" s="4">
        <f t="shared" si="52"/>
        <v>4.390595811287952E-2</v>
      </c>
      <c r="Q818" s="4">
        <f t="shared" si="52"/>
        <v>-9.6885080501564122E-3</v>
      </c>
      <c r="R818" s="4">
        <f t="shared" si="52"/>
        <v>-2.2182590856304349E-2</v>
      </c>
      <c r="S818" s="4">
        <f t="shared" si="52"/>
        <v>4.3100470265042483E-2</v>
      </c>
      <c r="T818" s="4">
        <f t="shared" si="52"/>
        <v>4.4768323122093917E-2</v>
      </c>
      <c r="U818" s="35"/>
      <c r="V818" s="35"/>
      <c r="W818" s="35"/>
      <c r="X818" s="35"/>
    </row>
    <row r="819" spans="4:24" x14ac:dyDescent="0.3">
      <c r="D819" s="23">
        <v>40767</v>
      </c>
      <c r="E819" s="5">
        <v>93.169128000000001</v>
      </c>
      <c r="F819" s="28">
        <v>59.056440000000002</v>
      </c>
      <c r="G819" s="28">
        <v>169.97</v>
      </c>
      <c r="H819" s="28">
        <v>47.617420000000003</v>
      </c>
      <c r="I819" s="28">
        <v>48.108069999999998</v>
      </c>
      <c r="J819" s="29"/>
      <c r="K819" s="29"/>
      <c r="L819" s="29"/>
      <c r="M819" s="29"/>
      <c r="N819" s="29"/>
      <c r="P819" s="4">
        <f t="shared" si="52"/>
        <v>6.7103770642175211E-3</v>
      </c>
      <c r="Q819" s="4">
        <f t="shared" si="52"/>
        <v>3.2394355827529996E-3</v>
      </c>
      <c r="R819" s="4">
        <f t="shared" si="52"/>
        <v>-4.5785475616393987E-3</v>
      </c>
      <c r="S819" s="4">
        <f t="shared" si="52"/>
        <v>8.8121833647853091E-3</v>
      </c>
      <c r="T819" s="4">
        <f t="shared" si="52"/>
        <v>6.6117642786110908E-3</v>
      </c>
      <c r="U819" s="35"/>
      <c r="V819" s="35"/>
      <c r="W819" s="35"/>
      <c r="X819" s="35"/>
    </row>
    <row r="820" spans="4:24" x14ac:dyDescent="0.3">
      <c r="D820" s="23">
        <v>40770</v>
      </c>
      <c r="E820" s="5">
        <v>95.141036999999997</v>
      </c>
      <c r="F820" s="28">
        <v>58.957410000000003</v>
      </c>
      <c r="G820" s="28">
        <v>171.8</v>
      </c>
      <c r="H820" s="28">
        <v>48.319650000000003</v>
      </c>
      <c r="I820" s="28">
        <v>49.154229999999998</v>
      </c>
      <c r="J820" s="29"/>
      <c r="K820" s="29"/>
      <c r="L820" s="29"/>
      <c r="M820" s="29"/>
      <c r="N820" s="29"/>
      <c r="P820" s="4">
        <f t="shared" si="52"/>
        <v>2.0943968488722115E-2</v>
      </c>
      <c r="Q820" s="4">
        <f t="shared" si="52"/>
        <v>-1.678277985916546E-3</v>
      </c>
      <c r="R820" s="4">
        <f t="shared" si="52"/>
        <v>1.0709058660894975E-2</v>
      </c>
      <c r="S820" s="4">
        <f t="shared" si="52"/>
        <v>1.4639649548278233E-2</v>
      </c>
      <c r="T820" s="4">
        <f t="shared" si="52"/>
        <v>2.1512967455428522E-2</v>
      </c>
      <c r="U820" s="35"/>
      <c r="V820" s="35"/>
      <c r="W820" s="35"/>
      <c r="X820" s="35"/>
    </row>
    <row r="821" spans="4:24" x14ac:dyDescent="0.3">
      <c r="D821" s="23">
        <v>40771</v>
      </c>
      <c r="E821" s="5">
        <v>94.328620999999998</v>
      </c>
      <c r="F821" s="28">
        <v>59.13429</v>
      </c>
      <c r="G821" s="28">
        <v>173.92</v>
      </c>
      <c r="H821" s="28">
        <v>47.91075</v>
      </c>
      <c r="I821" s="28">
        <v>48.686630000000001</v>
      </c>
      <c r="J821" s="29"/>
      <c r="K821" s="29"/>
      <c r="L821" s="29"/>
      <c r="M821" s="29"/>
      <c r="N821" s="29"/>
      <c r="P821" s="4">
        <f t="shared" ref="P821:T836" si="53">LN(E821/E820)</f>
        <v>-8.5757370076743958E-3</v>
      </c>
      <c r="Q821" s="4">
        <f t="shared" si="53"/>
        <v>2.995640375651914E-3</v>
      </c>
      <c r="R821" s="4">
        <f t="shared" si="53"/>
        <v>1.2264413822744269E-2</v>
      </c>
      <c r="S821" s="4">
        <f t="shared" si="53"/>
        <v>-8.4984050984302732E-3</v>
      </c>
      <c r="T821" s="4">
        <f t="shared" si="53"/>
        <v>-9.5584515537773616E-3</v>
      </c>
      <c r="U821" s="35"/>
      <c r="V821" s="35"/>
      <c r="W821" s="35"/>
      <c r="X821" s="35"/>
    </row>
    <row r="822" spans="4:24" x14ac:dyDescent="0.3">
      <c r="D822" s="23">
        <v>40772</v>
      </c>
      <c r="E822" s="5">
        <v>94.391739000000001</v>
      </c>
      <c r="F822" s="28">
        <v>59.240409999999997</v>
      </c>
      <c r="G822" s="28">
        <v>174.42</v>
      </c>
      <c r="H822" s="28">
        <v>47.626309999999997</v>
      </c>
      <c r="I822" s="28">
        <v>48.69455</v>
      </c>
      <c r="J822" s="29"/>
      <c r="K822" s="29"/>
      <c r="L822" s="29"/>
      <c r="M822" s="29"/>
      <c r="N822" s="29"/>
      <c r="P822" s="4">
        <f t="shared" si="53"/>
        <v>6.6890506518133745E-4</v>
      </c>
      <c r="Q822" s="4">
        <f t="shared" si="53"/>
        <v>1.7929511699448402E-3</v>
      </c>
      <c r="R822" s="4">
        <f t="shared" si="53"/>
        <v>2.8707604259402965E-3</v>
      </c>
      <c r="S822" s="4">
        <f t="shared" si="53"/>
        <v>-5.9545654941662932E-3</v>
      </c>
      <c r="T822" s="4">
        <f t="shared" si="53"/>
        <v>1.626597668556435E-4</v>
      </c>
      <c r="U822" s="35"/>
      <c r="V822" s="35"/>
      <c r="W822" s="35"/>
      <c r="X822" s="35"/>
    </row>
    <row r="823" spans="4:24" x14ac:dyDescent="0.3">
      <c r="D823" s="23">
        <v>40773</v>
      </c>
      <c r="E823" s="5">
        <v>90.321647999999996</v>
      </c>
      <c r="F823" s="28">
        <v>59.36777</v>
      </c>
      <c r="G823" s="28">
        <v>177.72</v>
      </c>
      <c r="H823" s="28">
        <v>45.288550000000001</v>
      </c>
      <c r="I823" s="28">
        <v>46.522959999999998</v>
      </c>
      <c r="J823" s="29"/>
      <c r="K823" s="29"/>
      <c r="L823" s="29"/>
      <c r="M823" s="29"/>
      <c r="N823" s="29"/>
      <c r="P823" s="4">
        <f t="shared" si="53"/>
        <v>-4.4076392818406578E-2</v>
      </c>
      <c r="Q823" s="4">
        <f t="shared" si="53"/>
        <v>2.1475761444038066E-3</v>
      </c>
      <c r="R823" s="4">
        <f t="shared" si="53"/>
        <v>1.8743094268868287E-2</v>
      </c>
      <c r="S823" s="4">
        <f t="shared" si="53"/>
        <v>-5.0331098472192672E-2</v>
      </c>
      <c r="T823" s="4">
        <f t="shared" si="53"/>
        <v>-4.5621160002152862E-2</v>
      </c>
      <c r="U823" s="35"/>
      <c r="V823" s="35"/>
      <c r="W823" s="35"/>
      <c r="X823" s="35"/>
    </row>
    <row r="824" spans="4:24" x14ac:dyDescent="0.3">
      <c r="D824" s="23">
        <v>40774</v>
      </c>
      <c r="E824" s="5">
        <v>88.846680000000006</v>
      </c>
      <c r="F824" s="28">
        <v>59.424390000000002</v>
      </c>
      <c r="G824" s="28">
        <v>179.95</v>
      </c>
      <c r="H824" s="28">
        <v>44.470770000000002</v>
      </c>
      <c r="I824" s="28">
        <v>45.690759999999997</v>
      </c>
      <c r="J824" s="29"/>
      <c r="K824" s="29"/>
      <c r="L824" s="29"/>
      <c r="M824" s="29"/>
      <c r="N824" s="29"/>
      <c r="P824" s="4">
        <f t="shared" si="53"/>
        <v>-1.6464978355808849E-2</v>
      </c>
      <c r="Q824" s="4">
        <f t="shared" si="53"/>
        <v>9.5326163422895641E-4</v>
      </c>
      <c r="R824" s="4">
        <f t="shared" si="53"/>
        <v>1.2469756457331897E-2</v>
      </c>
      <c r="S824" s="4">
        <f t="shared" si="53"/>
        <v>-1.8222121741502381E-2</v>
      </c>
      <c r="T824" s="4">
        <f t="shared" si="53"/>
        <v>-1.8049864899549944E-2</v>
      </c>
      <c r="U824" s="35"/>
      <c r="V824" s="35"/>
      <c r="W824" s="35"/>
      <c r="X824" s="35"/>
    </row>
    <row r="825" spans="4:24" x14ac:dyDescent="0.3">
      <c r="D825" s="23">
        <v>40777</v>
      </c>
      <c r="E825" s="5">
        <v>88.917679000000007</v>
      </c>
      <c r="F825" s="28">
        <v>59.289960000000001</v>
      </c>
      <c r="G825" s="28">
        <v>184.59</v>
      </c>
      <c r="H825" s="28">
        <v>44.630780000000001</v>
      </c>
      <c r="I825" s="28">
        <v>45.698700000000002</v>
      </c>
      <c r="J825" s="29"/>
      <c r="K825" s="29"/>
      <c r="L825" s="29"/>
      <c r="M825" s="29"/>
      <c r="N825" s="29"/>
      <c r="P825" s="4">
        <f t="shared" si="53"/>
        <v>7.9879908632579243E-4</v>
      </c>
      <c r="Q825" s="4">
        <f t="shared" si="53"/>
        <v>-2.2647650845820187E-3</v>
      </c>
      <c r="R825" s="4">
        <f t="shared" si="53"/>
        <v>2.5458114895469085E-2</v>
      </c>
      <c r="S825" s="4">
        <f t="shared" si="53"/>
        <v>3.5916361052912471E-3</v>
      </c>
      <c r="T825" s="4">
        <f t="shared" si="53"/>
        <v>1.7376183249113894E-4</v>
      </c>
      <c r="U825" s="35"/>
      <c r="V825" s="35"/>
      <c r="W825" s="35"/>
      <c r="X825" s="35"/>
    </row>
    <row r="826" spans="4:24" x14ac:dyDescent="0.3">
      <c r="D826" s="23">
        <v>40778</v>
      </c>
      <c r="E826" s="5">
        <v>91.843970999999996</v>
      </c>
      <c r="F826" s="28">
        <v>59.11309</v>
      </c>
      <c r="G826" s="28">
        <v>177.67</v>
      </c>
      <c r="H826" s="28">
        <v>46.470759999999999</v>
      </c>
      <c r="I826" s="28">
        <v>47.267949999999999</v>
      </c>
      <c r="J826" s="29"/>
      <c r="K826" s="29"/>
      <c r="L826" s="29"/>
      <c r="M826" s="29"/>
      <c r="N826" s="29"/>
      <c r="P826" s="4">
        <f t="shared" si="53"/>
        <v>3.2380183235858777E-2</v>
      </c>
      <c r="Q826" s="4">
        <f t="shared" si="53"/>
        <v>-2.9875941803466106E-3</v>
      </c>
      <c r="R826" s="4">
        <f t="shared" si="53"/>
        <v>-3.8209252372694041E-2</v>
      </c>
      <c r="S826" s="4">
        <f t="shared" si="53"/>
        <v>4.0399542078709071E-2</v>
      </c>
      <c r="T826" s="4">
        <f t="shared" si="53"/>
        <v>3.3762624872065924E-2</v>
      </c>
      <c r="U826" s="35"/>
      <c r="V826" s="35"/>
      <c r="W826" s="35"/>
      <c r="X826" s="35"/>
    </row>
    <row r="827" spans="4:24" x14ac:dyDescent="0.3">
      <c r="D827" s="23">
        <v>40779</v>
      </c>
      <c r="E827" s="5">
        <v>93.137535</v>
      </c>
      <c r="F827" s="28">
        <v>58.773449999999997</v>
      </c>
      <c r="G827" s="28">
        <v>171.65</v>
      </c>
      <c r="H827" s="28">
        <v>46.835189999999997</v>
      </c>
      <c r="I827" s="28">
        <v>47.941630000000004</v>
      </c>
      <c r="J827" s="29"/>
      <c r="K827" s="29"/>
      <c r="L827" s="29"/>
      <c r="M827" s="29"/>
      <c r="N827" s="29"/>
      <c r="P827" s="4">
        <f t="shared" si="53"/>
        <v>1.3986101791331477E-2</v>
      </c>
      <c r="Q827" s="4">
        <f t="shared" si="53"/>
        <v>-5.7621665669839294E-3</v>
      </c>
      <c r="R827" s="4">
        <f t="shared" si="53"/>
        <v>-3.447037714411353E-2</v>
      </c>
      <c r="S827" s="4">
        <f t="shared" si="53"/>
        <v>7.8115458474451666E-3</v>
      </c>
      <c r="T827" s="4">
        <f t="shared" si="53"/>
        <v>1.4151753284477236E-2</v>
      </c>
      <c r="U827" s="35"/>
      <c r="V827" s="35"/>
      <c r="W827" s="35"/>
      <c r="X827" s="35"/>
    </row>
    <row r="828" spans="4:24" x14ac:dyDescent="0.3">
      <c r="D828" s="23">
        <v>40780</v>
      </c>
      <c r="E828" s="5">
        <v>91.717788999999996</v>
      </c>
      <c r="F828" s="28">
        <v>58.936230000000002</v>
      </c>
      <c r="G828" s="28">
        <v>172.36</v>
      </c>
      <c r="H828" s="28">
        <v>46.07076</v>
      </c>
      <c r="I828" s="28">
        <v>47.141159999999999</v>
      </c>
      <c r="J828" s="29"/>
      <c r="K828" s="29"/>
      <c r="L828" s="29"/>
      <c r="M828" s="29"/>
      <c r="N828" s="29"/>
      <c r="P828" s="4">
        <f t="shared" si="53"/>
        <v>-1.5360919943815752E-2</v>
      </c>
      <c r="Q828" s="4">
        <f t="shared" si="53"/>
        <v>2.7657895895513355E-3</v>
      </c>
      <c r="R828" s="4">
        <f t="shared" si="53"/>
        <v>4.1277928439362229E-3</v>
      </c>
      <c r="S828" s="4">
        <f t="shared" si="53"/>
        <v>-1.6456368000684667E-2</v>
      </c>
      <c r="T828" s="4">
        <f t="shared" si="53"/>
        <v>-1.6837724505402385E-2</v>
      </c>
      <c r="U828" s="35"/>
      <c r="V828" s="35"/>
      <c r="W828" s="35"/>
      <c r="X828" s="35"/>
    </row>
    <row r="829" spans="4:24" x14ac:dyDescent="0.3">
      <c r="D829" s="23">
        <v>40781</v>
      </c>
      <c r="E829" s="5">
        <v>93.050788999999995</v>
      </c>
      <c r="F829" s="28">
        <v>59.006929999999997</v>
      </c>
      <c r="G829" s="28">
        <v>177.47</v>
      </c>
      <c r="H829" s="28">
        <v>47.226309999999998</v>
      </c>
      <c r="I829" s="28">
        <v>47.92577</v>
      </c>
      <c r="J829" s="29"/>
      <c r="K829" s="29"/>
      <c r="L829" s="29"/>
      <c r="M829" s="29"/>
      <c r="N829" s="29"/>
      <c r="P829" s="4">
        <f t="shared" si="53"/>
        <v>1.4429110640063946E-2</v>
      </c>
      <c r="Q829" s="4">
        <f t="shared" si="53"/>
        <v>1.1988827239868295E-3</v>
      </c>
      <c r="R829" s="4">
        <f t="shared" si="53"/>
        <v>2.921626779883613E-2</v>
      </c>
      <c r="S829" s="4">
        <f t="shared" si="53"/>
        <v>2.4772677100259613E-2</v>
      </c>
      <c r="T829" s="4">
        <f t="shared" si="53"/>
        <v>1.6506850816438247E-2</v>
      </c>
      <c r="U829" s="35"/>
      <c r="V829" s="35"/>
      <c r="W829" s="35"/>
      <c r="X829" s="35"/>
    </row>
    <row r="830" spans="4:24" x14ac:dyDescent="0.3">
      <c r="D830" s="23">
        <v>40784</v>
      </c>
      <c r="E830" s="5">
        <v>95.724723999999995</v>
      </c>
      <c r="F830" s="28">
        <v>58.86544</v>
      </c>
      <c r="G830" s="28">
        <v>173.89</v>
      </c>
      <c r="H830" s="28">
        <v>48.541849999999997</v>
      </c>
      <c r="I830" s="28">
        <v>49.423699999999997</v>
      </c>
      <c r="J830" s="29"/>
      <c r="K830" s="29"/>
      <c r="L830" s="29"/>
      <c r="M830" s="29"/>
      <c r="N830" s="29"/>
      <c r="P830" s="4">
        <f t="shared" si="53"/>
        <v>2.8331151735356615E-2</v>
      </c>
      <c r="Q830" s="4">
        <f t="shared" si="53"/>
        <v>-2.4007334026915311E-3</v>
      </c>
      <c r="R830" s="4">
        <f t="shared" si="53"/>
        <v>-2.0378665152496041E-2</v>
      </c>
      <c r="S830" s="4">
        <f t="shared" si="53"/>
        <v>2.7475159921185568E-2</v>
      </c>
      <c r="T830" s="4">
        <f t="shared" si="53"/>
        <v>3.0776710658626246E-2</v>
      </c>
      <c r="U830" s="35"/>
      <c r="V830" s="35"/>
      <c r="W830" s="35"/>
      <c r="X830" s="35"/>
    </row>
    <row r="831" spans="4:24" x14ac:dyDescent="0.3">
      <c r="D831" s="23">
        <v>40785</v>
      </c>
      <c r="E831" s="5">
        <v>95.977158000000003</v>
      </c>
      <c r="F831" s="28">
        <v>59.084780000000002</v>
      </c>
      <c r="G831" s="28">
        <v>179.1</v>
      </c>
      <c r="H831" s="28">
        <v>48.861849999999997</v>
      </c>
      <c r="I831" s="28">
        <v>49.558430000000001</v>
      </c>
      <c r="J831" s="29"/>
      <c r="K831" s="29"/>
      <c r="L831" s="29"/>
      <c r="M831" s="29"/>
      <c r="N831" s="29"/>
      <c r="P831" s="4">
        <f t="shared" si="53"/>
        <v>2.6336115563533624E-3</v>
      </c>
      <c r="Q831" s="4">
        <f t="shared" si="53"/>
        <v>3.7192004022393202E-3</v>
      </c>
      <c r="R831" s="4">
        <f t="shared" si="53"/>
        <v>2.9521393672688544E-2</v>
      </c>
      <c r="S831" s="4">
        <f t="shared" si="53"/>
        <v>6.5706159268898324E-3</v>
      </c>
      <c r="T831" s="4">
        <f t="shared" si="53"/>
        <v>2.7223112536930577E-3</v>
      </c>
      <c r="U831" s="35"/>
      <c r="V831" s="35"/>
      <c r="W831" s="35"/>
      <c r="X831" s="35"/>
    </row>
    <row r="832" spans="4:24" x14ac:dyDescent="0.3">
      <c r="D832" s="23">
        <v>40786</v>
      </c>
      <c r="E832" s="5">
        <v>96.403060999999994</v>
      </c>
      <c r="F832" s="28">
        <v>59.006929999999997</v>
      </c>
      <c r="G832" s="28">
        <v>177.72</v>
      </c>
      <c r="H832" s="28">
        <v>48.941850000000002</v>
      </c>
      <c r="I832" s="28">
        <v>49.756570000000004</v>
      </c>
      <c r="J832" s="29"/>
      <c r="K832" s="29"/>
      <c r="L832" s="29"/>
      <c r="M832" s="29"/>
      <c r="N832" s="29"/>
      <c r="P832" s="4">
        <f t="shared" si="53"/>
        <v>4.4277285681953264E-3</v>
      </c>
      <c r="Q832" s="4">
        <f t="shared" si="53"/>
        <v>-1.3184669995478329E-3</v>
      </c>
      <c r="R832" s="4">
        <f t="shared" si="53"/>
        <v>-7.7350309989583513E-3</v>
      </c>
      <c r="S832" s="4">
        <f t="shared" si="53"/>
        <v>1.6359302938804149E-3</v>
      </c>
      <c r="T832" s="4">
        <f t="shared" si="53"/>
        <v>3.9901377009607915E-3</v>
      </c>
      <c r="U832" s="35"/>
      <c r="V832" s="35"/>
      <c r="W832" s="35"/>
      <c r="X832" s="35"/>
    </row>
    <row r="833" spans="4:24" x14ac:dyDescent="0.3">
      <c r="D833" s="23">
        <v>40787</v>
      </c>
      <c r="E833" s="5">
        <v>95.393424999999993</v>
      </c>
      <c r="F833" s="28">
        <v>59.257280000000002</v>
      </c>
      <c r="G833" s="28">
        <v>177.87</v>
      </c>
      <c r="H833" s="28">
        <v>48.497399999999999</v>
      </c>
      <c r="I833" s="28">
        <v>49.193860000000001</v>
      </c>
      <c r="J833" s="29"/>
      <c r="K833" s="29"/>
      <c r="L833" s="29"/>
      <c r="M833" s="29"/>
      <c r="N833" s="29"/>
      <c r="P833" s="4">
        <f t="shared" si="53"/>
        <v>-1.0528298480718136E-2</v>
      </c>
      <c r="Q833" s="4">
        <f t="shared" si="53"/>
        <v>4.2337470305199593E-3</v>
      </c>
      <c r="R833" s="4">
        <f t="shared" si="53"/>
        <v>8.4366831967843346E-4</v>
      </c>
      <c r="S833" s="4">
        <f t="shared" si="53"/>
        <v>-9.1226704304862641E-3</v>
      </c>
      <c r="T833" s="4">
        <f t="shared" si="53"/>
        <v>-1.1373696224382546E-2</v>
      </c>
      <c r="U833" s="35"/>
      <c r="V833" s="35"/>
      <c r="W833" s="35"/>
      <c r="X833" s="35"/>
    </row>
    <row r="834" spans="4:24" x14ac:dyDescent="0.3">
      <c r="D834" s="23">
        <v>40788</v>
      </c>
      <c r="E834" s="5">
        <v>92.956176999999997</v>
      </c>
      <c r="F834" s="28">
        <v>59.420459999999999</v>
      </c>
      <c r="G834" s="28">
        <v>183.24</v>
      </c>
      <c r="H834" s="28">
        <v>47.359630000000003</v>
      </c>
      <c r="I834" s="28">
        <v>47.846510000000002</v>
      </c>
      <c r="J834" s="29"/>
      <c r="K834" s="29"/>
      <c r="L834" s="29"/>
      <c r="M834" s="29"/>
      <c r="N834" s="29"/>
      <c r="P834" s="4">
        <f t="shared" si="53"/>
        <v>-2.5881488700905647E-2</v>
      </c>
      <c r="Q834" s="4">
        <f t="shared" si="53"/>
        <v>2.7499698399232773E-3</v>
      </c>
      <c r="R834" s="4">
        <f t="shared" si="53"/>
        <v>2.9743822631155464E-2</v>
      </c>
      <c r="S834" s="4">
        <f t="shared" si="53"/>
        <v>-2.3740010213808841E-2</v>
      </c>
      <c r="T834" s="4">
        <f t="shared" si="53"/>
        <v>-2.7770639982690998E-2</v>
      </c>
      <c r="U834" s="35"/>
      <c r="V834" s="35"/>
      <c r="W834" s="35"/>
      <c r="X834" s="35"/>
    </row>
    <row r="835" spans="4:24" x14ac:dyDescent="0.3">
      <c r="D835" s="23">
        <v>40792</v>
      </c>
      <c r="E835" s="5">
        <v>92.277794</v>
      </c>
      <c r="F835" s="28">
        <v>59.505580000000002</v>
      </c>
      <c r="G835" s="28">
        <v>182.9</v>
      </c>
      <c r="H835" s="28">
        <v>47.36853</v>
      </c>
      <c r="I835" s="28">
        <v>47.545349999999999</v>
      </c>
      <c r="J835" s="29"/>
      <c r="K835" s="29"/>
      <c r="L835" s="29"/>
      <c r="M835" s="29"/>
      <c r="N835" s="29"/>
      <c r="P835" s="4">
        <f t="shared" si="53"/>
        <v>-7.3246395279629641E-3</v>
      </c>
      <c r="Q835" s="4">
        <f t="shared" si="53"/>
        <v>1.431478161303588E-3</v>
      </c>
      <c r="R835" s="4">
        <f t="shared" si="53"/>
        <v>-1.8572136217213783E-3</v>
      </c>
      <c r="S835" s="4">
        <f t="shared" si="53"/>
        <v>1.8790610999270009E-4</v>
      </c>
      <c r="T835" s="4">
        <f t="shared" si="53"/>
        <v>-6.3141865684794261E-3</v>
      </c>
      <c r="U835" s="35"/>
      <c r="V835" s="35"/>
      <c r="W835" s="35"/>
      <c r="X835" s="35"/>
    </row>
    <row r="836" spans="4:24" x14ac:dyDescent="0.3">
      <c r="D836" s="23">
        <v>40793</v>
      </c>
      <c r="E836" s="5">
        <v>94.880713999999998</v>
      </c>
      <c r="F836" s="28">
        <v>59.37086</v>
      </c>
      <c r="G836" s="28">
        <v>177.08</v>
      </c>
      <c r="H836" s="28">
        <v>48.568530000000003</v>
      </c>
      <c r="I836" s="28">
        <v>48.964019999999998</v>
      </c>
      <c r="J836" s="29"/>
      <c r="K836" s="29"/>
      <c r="L836" s="29"/>
      <c r="M836" s="29"/>
      <c r="N836" s="29"/>
      <c r="P836" s="4">
        <f t="shared" si="53"/>
        <v>2.7816933001383142E-2</v>
      </c>
      <c r="Q836" s="4">
        <f t="shared" si="53"/>
        <v>-2.2665560589547667E-3</v>
      </c>
      <c r="R836" s="4">
        <f t="shared" si="53"/>
        <v>-3.2337947532879649E-2</v>
      </c>
      <c r="S836" s="4">
        <f t="shared" si="53"/>
        <v>2.5017706148368863E-2</v>
      </c>
      <c r="T836" s="4">
        <f t="shared" si="53"/>
        <v>2.9401750265181052E-2</v>
      </c>
      <c r="U836" s="35"/>
      <c r="V836" s="35"/>
      <c r="W836" s="35"/>
      <c r="X836" s="35"/>
    </row>
    <row r="837" spans="4:24" x14ac:dyDescent="0.3">
      <c r="D837" s="23">
        <v>40794</v>
      </c>
      <c r="E837" s="5">
        <v>93.894774999999996</v>
      </c>
      <c r="F837" s="28">
        <v>59.448839999999997</v>
      </c>
      <c r="G837" s="28">
        <v>181.81</v>
      </c>
      <c r="H837" s="28">
        <v>48.346290000000003</v>
      </c>
      <c r="I837" s="28">
        <v>48.377540000000003</v>
      </c>
      <c r="J837" s="29"/>
      <c r="K837" s="29"/>
      <c r="L837" s="29"/>
      <c r="M837" s="29"/>
      <c r="N837" s="29"/>
      <c r="P837" s="4">
        <f t="shared" ref="P837:T852" si="54">LN(E837/E836)</f>
        <v>-1.04457201526439E-2</v>
      </c>
      <c r="Q837" s="4">
        <f t="shared" si="54"/>
        <v>1.3125771432803124E-3</v>
      </c>
      <c r="R837" s="4">
        <f t="shared" si="54"/>
        <v>2.6360577867241011E-2</v>
      </c>
      <c r="S837" s="4">
        <f t="shared" si="54"/>
        <v>-4.5863035096772994E-3</v>
      </c>
      <c r="T837" s="4">
        <f t="shared" si="54"/>
        <v>-1.2050086245065065E-2</v>
      </c>
      <c r="U837" s="35"/>
      <c r="V837" s="35"/>
      <c r="W837" s="35"/>
      <c r="X837" s="35"/>
    </row>
    <row r="838" spans="4:24" x14ac:dyDescent="0.3">
      <c r="D838" s="23">
        <v>40795</v>
      </c>
      <c r="E838" s="5">
        <v>91.433823000000004</v>
      </c>
      <c r="F838" s="28">
        <v>59.498460000000001</v>
      </c>
      <c r="G838" s="28">
        <v>180.7</v>
      </c>
      <c r="H838" s="28">
        <v>47.27075</v>
      </c>
      <c r="I838" s="28">
        <v>47.117359999999998</v>
      </c>
      <c r="J838" s="29"/>
      <c r="K838" s="29"/>
      <c r="L838" s="29"/>
      <c r="M838" s="29"/>
      <c r="N838" s="29"/>
      <c r="P838" s="4">
        <f t="shared" si="54"/>
        <v>-2.6559275652221607E-2</v>
      </c>
      <c r="Q838" s="4">
        <f t="shared" si="54"/>
        <v>8.343191123855087E-4</v>
      </c>
      <c r="R838" s="4">
        <f t="shared" si="54"/>
        <v>-6.1239881329986706E-3</v>
      </c>
      <c r="S838" s="4">
        <f t="shared" si="54"/>
        <v>-2.2497775814661395E-2</v>
      </c>
      <c r="T838" s="4">
        <f t="shared" si="54"/>
        <v>-2.6394145822413215E-2</v>
      </c>
      <c r="U838" s="35"/>
      <c r="V838" s="35"/>
      <c r="W838" s="35"/>
      <c r="X838" s="35"/>
    </row>
    <row r="839" spans="4:24" x14ac:dyDescent="0.3">
      <c r="D839" s="23">
        <v>40798</v>
      </c>
      <c r="E839" s="5">
        <v>92.025397999999996</v>
      </c>
      <c r="F839" s="28">
        <v>59.321150000000003</v>
      </c>
      <c r="G839" s="28">
        <v>176.67</v>
      </c>
      <c r="H839" s="28">
        <v>47.8752</v>
      </c>
      <c r="I839" s="28">
        <v>47.450240000000001</v>
      </c>
      <c r="J839" s="29"/>
      <c r="K839" s="29"/>
      <c r="L839" s="29"/>
      <c r="M839" s="29"/>
      <c r="N839" s="29"/>
      <c r="P839" s="4">
        <f t="shared" si="54"/>
        <v>6.4491394560966886E-3</v>
      </c>
      <c r="Q839" s="4">
        <f t="shared" si="54"/>
        <v>-2.9845264029095537E-3</v>
      </c>
      <c r="R839" s="4">
        <f t="shared" si="54"/>
        <v>-2.255461197359377E-2</v>
      </c>
      <c r="S839" s="4">
        <f t="shared" si="54"/>
        <v>1.2705914058520677E-2</v>
      </c>
      <c r="T839" s="4">
        <f t="shared" si="54"/>
        <v>7.0400723898232879E-3</v>
      </c>
      <c r="U839" s="35"/>
      <c r="V839" s="35"/>
      <c r="W839" s="35"/>
      <c r="X839" s="35"/>
    </row>
    <row r="840" spans="4:24" x14ac:dyDescent="0.3">
      <c r="D840" s="23">
        <v>40799</v>
      </c>
      <c r="E840" s="5">
        <v>92.869377</v>
      </c>
      <c r="F840" s="28">
        <v>59.257280000000002</v>
      </c>
      <c r="G840" s="28">
        <v>178.54</v>
      </c>
      <c r="H840" s="28">
        <v>48.515210000000003</v>
      </c>
      <c r="I840" s="28">
        <v>47.92577</v>
      </c>
      <c r="J840" s="29"/>
      <c r="K840" s="29"/>
      <c r="L840" s="29"/>
      <c r="M840" s="29"/>
      <c r="N840" s="29"/>
      <c r="P840" s="4">
        <f t="shared" si="54"/>
        <v>9.1293532960475248E-3</v>
      </c>
      <c r="Q840" s="4">
        <f t="shared" si="54"/>
        <v>-1.0772617950284367E-3</v>
      </c>
      <c r="R840" s="4">
        <f t="shared" si="54"/>
        <v>1.0529080126626905E-2</v>
      </c>
      <c r="S840" s="4">
        <f t="shared" si="54"/>
        <v>1.3279731988296607E-2</v>
      </c>
      <c r="T840" s="4">
        <f t="shared" si="54"/>
        <v>9.9717725747469309E-3</v>
      </c>
      <c r="U840" s="35"/>
      <c r="V840" s="35"/>
      <c r="W840" s="35"/>
      <c r="X840" s="35"/>
    </row>
    <row r="841" spans="4:24" x14ac:dyDescent="0.3">
      <c r="D841" s="23">
        <v>40800</v>
      </c>
      <c r="E841" s="5">
        <v>94.155074999999997</v>
      </c>
      <c r="F841" s="28">
        <v>59.384999999999998</v>
      </c>
      <c r="G841" s="28">
        <v>177.21</v>
      </c>
      <c r="H841" s="28">
        <v>49.20852</v>
      </c>
      <c r="I841" s="28">
        <v>48.607370000000003</v>
      </c>
      <c r="J841" s="29"/>
      <c r="K841" s="29"/>
      <c r="L841" s="29"/>
      <c r="M841" s="29"/>
      <c r="N841" s="29"/>
      <c r="P841" s="4">
        <f t="shared" si="54"/>
        <v>1.3749199532664473E-2</v>
      </c>
      <c r="Q841" s="4">
        <f t="shared" si="54"/>
        <v>2.1530275604524254E-3</v>
      </c>
      <c r="R841" s="4">
        <f t="shared" si="54"/>
        <v>-7.4771957639623871E-3</v>
      </c>
      <c r="S841" s="4">
        <f t="shared" si="54"/>
        <v>1.4189422211576878E-2</v>
      </c>
      <c r="T841" s="4">
        <f t="shared" si="54"/>
        <v>1.4121809926241612E-2</v>
      </c>
      <c r="U841" s="35"/>
      <c r="V841" s="35"/>
      <c r="W841" s="35"/>
      <c r="X841" s="35"/>
    </row>
    <row r="842" spans="4:24" x14ac:dyDescent="0.3">
      <c r="D842" s="23">
        <v>40801</v>
      </c>
      <c r="E842" s="5">
        <v>95.779921999999999</v>
      </c>
      <c r="F842" s="28">
        <v>59.271479999999997</v>
      </c>
      <c r="G842" s="28">
        <v>174.4</v>
      </c>
      <c r="H842" s="28">
        <v>49.937390000000001</v>
      </c>
      <c r="I842" s="28">
        <v>49.455399999999997</v>
      </c>
      <c r="J842" s="29"/>
      <c r="K842" s="29"/>
      <c r="L842" s="29"/>
      <c r="M842" s="29"/>
      <c r="N842" s="29"/>
      <c r="P842" s="4">
        <f t="shared" si="54"/>
        <v>1.710992355172259E-2</v>
      </c>
      <c r="Q842" s="4">
        <f t="shared" si="54"/>
        <v>-1.9134232641123711E-3</v>
      </c>
      <c r="R842" s="4">
        <f t="shared" si="54"/>
        <v>-1.5983958512374268E-2</v>
      </c>
      <c r="S842" s="4">
        <f t="shared" si="54"/>
        <v>1.4703241532976105E-2</v>
      </c>
      <c r="T842" s="4">
        <f t="shared" si="54"/>
        <v>1.7296087820172414E-2</v>
      </c>
      <c r="U842" s="35"/>
      <c r="V842" s="35"/>
      <c r="W842" s="35"/>
      <c r="X842" s="35"/>
    </row>
    <row r="843" spans="4:24" x14ac:dyDescent="0.3">
      <c r="D843" s="23">
        <v>40802</v>
      </c>
      <c r="E843" s="5">
        <v>96.346817000000001</v>
      </c>
      <c r="F843" s="28">
        <v>59.250219999999999</v>
      </c>
      <c r="G843" s="28">
        <v>176.03</v>
      </c>
      <c r="H843" s="28">
        <v>50.395139999999998</v>
      </c>
      <c r="I843" s="28">
        <v>49.693170000000002</v>
      </c>
      <c r="J843" s="29"/>
      <c r="K843" s="29"/>
      <c r="L843" s="29"/>
      <c r="M843" s="29"/>
      <c r="N843" s="29"/>
      <c r="P843" s="4">
        <f t="shared" si="54"/>
        <v>5.9012779598515775E-3</v>
      </c>
      <c r="Q843" s="4">
        <f t="shared" si="54"/>
        <v>-3.5875287357534693E-4</v>
      </c>
      <c r="R843" s="4">
        <f t="shared" si="54"/>
        <v>9.3029235830015527E-3</v>
      </c>
      <c r="S843" s="4">
        <f t="shared" si="54"/>
        <v>9.1247210857350446E-3</v>
      </c>
      <c r="T843" s="4">
        <f t="shared" si="54"/>
        <v>4.7962457916317673E-3</v>
      </c>
      <c r="U843" s="35"/>
      <c r="V843" s="35"/>
      <c r="W843" s="35"/>
      <c r="X843" s="35"/>
    </row>
    <row r="844" spans="4:24" x14ac:dyDescent="0.3">
      <c r="D844" s="23">
        <v>40805</v>
      </c>
      <c r="E844" s="5">
        <v>95.387466000000003</v>
      </c>
      <c r="F844" s="28">
        <v>59.434669999999997</v>
      </c>
      <c r="G844" s="28">
        <v>173.31</v>
      </c>
      <c r="H844" s="28">
        <v>50.412950000000002</v>
      </c>
      <c r="I844" s="28">
        <v>49.170079999999999</v>
      </c>
      <c r="J844" s="29"/>
      <c r="K844" s="29"/>
      <c r="L844" s="29"/>
      <c r="M844" s="29"/>
      <c r="N844" s="29"/>
      <c r="P844" s="4">
        <f t="shared" si="54"/>
        <v>-1.000717233287265E-2</v>
      </c>
      <c r="Q844" s="4">
        <f t="shared" si="54"/>
        <v>3.1082330446499571E-3</v>
      </c>
      <c r="R844" s="4">
        <f t="shared" si="54"/>
        <v>-1.5572536596597063E-2</v>
      </c>
      <c r="S844" s="4">
        <f t="shared" si="54"/>
        <v>3.5334466083647041E-4</v>
      </c>
      <c r="T844" s="4">
        <f t="shared" si="54"/>
        <v>-1.0582190680818272E-2</v>
      </c>
      <c r="U844" s="35"/>
      <c r="V844" s="35"/>
      <c r="W844" s="35"/>
      <c r="X844" s="35"/>
    </row>
    <row r="845" spans="4:24" x14ac:dyDescent="0.3">
      <c r="D845" s="23">
        <v>40806</v>
      </c>
      <c r="E845" s="5">
        <v>95.276473999999993</v>
      </c>
      <c r="F845" s="28">
        <v>59.512700000000002</v>
      </c>
      <c r="G845" s="28">
        <v>175.78</v>
      </c>
      <c r="H845" s="28">
        <v>50.190309999999997</v>
      </c>
      <c r="I845" s="28">
        <v>48.995719999999999</v>
      </c>
      <c r="J845" s="29"/>
      <c r="K845" s="29"/>
      <c r="L845" s="29"/>
      <c r="M845" s="29"/>
      <c r="N845" s="29"/>
      <c r="P845" s="4">
        <f t="shared" si="54"/>
        <v>-1.1642685296200162E-3</v>
      </c>
      <c r="Q845" s="4">
        <f t="shared" si="54"/>
        <v>1.3120090203457993E-3</v>
      </c>
      <c r="R845" s="4">
        <f t="shared" si="54"/>
        <v>1.4151314675215288E-2</v>
      </c>
      <c r="S845" s="4">
        <f t="shared" si="54"/>
        <v>-4.4261063402404799E-3</v>
      </c>
      <c r="T845" s="4">
        <f t="shared" si="54"/>
        <v>-3.5523610739777917E-3</v>
      </c>
      <c r="U845" s="35"/>
      <c r="V845" s="35"/>
      <c r="W845" s="35"/>
      <c r="X845" s="35"/>
    </row>
    <row r="846" spans="4:24" x14ac:dyDescent="0.3">
      <c r="D846" s="23">
        <v>40807</v>
      </c>
      <c r="E846" s="5">
        <v>92.469772000000006</v>
      </c>
      <c r="F846" s="28">
        <v>59.675849999999997</v>
      </c>
      <c r="G846" s="28">
        <v>173.59</v>
      </c>
      <c r="H846" s="28">
        <v>49.317590000000003</v>
      </c>
      <c r="I846" s="28">
        <v>47.40269</v>
      </c>
      <c r="J846" s="29"/>
      <c r="K846" s="29"/>
      <c r="L846" s="29"/>
      <c r="M846" s="29"/>
      <c r="N846" s="29"/>
      <c r="P846" s="4">
        <f t="shared" si="54"/>
        <v>-2.9901115723266928E-2</v>
      </c>
      <c r="Q846" s="4">
        <f t="shared" si="54"/>
        <v>2.7376807906352475E-3</v>
      </c>
      <c r="R846" s="4">
        <f t="shared" si="54"/>
        <v>-1.2537016256041323E-2</v>
      </c>
      <c r="S846" s="4">
        <f t="shared" si="54"/>
        <v>-1.7541167632713052E-2</v>
      </c>
      <c r="T846" s="4">
        <f t="shared" si="54"/>
        <v>-3.3053969211282126E-2</v>
      </c>
      <c r="U846" s="35"/>
      <c r="V846" s="35"/>
      <c r="W846" s="35"/>
      <c r="X846" s="35"/>
    </row>
    <row r="847" spans="4:24" x14ac:dyDescent="0.3">
      <c r="D847" s="23">
        <v>40808</v>
      </c>
      <c r="E847" s="5">
        <v>89.480750999999998</v>
      </c>
      <c r="F847" s="28">
        <v>59.817700000000002</v>
      </c>
      <c r="G847" s="28">
        <v>169.05</v>
      </c>
      <c r="H847" s="28">
        <v>47.714640000000003</v>
      </c>
      <c r="I847" s="28">
        <v>45.944389999999999</v>
      </c>
      <c r="J847" s="29"/>
      <c r="K847" s="29"/>
      <c r="L847" s="29"/>
      <c r="M847" s="29"/>
      <c r="N847" s="29"/>
      <c r="P847" s="4">
        <f t="shared" si="54"/>
        <v>-3.2858272398290207E-2</v>
      </c>
      <c r="Q847" s="4">
        <f t="shared" si="54"/>
        <v>2.374187839114169E-3</v>
      </c>
      <c r="R847" s="4">
        <f t="shared" si="54"/>
        <v>-2.6501667726562702E-2</v>
      </c>
      <c r="S847" s="4">
        <f t="shared" si="54"/>
        <v>-3.3042543500722082E-2</v>
      </c>
      <c r="T847" s="4">
        <f t="shared" si="54"/>
        <v>-3.1247226024824413E-2</v>
      </c>
      <c r="U847" s="35"/>
      <c r="V847" s="35"/>
      <c r="W847" s="35"/>
      <c r="X847" s="35"/>
    </row>
    <row r="848" spans="4:24" x14ac:dyDescent="0.3">
      <c r="D848" s="23">
        <v>40809</v>
      </c>
      <c r="E848" s="5">
        <v>90.019890000000004</v>
      </c>
      <c r="F848" s="28">
        <v>59.619109999999999</v>
      </c>
      <c r="G848" s="28">
        <v>159.80000000000001</v>
      </c>
      <c r="H848" s="28">
        <v>48.222239999999999</v>
      </c>
      <c r="I848" s="28">
        <v>46.212110000000003</v>
      </c>
      <c r="J848" s="29"/>
      <c r="K848" s="29"/>
      <c r="L848" s="29"/>
      <c r="M848" s="29"/>
      <c r="N848" s="29"/>
      <c r="P848" s="4">
        <f t="shared" si="54"/>
        <v>6.007116389684878E-3</v>
      </c>
      <c r="Q848" s="4">
        <f t="shared" si="54"/>
        <v>-3.3254435213091404E-3</v>
      </c>
      <c r="R848" s="4">
        <f t="shared" si="54"/>
        <v>-5.627149582172071E-2</v>
      </c>
      <c r="S848" s="4">
        <f t="shared" si="54"/>
        <v>1.0582056384190516E-2</v>
      </c>
      <c r="T848" s="4">
        <f t="shared" si="54"/>
        <v>5.810132831272948E-3</v>
      </c>
      <c r="U848" s="35"/>
      <c r="V848" s="35"/>
      <c r="W848" s="35"/>
      <c r="X848" s="35"/>
    </row>
    <row r="849" spans="4:24" x14ac:dyDescent="0.3">
      <c r="D849" s="23">
        <v>40812</v>
      </c>
      <c r="E849" s="5">
        <v>92.160583000000003</v>
      </c>
      <c r="F849" s="28">
        <v>59.434669999999997</v>
      </c>
      <c r="G849" s="28">
        <v>157.58000000000001</v>
      </c>
      <c r="H849" s="28">
        <v>48.783279999999998</v>
      </c>
      <c r="I849" s="28">
        <v>47.303669999999997</v>
      </c>
      <c r="J849" s="29"/>
      <c r="K849" s="29"/>
      <c r="L849" s="29"/>
      <c r="M849" s="29"/>
      <c r="N849" s="29"/>
      <c r="P849" s="4">
        <f t="shared" si="54"/>
        <v>2.3501876969071044E-2</v>
      </c>
      <c r="Q849" s="4">
        <f t="shared" si="54"/>
        <v>-3.0984341287861906E-3</v>
      </c>
      <c r="R849" s="4">
        <f t="shared" si="54"/>
        <v>-1.3989767514632276E-2</v>
      </c>
      <c r="S849" s="4">
        <f t="shared" si="54"/>
        <v>1.1567305771916281E-2</v>
      </c>
      <c r="T849" s="4">
        <f t="shared" si="54"/>
        <v>2.3345997387907262E-2</v>
      </c>
      <c r="U849" s="35"/>
      <c r="V849" s="35"/>
      <c r="W849" s="35"/>
      <c r="X849" s="35"/>
    </row>
    <row r="850" spans="4:24" x14ac:dyDescent="0.3">
      <c r="D850" s="23">
        <v>40813</v>
      </c>
      <c r="E850" s="5">
        <v>93.191292000000004</v>
      </c>
      <c r="F850" s="28">
        <v>59.314079999999997</v>
      </c>
      <c r="G850" s="28">
        <v>160.63</v>
      </c>
      <c r="H850" s="28">
        <v>49.290880000000001</v>
      </c>
      <c r="I850" s="28">
        <v>47.901229999999998</v>
      </c>
      <c r="J850" s="29"/>
      <c r="K850" s="29"/>
      <c r="L850" s="29"/>
      <c r="M850" s="29"/>
      <c r="N850" s="29"/>
      <c r="P850" s="4">
        <f t="shared" si="54"/>
        <v>1.112176096753806E-2</v>
      </c>
      <c r="Q850" s="4">
        <f t="shared" si="54"/>
        <v>-2.0310115509071082E-3</v>
      </c>
      <c r="R850" s="4">
        <f t="shared" si="54"/>
        <v>1.9170317752132598E-2</v>
      </c>
      <c r="S850" s="4">
        <f t="shared" si="54"/>
        <v>1.0351442878269739E-2</v>
      </c>
      <c r="T850" s="4">
        <f t="shared" si="54"/>
        <v>1.2553300244092222E-2</v>
      </c>
      <c r="U850" s="35"/>
      <c r="V850" s="35"/>
      <c r="W850" s="35"/>
      <c r="X850" s="35"/>
    </row>
    <row r="851" spans="4:24" x14ac:dyDescent="0.3">
      <c r="D851" s="23">
        <v>40814</v>
      </c>
      <c r="E851" s="5">
        <v>91.288460000000001</v>
      </c>
      <c r="F851" s="28">
        <v>59.186369999999997</v>
      </c>
      <c r="G851" s="28">
        <v>156.22</v>
      </c>
      <c r="H851" s="28">
        <v>48.560639999999999</v>
      </c>
      <c r="I851" s="28">
        <v>46.809660000000001</v>
      </c>
      <c r="J851" s="29"/>
      <c r="K851" s="29"/>
      <c r="L851" s="29"/>
      <c r="M851" s="29"/>
      <c r="N851" s="29"/>
      <c r="P851" s="4">
        <f t="shared" si="54"/>
        <v>-2.0629900732830109E-2</v>
      </c>
      <c r="Q851" s="4">
        <f t="shared" si="54"/>
        <v>-2.1554356872741038E-3</v>
      </c>
      <c r="R851" s="4">
        <f t="shared" si="54"/>
        <v>-2.7838313387523548E-2</v>
      </c>
      <c r="S851" s="4">
        <f t="shared" si="54"/>
        <v>-1.492574784184102E-2</v>
      </c>
      <c r="T851" s="4">
        <f t="shared" si="54"/>
        <v>-2.3051590703705716E-2</v>
      </c>
      <c r="U851" s="35"/>
      <c r="V851" s="35"/>
      <c r="W851" s="35"/>
      <c r="X851" s="35"/>
    </row>
    <row r="852" spans="4:24" x14ac:dyDescent="0.3">
      <c r="D852" s="23">
        <v>40815</v>
      </c>
      <c r="E852" s="5">
        <v>92.009933000000004</v>
      </c>
      <c r="F852" s="28">
        <v>59.179310000000001</v>
      </c>
      <c r="G852" s="28">
        <v>157.69999999999999</v>
      </c>
      <c r="H852" s="28">
        <v>47.9818</v>
      </c>
      <c r="I852" s="28">
        <v>47.152259999999998</v>
      </c>
      <c r="J852" s="29"/>
      <c r="K852" s="29"/>
      <c r="L852" s="29"/>
      <c r="M852" s="29"/>
      <c r="N852" s="29"/>
      <c r="P852" s="4">
        <f t="shared" si="54"/>
        <v>7.8721554951438726E-3</v>
      </c>
      <c r="Q852" s="4">
        <f t="shared" si="54"/>
        <v>-1.1929133526488396E-4</v>
      </c>
      <c r="R852" s="4">
        <f t="shared" si="54"/>
        <v>9.4292237868414362E-3</v>
      </c>
      <c r="S852" s="4">
        <f t="shared" si="54"/>
        <v>-1.1991553896689031E-2</v>
      </c>
      <c r="T852" s="4">
        <f t="shared" si="54"/>
        <v>7.292348181908534E-3</v>
      </c>
      <c r="U852" s="35"/>
      <c r="V852" s="35"/>
      <c r="W852" s="35"/>
      <c r="X852" s="35"/>
    </row>
    <row r="853" spans="4:24" x14ac:dyDescent="0.3">
      <c r="D853" s="23">
        <v>40816</v>
      </c>
      <c r="E853" s="5">
        <v>89.710685999999995</v>
      </c>
      <c r="F853" s="28">
        <v>59.3992</v>
      </c>
      <c r="G853" s="28">
        <v>158.06</v>
      </c>
      <c r="H853" s="28">
        <v>46.743960000000001</v>
      </c>
      <c r="I853" s="28">
        <v>45.98901</v>
      </c>
      <c r="J853" s="29"/>
      <c r="K853" s="29"/>
      <c r="L853" s="29"/>
      <c r="M853" s="29"/>
      <c r="N853" s="29"/>
      <c r="P853" s="4">
        <f t="shared" ref="P853:T868" si="55">LN(E853/E852)</f>
        <v>-2.5306646208219083E-2</v>
      </c>
      <c r="Q853" s="4">
        <f t="shared" si="55"/>
        <v>3.7087707047169095E-3</v>
      </c>
      <c r="R853" s="4">
        <f t="shared" si="55"/>
        <v>2.2802138078367395E-3</v>
      </c>
      <c r="S853" s="4">
        <f t="shared" si="55"/>
        <v>-2.6136722812397074E-2</v>
      </c>
      <c r="T853" s="4">
        <f t="shared" si="55"/>
        <v>-2.4979485160904678E-2</v>
      </c>
      <c r="U853" s="35"/>
      <c r="V853" s="35"/>
      <c r="W853" s="35"/>
      <c r="X853" s="35"/>
    </row>
    <row r="854" spans="4:24" x14ac:dyDescent="0.3">
      <c r="D854" s="23">
        <v>40819</v>
      </c>
      <c r="E854" s="5">
        <v>87.157714999999996</v>
      </c>
      <c r="F854" s="28">
        <v>59.736249999999998</v>
      </c>
      <c r="G854" s="28">
        <v>160.96</v>
      </c>
      <c r="H854" s="28">
        <v>45.541739999999997</v>
      </c>
      <c r="I854" s="28">
        <v>44.467199999999998</v>
      </c>
      <c r="J854" s="29"/>
      <c r="K854" s="29"/>
      <c r="L854" s="29"/>
      <c r="M854" s="29"/>
      <c r="N854" s="29"/>
      <c r="P854" s="4">
        <f t="shared" si="55"/>
        <v>-2.887059882549578E-2</v>
      </c>
      <c r="Q854" s="4">
        <f t="shared" si="55"/>
        <v>5.6582805412296053E-3</v>
      </c>
      <c r="R854" s="4">
        <f t="shared" si="55"/>
        <v>1.8181179134545238E-2</v>
      </c>
      <c r="S854" s="4">
        <f t="shared" si="55"/>
        <v>-2.6055781452647898E-2</v>
      </c>
      <c r="T854" s="4">
        <f t="shared" si="55"/>
        <v>-3.3650616156864419E-2</v>
      </c>
      <c r="U854" s="35"/>
      <c r="V854" s="35"/>
      <c r="W854" s="35"/>
      <c r="X854" s="35"/>
    </row>
    <row r="855" spans="4:24" x14ac:dyDescent="0.3">
      <c r="D855" s="23">
        <v>40820</v>
      </c>
      <c r="E855" s="5">
        <v>89.068481000000006</v>
      </c>
      <c r="F855" s="28">
        <v>59.501609999999999</v>
      </c>
      <c r="G855" s="28">
        <v>157.63999999999999</v>
      </c>
      <c r="H855" s="28">
        <v>46.476790000000001</v>
      </c>
      <c r="I855" s="28">
        <v>45.582659999999997</v>
      </c>
      <c r="J855" s="29"/>
      <c r="K855" s="29"/>
      <c r="L855" s="29"/>
      <c r="M855" s="29"/>
      <c r="N855" s="29"/>
      <c r="P855" s="4">
        <f t="shared" si="55"/>
        <v>2.1686229717316523E-2</v>
      </c>
      <c r="Q855" s="4">
        <f t="shared" si="55"/>
        <v>-3.9356677966361827E-3</v>
      </c>
      <c r="R855" s="4">
        <f t="shared" si="55"/>
        <v>-2.0841934584571616E-2</v>
      </c>
      <c r="S855" s="4">
        <f t="shared" si="55"/>
        <v>2.0323780122311428E-2</v>
      </c>
      <c r="T855" s="4">
        <f t="shared" si="55"/>
        <v>2.477554229959238E-2</v>
      </c>
      <c r="U855" s="35"/>
      <c r="V855" s="35"/>
      <c r="W855" s="35"/>
      <c r="X855" s="35"/>
    </row>
    <row r="856" spans="4:24" x14ac:dyDescent="0.3">
      <c r="D856" s="23">
        <v>40821</v>
      </c>
      <c r="E856" s="5">
        <v>90.717597999999995</v>
      </c>
      <c r="F856" s="28">
        <v>59.24559</v>
      </c>
      <c r="G856" s="28">
        <v>159.46</v>
      </c>
      <c r="H856" s="28">
        <v>47.670119999999997</v>
      </c>
      <c r="I856" s="28">
        <v>46.514859999999999</v>
      </c>
      <c r="J856" s="29"/>
      <c r="K856" s="29"/>
      <c r="L856" s="29"/>
      <c r="M856" s="29"/>
      <c r="N856" s="29"/>
      <c r="P856" s="4">
        <f t="shared" si="55"/>
        <v>1.8345839260720611E-2</v>
      </c>
      <c r="Q856" s="4">
        <f t="shared" si="55"/>
        <v>-4.3120241436145667E-3</v>
      </c>
      <c r="R856" s="4">
        <f t="shared" si="55"/>
        <v>1.147915474754666E-2</v>
      </c>
      <c r="S856" s="4">
        <f t="shared" si="55"/>
        <v>2.5351738323413444E-2</v>
      </c>
      <c r="T856" s="4">
        <f t="shared" si="55"/>
        <v>2.024445039012469E-2</v>
      </c>
      <c r="U856" s="35"/>
      <c r="V856" s="35"/>
      <c r="W856" s="35"/>
      <c r="X856" s="35"/>
    </row>
    <row r="857" spans="4:24" x14ac:dyDescent="0.3">
      <c r="D857" s="23">
        <v>40822</v>
      </c>
      <c r="E857" s="5">
        <v>92.358788000000004</v>
      </c>
      <c r="F857" s="28">
        <v>59.210050000000003</v>
      </c>
      <c r="G857" s="28">
        <v>160.49</v>
      </c>
      <c r="H857" s="28">
        <v>48.471580000000003</v>
      </c>
      <c r="I857" s="28">
        <v>47.415210000000002</v>
      </c>
      <c r="J857" s="29"/>
      <c r="K857" s="29"/>
      <c r="L857" s="29"/>
      <c r="M857" s="29"/>
      <c r="N857" s="29"/>
      <c r="P857" s="4">
        <f t="shared" si="55"/>
        <v>1.7929499279704896E-2</v>
      </c>
      <c r="Q857" s="4">
        <f t="shared" si="55"/>
        <v>-6.0005587013665885E-4</v>
      </c>
      <c r="R857" s="4">
        <f t="shared" si="55"/>
        <v>6.4385282587153866E-3</v>
      </c>
      <c r="S857" s="4">
        <f t="shared" si="55"/>
        <v>1.6672860288929437E-2</v>
      </c>
      <c r="T857" s="4">
        <f t="shared" si="55"/>
        <v>1.9171231869852569E-2</v>
      </c>
      <c r="U857" s="35"/>
      <c r="V857" s="35"/>
      <c r="W857" s="35"/>
      <c r="X857" s="35"/>
    </row>
    <row r="858" spans="4:24" x14ac:dyDescent="0.3">
      <c r="D858" s="23">
        <v>40823</v>
      </c>
      <c r="E858" s="5">
        <v>91.740356000000006</v>
      </c>
      <c r="F858" s="28">
        <v>59.08202</v>
      </c>
      <c r="G858" s="28">
        <v>159.18</v>
      </c>
      <c r="H858" s="28">
        <v>48.15099</v>
      </c>
      <c r="I858" s="28">
        <v>46.984960000000001</v>
      </c>
      <c r="J858" s="29"/>
      <c r="K858" s="29"/>
      <c r="L858" s="29"/>
      <c r="M858" s="29"/>
      <c r="N858" s="29"/>
      <c r="P858" s="4">
        <f t="shared" si="55"/>
        <v>-6.7184921428777265E-3</v>
      </c>
      <c r="Q858" s="4">
        <f t="shared" si="55"/>
        <v>-2.1646429890404468E-3</v>
      </c>
      <c r="R858" s="4">
        <f t="shared" si="55"/>
        <v>-8.1959979553615694E-3</v>
      </c>
      <c r="S858" s="4">
        <f t="shared" si="55"/>
        <v>-6.6359480285486435E-3</v>
      </c>
      <c r="T858" s="4">
        <f t="shared" si="55"/>
        <v>-9.1155128049210509E-3</v>
      </c>
      <c r="U858" s="35"/>
      <c r="V858" s="35"/>
      <c r="W858" s="35"/>
      <c r="X858" s="35"/>
    </row>
    <row r="859" spans="4:24" x14ac:dyDescent="0.3">
      <c r="D859" s="23">
        <v>40826</v>
      </c>
      <c r="E859" s="5">
        <v>94.808700999999999</v>
      </c>
      <c r="F859" s="28">
        <v>58.996690000000001</v>
      </c>
      <c r="G859" s="28">
        <v>163.27000000000001</v>
      </c>
      <c r="H859" s="28">
        <v>49.816279999999999</v>
      </c>
      <c r="I859" s="28">
        <v>48.602379999999997</v>
      </c>
      <c r="J859" s="29"/>
      <c r="K859" s="29"/>
      <c r="L859" s="29"/>
      <c r="M859" s="29"/>
      <c r="N859" s="29"/>
      <c r="P859" s="4">
        <f t="shared" si="55"/>
        <v>3.2898818056188904E-2</v>
      </c>
      <c r="Q859" s="4">
        <f t="shared" si="55"/>
        <v>-1.4453073691932427E-3</v>
      </c>
      <c r="R859" s="4">
        <f t="shared" si="55"/>
        <v>2.5369634760369745E-2</v>
      </c>
      <c r="S859" s="4">
        <f t="shared" si="55"/>
        <v>3.4000139458043616E-2</v>
      </c>
      <c r="T859" s="4">
        <f t="shared" si="55"/>
        <v>3.3844950401680632E-2</v>
      </c>
      <c r="U859" s="35"/>
      <c r="V859" s="35"/>
      <c r="W859" s="35"/>
      <c r="X859" s="35"/>
    </row>
    <row r="860" spans="4:24" x14ac:dyDescent="0.3">
      <c r="D860" s="23">
        <v>40827</v>
      </c>
      <c r="E860" s="5">
        <v>94.903839000000005</v>
      </c>
      <c r="F860" s="28">
        <v>58.968240000000002</v>
      </c>
      <c r="G860" s="28">
        <v>162.1</v>
      </c>
      <c r="H860" s="28">
        <v>50.154690000000002</v>
      </c>
      <c r="I860" s="28">
        <v>48.642220000000002</v>
      </c>
      <c r="J860" s="29"/>
      <c r="K860" s="29"/>
      <c r="L860" s="29"/>
      <c r="M860" s="29"/>
      <c r="N860" s="29"/>
      <c r="P860" s="4">
        <f t="shared" si="55"/>
        <v>1.0029701565888482E-3</v>
      </c>
      <c r="Q860" s="4">
        <f t="shared" si="55"/>
        <v>-4.8234675426997339E-4</v>
      </c>
      <c r="R860" s="4">
        <f t="shared" si="55"/>
        <v>-7.1918433964427101E-3</v>
      </c>
      <c r="S860" s="4">
        <f t="shared" si="55"/>
        <v>6.7701912384768425E-3</v>
      </c>
      <c r="T860" s="4">
        <f t="shared" si="55"/>
        <v>8.1937716292699626E-4</v>
      </c>
      <c r="U860" s="35"/>
      <c r="V860" s="35"/>
      <c r="W860" s="35"/>
      <c r="X860" s="35"/>
    </row>
    <row r="861" spans="4:24" x14ac:dyDescent="0.3">
      <c r="D861" s="23">
        <v>40828</v>
      </c>
      <c r="E861" s="5">
        <v>95.736328</v>
      </c>
      <c r="F861" s="28">
        <v>58.954030000000003</v>
      </c>
      <c r="G861" s="28">
        <v>163.26</v>
      </c>
      <c r="H861" s="28">
        <v>50.404029999999999</v>
      </c>
      <c r="I861" s="28">
        <v>49.104340000000001</v>
      </c>
      <c r="J861" s="29"/>
      <c r="K861" s="29"/>
      <c r="L861" s="29"/>
      <c r="M861" s="29"/>
      <c r="N861" s="29"/>
      <c r="P861" s="4">
        <f t="shared" si="55"/>
        <v>8.7336714475434504E-3</v>
      </c>
      <c r="Q861" s="4">
        <f t="shared" si="55"/>
        <v>-2.4100621653190692E-4</v>
      </c>
      <c r="R861" s="4">
        <f t="shared" si="55"/>
        <v>7.1305932815795281E-3</v>
      </c>
      <c r="S861" s="4">
        <f t="shared" si="55"/>
        <v>4.9591027211782074E-3</v>
      </c>
      <c r="T861" s="4">
        <f t="shared" si="55"/>
        <v>9.4555438691729127E-3</v>
      </c>
      <c r="U861" s="35"/>
      <c r="V861" s="35"/>
      <c r="W861" s="35"/>
      <c r="X861" s="35"/>
    </row>
    <row r="862" spans="4:24" x14ac:dyDescent="0.3">
      <c r="D862" s="23">
        <v>40829</v>
      </c>
      <c r="E862" s="5">
        <v>95.546065999999996</v>
      </c>
      <c r="F862" s="28">
        <v>59.025120000000001</v>
      </c>
      <c r="G862" s="28">
        <v>162.30000000000001</v>
      </c>
      <c r="H862" s="28">
        <v>50.86712</v>
      </c>
      <c r="I862" s="28">
        <v>49.040610000000001</v>
      </c>
      <c r="J862" s="29"/>
      <c r="K862" s="29"/>
      <c r="L862" s="29"/>
      <c r="M862" s="29"/>
      <c r="N862" s="29"/>
      <c r="P862" s="4">
        <f t="shared" si="55"/>
        <v>-1.9893316762428386E-3</v>
      </c>
      <c r="Q862" s="4">
        <f t="shared" si="55"/>
        <v>1.2051283401154603E-3</v>
      </c>
      <c r="R862" s="4">
        <f t="shared" si="55"/>
        <v>-5.8975475026642986E-3</v>
      </c>
      <c r="S862" s="4">
        <f t="shared" si="55"/>
        <v>9.1456101331348679E-3</v>
      </c>
      <c r="T862" s="4">
        <f t="shared" si="55"/>
        <v>-1.2986915568706772E-3</v>
      </c>
      <c r="U862" s="35"/>
      <c r="V862" s="35"/>
      <c r="W862" s="35"/>
      <c r="X862" s="35"/>
    </row>
    <row r="863" spans="4:24" x14ac:dyDescent="0.3">
      <c r="D863" s="23">
        <v>40830</v>
      </c>
      <c r="E863" s="5">
        <v>97.179337000000004</v>
      </c>
      <c r="F863" s="28">
        <v>58.91845</v>
      </c>
      <c r="G863" s="28">
        <v>163.4</v>
      </c>
      <c r="H863" s="28">
        <v>51.811070000000001</v>
      </c>
      <c r="I863" s="28">
        <v>49.932969999999997</v>
      </c>
      <c r="J863" s="29"/>
      <c r="K863" s="29"/>
      <c r="L863" s="29"/>
      <c r="M863" s="29"/>
      <c r="N863" s="29"/>
      <c r="P863" s="4">
        <f t="shared" si="55"/>
        <v>1.6949608885532656E-2</v>
      </c>
      <c r="Q863" s="4">
        <f t="shared" si="55"/>
        <v>-1.8088316147156056E-3</v>
      </c>
      <c r="R863" s="4">
        <f t="shared" si="55"/>
        <v>6.7547079053569183E-3</v>
      </c>
      <c r="S863" s="4">
        <f t="shared" si="55"/>
        <v>1.8387090665886872E-2</v>
      </c>
      <c r="T863" s="4">
        <f t="shared" si="55"/>
        <v>1.803277564400205E-2</v>
      </c>
      <c r="U863" s="35"/>
      <c r="V863" s="35"/>
      <c r="W863" s="35"/>
      <c r="X863" s="35"/>
    </row>
    <row r="864" spans="4:24" x14ac:dyDescent="0.3">
      <c r="D864" s="23">
        <v>40833</v>
      </c>
      <c r="E864" s="5">
        <v>95.324036000000007</v>
      </c>
      <c r="F864" s="28">
        <v>59.124740000000003</v>
      </c>
      <c r="G864" s="28">
        <v>162.62</v>
      </c>
      <c r="H864" s="28">
        <v>51.009590000000003</v>
      </c>
      <c r="I864" s="28">
        <v>48.921080000000003</v>
      </c>
      <c r="J864" s="29"/>
      <c r="K864" s="29"/>
      <c r="L864" s="29"/>
      <c r="M864" s="29"/>
      <c r="N864" s="29"/>
      <c r="P864" s="4">
        <f t="shared" si="55"/>
        <v>-1.9276113642648168E-2</v>
      </c>
      <c r="Q864" s="4">
        <f t="shared" si="55"/>
        <v>3.4951649477829813E-3</v>
      </c>
      <c r="R864" s="4">
        <f t="shared" si="55"/>
        <v>-4.784991646211093E-3</v>
      </c>
      <c r="S864" s="4">
        <f t="shared" si="55"/>
        <v>-1.5590178734294318E-2</v>
      </c>
      <c r="T864" s="4">
        <f t="shared" si="55"/>
        <v>-2.0473118584583831E-2</v>
      </c>
      <c r="U864" s="35"/>
      <c r="V864" s="35"/>
      <c r="W864" s="35"/>
      <c r="X864" s="35"/>
    </row>
    <row r="865" spans="4:24" x14ac:dyDescent="0.3">
      <c r="D865" s="23">
        <v>40834</v>
      </c>
      <c r="E865" s="5">
        <v>97.187241</v>
      </c>
      <c r="F865" s="28">
        <v>59.06073</v>
      </c>
      <c r="G865" s="28">
        <v>161.84</v>
      </c>
      <c r="H865" s="28">
        <v>51.6419</v>
      </c>
      <c r="I865" s="28">
        <v>49.90907</v>
      </c>
      <c r="J865" s="29"/>
      <c r="K865" s="29"/>
      <c r="L865" s="29"/>
      <c r="M865" s="29"/>
      <c r="N865" s="29"/>
      <c r="P865" s="4">
        <f t="shared" si="55"/>
        <v>1.9357444497836225E-2</v>
      </c>
      <c r="Q865" s="4">
        <f t="shared" si="55"/>
        <v>-1.0832127884899735E-3</v>
      </c>
      <c r="R865" s="4">
        <f t="shared" si="55"/>
        <v>-4.8079979202014502E-3</v>
      </c>
      <c r="S865" s="4">
        <f t="shared" si="55"/>
        <v>1.2319704222313073E-2</v>
      </c>
      <c r="T865" s="4">
        <f t="shared" si="55"/>
        <v>1.9994362332077392E-2</v>
      </c>
      <c r="U865" s="35"/>
      <c r="V865" s="35"/>
      <c r="W865" s="35"/>
      <c r="X865" s="35"/>
    </row>
    <row r="866" spans="4:24" x14ac:dyDescent="0.3">
      <c r="D866" s="23">
        <v>40835</v>
      </c>
      <c r="E866" s="5">
        <v>96.037589999999994</v>
      </c>
      <c r="F866" s="28">
        <v>59.217129999999997</v>
      </c>
      <c r="G866" s="28">
        <v>159.87</v>
      </c>
      <c r="H866" s="28">
        <v>50.644489999999998</v>
      </c>
      <c r="I866" s="28">
        <v>49.247750000000003</v>
      </c>
      <c r="J866" s="29"/>
      <c r="K866" s="29"/>
      <c r="L866" s="29"/>
      <c r="M866" s="29"/>
      <c r="N866" s="29"/>
      <c r="P866" s="4">
        <f t="shared" si="55"/>
        <v>-1.189976009098759E-2</v>
      </c>
      <c r="Q866" s="4">
        <f t="shared" si="55"/>
        <v>2.6446215911485392E-3</v>
      </c>
      <c r="R866" s="4">
        <f t="shared" si="55"/>
        <v>-1.2247207882689421E-2</v>
      </c>
      <c r="S866" s="4">
        <f t="shared" si="55"/>
        <v>-1.9502919492875706E-2</v>
      </c>
      <c r="T866" s="4">
        <f t="shared" si="55"/>
        <v>-1.3339068472232639E-2</v>
      </c>
      <c r="U866" s="35"/>
      <c r="V866" s="35"/>
      <c r="W866" s="35"/>
      <c r="X866" s="35"/>
    </row>
    <row r="867" spans="4:24" x14ac:dyDescent="0.3">
      <c r="D867" s="23">
        <v>40836</v>
      </c>
      <c r="E867" s="5">
        <v>96.457802000000001</v>
      </c>
      <c r="F867" s="28">
        <v>59.188670000000002</v>
      </c>
      <c r="G867" s="28">
        <v>157.77000000000001</v>
      </c>
      <c r="H867" s="28">
        <v>50.395139999999998</v>
      </c>
      <c r="I867" s="28">
        <v>49.470849999999999</v>
      </c>
      <c r="J867" s="29"/>
      <c r="K867" s="29"/>
      <c r="L867" s="29"/>
      <c r="M867" s="29"/>
      <c r="N867" s="29"/>
      <c r="P867" s="4">
        <f t="shared" si="55"/>
        <v>4.3659504066450817E-3</v>
      </c>
      <c r="Q867" s="4">
        <f t="shared" si="55"/>
        <v>-4.8071970373181214E-4</v>
      </c>
      <c r="R867" s="4">
        <f t="shared" si="55"/>
        <v>-1.3222708707438052E-2</v>
      </c>
      <c r="S867" s="4">
        <f t="shared" si="55"/>
        <v>-4.9356971359313445E-3</v>
      </c>
      <c r="T867" s="4">
        <f t="shared" si="55"/>
        <v>4.5199259272842209E-3</v>
      </c>
      <c r="U867" s="35"/>
      <c r="V867" s="35"/>
      <c r="W867" s="35"/>
      <c r="X867" s="35"/>
    </row>
    <row r="868" spans="4:24" x14ac:dyDescent="0.3">
      <c r="D868" s="23">
        <v>40837</v>
      </c>
      <c r="E868" s="5">
        <v>98.289283999999995</v>
      </c>
      <c r="F868" s="28">
        <v>59.09628</v>
      </c>
      <c r="G868" s="28">
        <v>159.52000000000001</v>
      </c>
      <c r="H868" s="28">
        <v>51.027410000000003</v>
      </c>
      <c r="I868" s="28">
        <v>50.40307</v>
      </c>
      <c r="J868" s="29"/>
      <c r="K868" s="29"/>
      <c r="L868" s="29"/>
      <c r="M868" s="29"/>
      <c r="N868" s="29"/>
      <c r="P868" s="4">
        <f t="shared" si="55"/>
        <v>1.8809380252034175E-2</v>
      </c>
      <c r="Q868" s="4">
        <f t="shared" si="55"/>
        <v>-1.5621601698038107E-3</v>
      </c>
      <c r="R868" s="4">
        <f t="shared" si="55"/>
        <v>1.1031029944165625E-2</v>
      </c>
      <c r="S868" s="4">
        <f t="shared" si="55"/>
        <v>1.2468197473306367E-2</v>
      </c>
      <c r="T868" s="4">
        <f t="shared" si="55"/>
        <v>1.8668478698042196E-2</v>
      </c>
      <c r="U868" s="35"/>
      <c r="V868" s="35"/>
      <c r="W868" s="35"/>
      <c r="X868" s="35"/>
    </row>
    <row r="869" spans="4:24" x14ac:dyDescent="0.3">
      <c r="D869" s="23">
        <v>40840</v>
      </c>
      <c r="E869" s="5">
        <v>99.494438000000002</v>
      </c>
      <c r="F869" s="28">
        <v>59.138939999999998</v>
      </c>
      <c r="G869" s="28">
        <v>161.02000000000001</v>
      </c>
      <c r="H869" s="28">
        <v>52.087150000000001</v>
      </c>
      <c r="I869" s="28">
        <v>51.247619999999998</v>
      </c>
      <c r="J869" s="29"/>
      <c r="K869" s="29"/>
      <c r="L869" s="29"/>
      <c r="M869" s="29"/>
      <c r="N869" s="29"/>
      <c r="P869" s="4">
        <f t="shared" ref="P869:T884" si="56">LN(E869/E868)</f>
        <v>1.2186735118699185E-2</v>
      </c>
      <c r="Q869" s="4">
        <f t="shared" si="56"/>
        <v>7.2161242396600429E-4</v>
      </c>
      <c r="R869" s="4">
        <f t="shared" si="56"/>
        <v>9.3592746583065697E-3</v>
      </c>
      <c r="S869" s="4">
        <f t="shared" si="56"/>
        <v>2.0555337933885962E-2</v>
      </c>
      <c r="T869" s="4">
        <f t="shared" si="56"/>
        <v>1.6617091995169871E-2</v>
      </c>
      <c r="U869" s="35"/>
      <c r="V869" s="35"/>
      <c r="W869" s="35"/>
      <c r="X869" s="35"/>
    </row>
    <row r="870" spans="4:24" x14ac:dyDescent="0.3">
      <c r="D870" s="23">
        <v>40841</v>
      </c>
      <c r="E870" s="5">
        <v>97.559882999999999</v>
      </c>
      <c r="F870" s="28">
        <v>59.444679999999998</v>
      </c>
      <c r="G870" s="28">
        <v>165.59</v>
      </c>
      <c r="H870" s="28">
        <v>51.063029999999998</v>
      </c>
      <c r="I870" s="28">
        <v>50.203870000000002</v>
      </c>
      <c r="J870" s="29"/>
      <c r="K870" s="29"/>
      <c r="L870" s="29"/>
      <c r="M870" s="29"/>
      <c r="N870" s="29"/>
      <c r="P870" s="4">
        <f t="shared" si="56"/>
        <v>-1.9635369019616704E-2</v>
      </c>
      <c r="Q870" s="4">
        <f t="shared" si="56"/>
        <v>5.1565414762433301E-3</v>
      </c>
      <c r="R870" s="4">
        <f t="shared" si="56"/>
        <v>2.7986272782558157E-2</v>
      </c>
      <c r="S870" s="4">
        <f t="shared" si="56"/>
        <v>-1.9857525260233093E-2</v>
      </c>
      <c r="T870" s="4">
        <f t="shared" si="56"/>
        <v>-2.0577062556059924E-2</v>
      </c>
      <c r="U870" s="35"/>
      <c r="V870" s="35"/>
      <c r="W870" s="35"/>
      <c r="X870" s="35"/>
    </row>
    <row r="871" spans="4:24" x14ac:dyDescent="0.3">
      <c r="D871" s="23">
        <v>40842</v>
      </c>
      <c r="E871" s="5">
        <v>98.550926000000004</v>
      </c>
      <c r="F871" s="28">
        <v>59.295369999999998</v>
      </c>
      <c r="G871" s="28">
        <v>167.4</v>
      </c>
      <c r="H871" s="28">
        <v>51.000700000000002</v>
      </c>
      <c r="I871" s="28">
        <v>50.745669999999997</v>
      </c>
      <c r="J871" s="29"/>
      <c r="K871" s="29"/>
      <c r="L871" s="29"/>
      <c r="M871" s="29"/>
      <c r="N871" s="29"/>
      <c r="P871" s="4">
        <f t="shared" si="56"/>
        <v>1.0107055715137659E-2</v>
      </c>
      <c r="Q871" s="4">
        <f t="shared" si="56"/>
        <v>-2.5149067849604438E-3</v>
      </c>
      <c r="R871" s="4">
        <f t="shared" si="56"/>
        <v>1.0871304400982135E-2</v>
      </c>
      <c r="S871" s="4">
        <f t="shared" si="56"/>
        <v>-1.2213938829919665E-3</v>
      </c>
      <c r="T871" s="4">
        <f t="shared" si="56"/>
        <v>1.0734178725134913E-2</v>
      </c>
      <c r="U871" s="35"/>
      <c r="V871" s="35"/>
      <c r="W871" s="35"/>
      <c r="X871" s="35"/>
    </row>
    <row r="872" spans="4:24" x14ac:dyDescent="0.3">
      <c r="D872" s="23">
        <v>40843</v>
      </c>
      <c r="E872" s="5">
        <v>101.98397799999999</v>
      </c>
      <c r="F872" s="28">
        <v>58.989570000000001</v>
      </c>
      <c r="G872" s="28">
        <v>169.55</v>
      </c>
      <c r="H872" s="28">
        <v>52.407719999999998</v>
      </c>
      <c r="I872" s="28">
        <v>52.498559999999998</v>
      </c>
      <c r="J872" s="29"/>
      <c r="K872" s="29"/>
      <c r="L872" s="29"/>
      <c r="M872" s="29"/>
      <c r="N872" s="29"/>
      <c r="P872" s="4">
        <f t="shared" si="56"/>
        <v>3.4242292714644143E-2</v>
      </c>
      <c r="Q872" s="4">
        <f t="shared" si="56"/>
        <v>-5.1705767664615336E-3</v>
      </c>
      <c r="R872" s="4">
        <f t="shared" si="56"/>
        <v>1.2761710516272638E-2</v>
      </c>
      <c r="S872" s="4">
        <f t="shared" si="56"/>
        <v>2.7214550599203056E-2</v>
      </c>
      <c r="T872" s="4">
        <f t="shared" si="56"/>
        <v>3.3959446565102004E-2</v>
      </c>
      <c r="U872" s="35"/>
      <c r="V872" s="35"/>
      <c r="W872" s="35"/>
      <c r="X872" s="35"/>
    </row>
    <row r="873" spans="4:24" x14ac:dyDescent="0.3">
      <c r="D873" s="23">
        <v>40844</v>
      </c>
      <c r="E873" s="5">
        <v>101.960159</v>
      </c>
      <c r="F873" s="28">
        <v>59.202919999999999</v>
      </c>
      <c r="G873" s="28">
        <v>169.62</v>
      </c>
      <c r="H873" s="28">
        <v>52.48789</v>
      </c>
      <c r="I873" s="28">
        <v>52.546329999999998</v>
      </c>
      <c r="J873" s="29"/>
      <c r="K873" s="29"/>
      <c r="L873" s="29"/>
      <c r="M873" s="29"/>
      <c r="N873" s="29"/>
      <c r="P873" s="4">
        <f t="shared" si="56"/>
        <v>-2.3358357301820563E-4</v>
      </c>
      <c r="Q873" s="4">
        <f t="shared" si="56"/>
        <v>3.6102163805433801E-3</v>
      </c>
      <c r="R873" s="4">
        <f t="shared" si="56"/>
        <v>4.127723619062072E-4</v>
      </c>
      <c r="S873" s="4">
        <f t="shared" si="56"/>
        <v>1.5285676037327272E-3</v>
      </c>
      <c r="T873" s="4">
        <f t="shared" si="56"/>
        <v>9.0951598489028441E-4</v>
      </c>
      <c r="U873" s="35"/>
      <c r="V873" s="35"/>
      <c r="W873" s="35"/>
      <c r="X873" s="35"/>
    </row>
    <row r="874" spans="4:24" x14ac:dyDescent="0.3">
      <c r="D874" s="23">
        <v>40847</v>
      </c>
      <c r="E874" s="5">
        <v>99.502350000000007</v>
      </c>
      <c r="F874" s="28">
        <v>59.466059999999999</v>
      </c>
      <c r="G874" s="28">
        <v>167.34</v>
      </c>
      <c r="H874" s="28">
        <v>51.606250000000003</v>
      </c>
      <c r="I874" s="28">
        <v>51.215760000000003</v>
      </c>
      <c r="J874" s="29"/>
      <c r="K874" s="29"/>
      <c r="L874" s="29"/>
      <c r="M874" s="29"/>
      <c r="N874" s="29"/>
      <c r="P874" s="4">
        <f t="shared" si="56"/>
        <v>-2.4400876965674705E-2</v>
      </c>
      <c r="Q874" s="4">
        <f t="shared" si="56"/>
        <v>4.4348646341588064E-3</v>
      </c>
      <c r="R874" s="4">
        <f t="shared" si="56"/>
        <v>-1.3532970066101423E-2</v>
      </c>
      <c r="S874" s="4">
        <f t="shared" si="56"/>
        <v>-1.6939687139662405E-2</v>
      </c>
      <c r="T874" s="4">
        <f t="shared" si="56"/>
        <v>-2.5647959453955697E-2</v>
      </c>
      <c r="U874" s="35"/>
      <c r="V874" s="35"/>
      <c r="W874" s="35"/>
      <c r="X874" s="35"/>
    </row>
    <row r="875" spans="4:24" x14ac:dyDescent="0.3">
      <c r="D875" s="23">
        <v>40848</v>
      </c>
      <c r="E875" s="5">
        <v>96.727363999999994</v>
      </c>
      <c r="F875" s="28">
        <v>59.908079999999998</v>
      </c>
      <c r="G875" s="28">
        <v>167.38</v>
      </c>
      <c r="H875" s="28">
        <v>50.261569999999999</v>
      </c>
      <c r="I875" s="28">
        <v>49.853290000000001</v>
      </c>
      <c r="J875" s="29"/>
      <c r="K875" s="29"/>
      <c r="L875" s="29"/>
      <c r="M875" s="29"/>
      <c r="N875" s="29"/>
      <c r="P875" s="4">
        <f t="shared" si="56"/>
        <v>-2.8284921264300301E-2</v>
      </c>
      <c r="Q875" s="4">
        <f t="shared" si="56"/>
        <v>7.405657878136334E-3</v>
      </c>
      <c r="R875" s="4">
        <f t="shared" si="56"/>
        <v>2.3900573727540241E-4</v>
      </c>
      <c r="S875" s="4">
        <f t="shared" si="56"/>
        <v>-2.6402019991374405E-2</v>
      </c>
      <c r="T875" s="4">
        <f t="shared" si="56"/>
        <v>-2.6962804956856438E-2</v>
      </c>
      <c r="U875" s="35"/>
      <c r="V875" s="35"/>
      <c r="W875" s="35"/>
      <c r="X875" s="35"/>
    </row>
    <row r="876" spans="4:24" x14ac:dyDescent="0.3">
      <c r="D876" s="23">
        <v>40849</v>
      </c>
      <c r="E876" s="5">
        <v>98.305144999999996</v>
      </c>
      <c r="F876" s="28">
        <v>59.87238</v>
      </c>
      <c r="G876" s="28">
        <v>169.06</v>
      </c>
      <c r="H876" s="28">
        <v>50.689</v>
      </c>
      <c r="I876" s="28">
        <v>50.673949999999998</v>
      </c>
      <c r="J876" s="29"/>
      <c r="K876" s="29"/>
      <c r="L876" s="29"/>
      <c r="M876" s="29"/>
      <c r="N876" s="29"/>
      <c r="P876" s="4">
        <f t="shared" si="56"/>
        <v>1.6180024847841413E-2</v>
      </c>
      <c r="Q876" s="4">
        <f t="shared" si="56"/>
        <v>-5.9609056530734149E-4</v>
      </c>
      <c r="R876" s="4">
        <f t="shared" si="56"/>
        <v>9.9870048960536504E-3</v>
      </c>
      <c r="S876" s="4">
        <f t="shared" si="56"/>
        <v>8.4681553404818977E-3</v>
      </c>
      <c r="T876" s="4">
        <f t="shared" si="56"/>
        <v>1.6327479623067888E-2</v>
      </c>
      <c r="U876" s="35"/>
      <c r="V876" s="35"/>
      <c r="W876" s="35"/>
      <c r="X876" s="35"/>
    </row>
    <row r="877" spans="4:24" x14ac:dyDescent="0.3">
      <c r="D877" s="23">
        <v>40850</v>
      </c>
      <c r="E877" s="5">
        <v>100.09699999999999</v>
      </c>
      <c r="F877" s="28">
        <v>59.72269</v>
      </c>
      <c r="G877" s="28">
        <v>171.72</v>
      </c>
      <c r="H877" s="28">
        <v>51.739829999999998</v>
      </c>
      <c r="I877" s="28">
        <v>51.661949999999997</v>
      </c>
      <c r="J877" s="29"/>
      <c r="K877" s="29"/>
      <c r="L877" s="29"/>
      <c r="M877" s="29"/>
      <c r="N877" s="29"/>
      <c r="P877" s="4">
        <f t="shared" si="56"/>
        <v>1.8063350282456689E-2</v>
      </c>
      <c r="Q877" s="4">
        <f t="shared" si="56"/>
        <v>-2.5032817518038991E-3</v>
      </c>
      <c r="R877" s="4">
        <f t="shared" si="56"/>
        <v>1.5611561855578143E-2</v>
      </c>
      <c r="S877" s="4">
        <f t="shared" si="56"/>
        <v>2.0518966560711473E-2</v>
      </c>
      <c r="T877" s="4">
        <f t="shared" si="56"/>
        <v>1.9309561914215602E-2</v>
      </c>
      <c r="U877" s="35"/>
      <c r="V877" s="35"/>
      <c r="W877" s="35"/>
      <c r="X877" s="35"/>
    </row>
    <row r="878" spans="4:24" x14ac:dyDescent="0.3">
      <c r="D878" s="23">
        <v>40851</v>
      </c>
      <c r="E878" s="5">
        <v>99.486496000000002</v>
      </c>
      <c r="F878" s="28">
        <v>59.808239999999998</v>
      </c>
      <c r="G878" s="28">
        <v>170.85</v>
      </c>
      <c r="H878" s="28">
        <v>51.472659999999998</v>
      </c>
      <c r="I878" s="28">
        <v>51.38306</v>
      </c>
      <c r="J878" s="29"/>
      <c r="K878" s="29"/>
      <c r="L878" s="29"/>
      <c r="M878" s="29"/>
      <c r="N878" s="29"/>
      <c r="P878" s="4">
        <f t="shared" si="56"/>
        <v>-6.1177994811138225E-3</v>
      </c>
      <c r="Q878" s="4">
        <f t="shared" si="56"/>
        <v>1.4314289131287692E-3</v>
      </c>
      <c r="R878" s="4">
        <f t="shared" si="56"/>
        <v>-5.0792647950590923E-3</v>
      </c>
      <c r="S878" s="4">
        <f t="shared" si="56"/>
        <v>-5.1770981735179203E-3</v>
      </c>
      <c r="T878" s="4">
        <f t="shared" si="56"/>
        <v>-5.4129876054393828E-3</v>
      </c>
      <c r="U878" s="35"/>
      <c r="V878" s="35"/>
      <c r="W878" s="35"/>
      <c r="X878" s="35"/>
    </row>
    <row r="879" spans="4:24" x14ac:dyDescent="0.3">
      <c r="D879" s="23">
        <v>40854</v>
      </c>
      <c r="E879" s="5">
        <v>100.104904</v>
      </c>
      <c r="F879" s="28">
        <v>59.822560000000003</v>
      </c>
      <c r="G879" s="28">
        <v>174.98</v>
      </c>
      <c r="H879" s="28">
        <v>51.837780000000002</v>
      </c>
      <c r="I879" s="28">
        <v>51.646000000000001</v>
      </c>
      <c r="J879" s="29"/>
      <c r="K879" s="29"/>
      <c r="L879" s="29"/>
      <c r="M879" s="29"/>
      <c r="N879" s="29"/>
      <c r="P879" s="4">
        <f t="shared" si="56"/>
        <v>6.1967597691650082E-3</v>
      </c>
      <c r="Q879" s="4">
        <f t="shared" si="56"/>
        <v>2.3940323174972598E-4</v>
      </c>
      <c r="R879" s="4">
        <f t="shared" si="56"/>
        <v>2.3885703116817647E-2</v>
      </c>
      <c r="S879" s="4">
        <f t="shared" si="56"/>
        <v>7.0684341330656776E-3</v>
      </c>
      <c r="T879" s="4">
        <f t="shared" si="56"/>
        <v>5.10420207389545E-3</v>
      </c>
      <c r="U879" s="35"/>
      <c r="V879" s="35"/>
      <c r="W879" s="35"/>
      <c r="X879" s="35"/>
    </row>
    <row r="880" spans="4:24" x14ac:dyDescent="0.3">
      <c r="D880" s="23">
        <v>40855</v>
      </c>
      <c r="E880" s="5">
        <v>101.38932</v>
      </c>
      <c r="F880" s="28">
        <v>59.637129999999999</v>
      </c>
      <c r="G880" s="28">
        <v>173.53</v>
      </c>
      <c r="H880" s="28">
        <v>52.434449999999998</v>
      </c>
      <c r="I880" s="28">
        <v>52.267479999999999</v>
      </c>
      <c r="J880" s="29"/>
      <c r="K880" s="29"/>
      <c r="L880" s="29"/>
      <c r="M880" s="29"/>
      <c r="N880" s="29"/>
      <c r="P880" s="4">
        <f t="shared" si="56"/>
        <v>1.2749084036036067E-2</v>
      </c>
      <c r="Q880" s="4">
        <f t="shared" si="56"/>
        <v>-3.1044806650357862E-3</v>
      </c>
      <c r="R880" s="4">
        <f t="shared" si="56"/>
        <v>-8.3211865757060119E-3</v>
      </c>
      <c r="S880" s="4">
        <f t="shared" si="56"/>
        <v>1.1444591001311948E-2</v>
      </c>
      <c r="T880" s="4">
        <f t="shared" si="56"/>
        <v>1.1961632121815745E-2</v>
      </c>
      <c r="U880" s="35"/>
      <c r="V880" s="35"/>
      <c r="W880" s="35"/>
      <c r="X880" s="35"/>
    </row>
    <row r="881" spans="4:24" x14ac:dyDescent="0.3">
      <c r="D881" s="23">
        <v>40856</v>
      </c>
      <c r="E881" s="5">
        <v>97.647079000000005</v>
      </c>
      <c r="F881" s="28">
        <v>59.708440000000003</v>
      </c>
      <c r="G881" s="28">
        <v>172.07</v>
      </c>
      <c r="H881" s="28">
        <v>50.591050000000003</v>
      </c>
      <c r="I881" s="28">
        <v>50.275579999999998</v>
      </c>
      <c r="J881" s="29"/>
      <c r="K881" s="29"/>
      <c r="L881" s="29"/>
      <c r="M881" s="29"/>
      <c r="N881" s="29"/>
      <c r="P881" s="4">
        <f t="shared" si="56"/>
        <v>-3.76080162453242E-2</v>
      </c>
      <c r="Q881" s="4">
        <f t="shared" si="56"/>
        <v>1.1950172676923544E-3</v>
      </c>
      <c r="R881" s="4">
        <f t="shared" si="56"/>
        <v>-8.4491243373462383E-3</v>
      </c>
      <c r="S881" s="4">
        <f t="shared" si="56"/>
        <v>-3.5789134875880632E-2</v>
      </c>
      <c r="T881" s="4">
        <f t="shared" si="56"/>
        <v>-3.8854908210462072E-2</v>
      </c>
      <c r="U881" s="35"/>
      <c r="V881" s="35"/>
      <c r="W881" s="35"/>
      <c r="X881" s="35"/>
    </row>
    <row r="882" spans="4:24" x14ac:dyDescent="0.3">
      <c r="D882" s="23">
        <v>40857</v>
      </c>
      <c r="E882" s="5">
        <v>98.566794999999999</v>
      </c>
      <c r="F882" s="28">
        <v>59.637129999999999</v>
      </c>
      <c r="G882" s="28">
        <v>171.14</v>
      </c>
      <c r="H882" s="28">
        <v>50.564320000000002</v>
      </c>
      <c r="I882" s="28">
        <v>50.721769999999999</v>
      </c>
      <c r="J882" s="29"/>
      <c r="K882" s="29"/>
      <c r="L882" s="29"/>
      <c r="M882" s="29"/>
      <c r="N882" s="29"/>
      <c r="P882" s="4">
        <f t="shared" si="56"/>
        <v>9.3746962638821488E-3</v>
      </c>
      <c r="Q882" s="4">
        <f t="shared" si="56"/>
        <v>-1.195017267692284E-3</v>
      </c>
      <c r="R882" s="4">
        <f t="shared" si="56"/>
        <v>-5.4194357751576024E-3</v>
      </c>
      <c r="S882" s="4">
        <f t="shared" si="56"/>
        <v>-5.2849395187140309E-4</v>
      </c>
      <c r="T882" s="4">
        <f t="shared" si="56"/>
        <v>8.8357348552576195E-3</v>
      </c>
      <c r="U882" s="35"/>
      <c r="V882" s="35"/>
      <c r="W882" s="35"/>
      <c r="X882" s="35"/>
    </row>
    <row r="883" spans="4:24" x14ac:dyDescent="0.3">
      <c r="D883" s="23">
        <v>40858</v>
      </c>
      <c r="E883" s="5">
        <v>100.42205</v>
      </c>
      <c r="F883" s="28">
        <v>59.594349999999999</v>
      </c>
      <c r="G883" s="28">
        <v>173.96</v>
      </c>
      <c r="H883" s="28">
        <v>51.517189999999999</v>
      </c>
      <c r="I883" s="28">
        <v>51.725679999999997</v>
      </c>
      <c r="J883" s="29"/>
      <c r="K883" s="29"/>
      <c r="L883" s="29"/>
      <c r="M883" s="29"/>
      <c r="N883" s="29"/>
      <c r="P883" s="4">
        <f t="shared" si="56"/>
        <v>1.8647364473559035E-2</v>
      </c>
      <c r="Q883" s="4">
        <f t="shared" si="56"/>
        <v>-7.1759575299696786E-4</v>
      </c>
      <c r="R883" s="4">
        <f t="shared" si="56"/>
        <v>1.6343452739528922E-2</v>
      </c>
      <c r="S883" s="4">
        <f t="shared" si="56"/>
        <v>1.8669349156639255E-2</v>
      </c>
      <c r="T883" s="4">
        <f t="shared" si="56"/>
        <v>1.9599162996343674E-2</v>
      </c>
      <c r="U883" s="35"/>
      <c r="V883" s="35"/>
      <c r="W883" s="35"/>
      <c r="X883" s="35"/>
    </row>
    <row r="884" spans="4:24" x14ac:dyDescent="0.3">
      <c r="D884" s="23">
        <v>40861</v>
      </c>
      <c r="E884" s="5">
        <v>99.470634000000004</v>
      </c>
      <c r="F884" s="28">
        <v>59.601529999999997</v>
      </c>
      <c r="G884" s="28">
        <v>173.2</v>
      </c>
      <c r="H884" s="28">
        <v>51.196620000000003</v>
      </c>
      <c r="I884" s="28">
        <v>51.215760000000003</v>
      </c>
      <c r="J884" s="29"/>
      <c r="K884" s="29"/>
      <c r="L884" s="29"/>
      <c r="M884" s="29"/>
      <c r="N884" s="29"/>
      <c r="P884" s="4">
        <f t="shared" si="56"/>
        <v>-9.5193397332491402E-3</v>
      </c>
      <c r="Q884" s="4">
        <f t="shared" si="56"/>
        <v>1.2047396283635799E-4</v>
      </c>
      <c r="R884" s="4">
        <f t="shared" si="56"/>
        <v>-4.3783916011029362E-3</v>
      </c>
      <c r="S884" s="4">
        <f t="shared" si="56"/>
        <v>-6.2420241418325488E-3</v>
      </c>
      <c r="T884" s="4">
        <f t="shared" si="56"/>
        <v>-9.9070728118381777E-3</v>
      </c>
      <c r="U884" s="35"/>
      <c r="V884" s="35"/>
      <c r="W884" s="35"/>
      <c r="X884" s="35"/>
    </row>
    <row r="885" spans="4:24" x14ac:dyDescent="0.3">
      <c r="D885" s="23">
        <v>40862</v>
      </c>
      <c r="E885" s="5">
        <v>99.962204</v>
      </c>
      <c r="F885" s="28">
        <v>59.565849999999998</v>
      </c>
      <c r="G885" s="28">
        <v>173.36</v>
      </c>
      <c r="H885" s="28">
        <v>51.766550000000002</v>
      </c>
      <c r="I885" s="28">
        <v>51.526499999999999</v>
      </c>
      <c r="J885" s="29"/>
      <c r="K885" s="29"/>
      <c r="L885" s="29"/>
      <c r="M885" s="29"/>
      <c r="N885" s="29"/>
      <c r="P885" s="4">
        <f t="shared" ref="P885:T900" si="57">LN(E885/E884)</f>
        <v>4.9296896181580865E-3</v>
      </c>
      <c r="Q885" s="4">
        <f t="shared" si="57"/>
        <v>-5.9882160816486789E-4</v>
      </c>
      <c r="R885" s="4">
        <f t="shared" si="57"/>
        <v>9.2336109976903834E-4</v>
      </c>
      <c r="S885" s="4">
        <f t="shared" si="57"/>
        <v>1.1070673540145943E-2</v>
      </c>
      <c r="T885" s="4">
        <f t="shared" si="57"/>
        <v>6.0489412533740817E-3</v>
      </c>
      <c r="U885" s="35"/>
      <c r="V885" s="35"/>
      <c r="W885" s="35"/>
      <c r="X885" s="35"/>
    </row>
    <row r="886" spans="4:24" x14ac:dyDescent="0.3">
      <c r="D886" s="23">
        <v>40863</v>
      </c>
      <c r="E886" s="5">
        <v>98.376525999999998</v>
      </c>
      <c r="F886" s="28">
        <v>59.679929999999999</v>
      </c>
      <c r="G886" s="28">
        <v>171.51</v>
      </c>
      <c r="H886" s="28">
        <v>50.911630000000002</v>
      </c>
      <c r="I886" s="28">
        <v>50.665990000000001</v>
      </c>
      <c r="J886" s="29"/>
      <c r="K886" s="29"/>
      <c r="L886" s="29"/>
      <c r="M886" s="29"/>
      <c r="N886" s="29"/>
      <c r="P886" s="4">
        <f t="shared" si="57"/>
        <v>-1.5989935854795193E-2</v>
      </c>
      <c r="Q886" s="4">
        <f t="shared" si="57"/>
        <v>1.9133596979847838E-3</v>
      </c>
      <c r="R886" s="4">
        <f t="shared" si="57"/>
        <v>-1.0728783284114127E-2</v>
      </c>
      <c r="S886" s="4">
        <f t="shared" si="57"/>
        <v>-1.6652803094372955E-2</v>
      </c>
      <c r="T886" s="4">
        <f t="shared" si="57"/>
        <v>-1.6841361608461589E-2</v>
      </c>
      <c r="U886" s="35"/>
      <c r="V886" s="35"/>
      <c r="W886" s="35"/>
      <c r="X886" s="35"/>
    </row>
    <row r="887" spans="4:24" x14ac:dyDescent="0.3">
      <c r="D887" s="23">
        <v>40864</v>
      </c>
      <c r="E887" s="5">
        <v>96.814589999999995</v>
      </c>
      <c r="F887" s="28">
        <v>59.651420000000002</v>
      </c>
      <c r="G887" s="28">
        <v>167.1</v>
      </c>
      <c r="H887" s="28">
        <v>49.718330000000002</v>
      </c>
      <c r="I887" s="28">
        <v>49.837359999999997</v>
      </c>
      <c r="J887" s="29"/>
      <c r="K887" s="29"/>
      <c r="L887" s="29"/>
      <c r="M887" s="29"/>
      <c r="N887" s="29"/>
      <c r="P887" s="4">
        <f t="shared" si="57"/>
        <v>-1.6004512622976766E-2</v>
      </c>
      <c r="Q887" s="4">
        <f t="shared" si="57"/>
        <v>-4.778291797159693E-4</v>
      </c>
      <c r="R887" s="4">
        <f t="shared" si="57"/>
        <v>-2.6049138342641505E-2</v>
      </c>
      <c r="S887" s="4">
        <f t="shared" si="57"/>
        <v>-2.3717706702012793E-2</v>
      </c>
      <c r="T887" s="4">
        <f t="shared" si="57"/>
        <v>-1.6489973251970217E-2</v>
      </c>
      <c r="U887" s="35"/>
      <c r="V887" s="35"/>
      <c r="W887" s="35"/>
      <c r="X887" s="35"/>
    </row>
    <row r="888" spans="4:24" x14ac:dyDescent="0.3">
      <c r="D888" s="23">
        <v>40865</v>
      </c>
      <c r="E888" s="5">
        <v>96.711517000000001</v>
      </c>
      <c r="F888" s="28">
        <v>59.615769999999998</v>
      </c>
      <c r="G888" s="28">
        <v>167.62</v>
      </c>
      <c r="H888" s="28">
        <v>49.3354</v>
      </c>
      <c r="I888" s="28">
        <v>49.765659999999997</v>
      </c>
      <c r="J888" s="29"/>
      <c r="K888" s="29"/>
      <c r="L888" s="29"/>
      <c r="M888" s="29"/>
      <c r="N888" s="29"/>
      <c r="P888" s="4">
        <f t="shared" si="57"/>
        <v>-1.0652103878281956E-3</v>
      </c>
      <c r="Q888" s="4">
        <f t="shared" si="57"/>
        <v>-5.9781740580519842E-4</v>
      </c>
      <c r="R888" s="4">
        <f t="shared" si="57"/>
        <v>3.1070770694120583E-3</v>
      </c>
      <c r="S888" s="4">
        <f t="shared" si="57"/>
        <v>-7.7318018746386731E-3</v>
      </c>
      <c r="T888" s="4">
        <f t="shared" si="57"/>
        <v>-1.4397156308084717E-3</v>
      </c>
      <c r="U888" s="35"/>
      <c r="V888" s="35"/>
      <c r="W888" s="35"/>
      <c r="X888" s="35"/>
    </row>
    <row r="889" spans="4:24" x14ac:dyDescent="0.3">
      <c r="D889" s="23">
        <v>40868</v>
      </c>
      <c r="E889" s="5">
        <v>94.872116000000005</v>
      </c>
      <c r="F889" s="28">
        <v>59.601529999999997</v>
      </c>
      <c r="G889" s="28">
        <v>163.5</v>
      </c>
      <c r="H889" s="28">
        <v>48.39143</v>
      </c>
      <c r="I889" s="28">
        <v>48.8414</v>
      </c>
      <c r="J889" s="29"/>
      <c r="K889" s="29"/>
      <c r="L889" s="29"/>
      <c r="M889" s="29"/>
      <c r="N889" s="29"/>
      <c r="P889" s="4">
        <f t="shared" si="57"/>
        <v>-1.9202658315801993E-2</v>
      </c>
      <c r="Q889" s="4">
        <f t="shared" si="57"/>
        <v>-2.3889150429881668E-4</v>
      </c>
      <c r="R889" s="4">
        <f t="shared" si="57"/>
        <v>-2.4886522333452024E-2</v>
      </c>
      <c r="S889" s="4">
        <f t="shared" si="57"/>
        <v>-1.9319144181628323E-2</v>
      </c>
      <c r="T889" s="4">
        <f t="shared" si="57"/>
        <v>-1.874687408271292E-2</v>
      </c>
      <c r="U889" s="35"/>
      <c r="V889" s="35"/>
      <c r="W889" s="35"/>
      <c r="X889" s="35"/>
    </row>
    <row r="890" spans="4:24" x14ac:dyDescent="0.3">
      <c r="D890" s="23">
        <v>40869</v>
      </c>
      <c r="E890" s="5">
        <v>94.499474000000006</v>
      </c>
      <c r="F890" s="28">
        <v>59.665640000000003</v>
      </c>
      <c r="G890" s="28">
        <v>165.31</v>
      </c>
      <c r="H890" s="28">
        <v>48.551729999999999</v>
      </c>
      <c r="I890" s="28">
        <v>48.610349999999997</v>
      </c>
      <c r="J890" s="29"/>
      <c r="K890" s="29"/>
      <c r="L890" s="29"/>
      <c r="M890" s="29"/>
      <c r="N890" s="29"/>
      <c r="P890" s="4">
        <f t="shared" si="57"/>
        <v>-3.9355690151656516E-3</v>
      </c>
      <c r="Q890" s="4">
        <f t="shared" si="57"/>
        <v>1.0750654379521911E-3</v>
      </c>
      <c r="R890" s="4">
        <f t="shared" si="57"/>
        <v>1.1009508727612674E-2</v>
      </c>
      <c r="S890" s="4">
        <f t="shared" si="57"/>
        <v>3.3070955413145482E-3</v>
      </c>
      <c r="T890" s="4">
        <f t="shared" si="57"/>
        <v>-4.741842664316636E-3</v>
      </c>
      <c r="U890" s="35"/>
      <c r="V890" s="35"/>
      <c r="W890" s="35"/>
      <c r="X890" s="35"/>
    </row>
    <row r="891" spans="4:24" x14ac:dyDescent="0.3">
      <c r="D891" s="23">
        <v>40870</v>
      </c>
      <c r="E891" s="5">
        <v>92.414291000000006</v>
      </c>
      <c r="F891" s="28">
        <v>59.729860000000002</v>
      </c>
      <c r="G891" s="28">
        <v>164.83</v>
      </c>
      <c r="H891" s="28">
        <v>47.456389999999999</v>
      </c>
      <c r="I891" s="28">
        <v>47.52675</v>
      </c>
      <c r="J891" s="29"/>
      <c r="K891" s="29"/>
      <c r="L891" s="29"/>
      <c r="M891" s="29"/>
      <c r="N891" s="29"/>
      <c r="P891" s="4">
        <f t="shared" si="57"/>
        <v>-2.231263715615792E-2</v>
      </c>
      <c r="Q891" s="4">
        <f t="shared" si="57"/>
        <v>1.0757525399731533E-3</v>
      </c>
      <c r="R891" s="4">
        <f t="shared" si="57"/>
        <v>-2.907859321656161E-3</v>
      </c>
      <c r="S891" s="4">
        <f t="shared" si="57"/>
        <v>-2.281864340948225E-2</v>
      </c>
      <c r="T891" s="4">
        <f t="shared" si="57"/>
        <v>-2.2543760774583605E-2</v>
      </c>
      <c r="U891" s="35"/>
      <c r="V891" s="35"/>
      <c r="W891" s="35"/>
      <c r="X891" s="35"/>
    </row>
    <row r="892" spans="4:24" x14ac:dyDescent="0.3">
      <c r="D892" s="23">
        <v>40872</v>
      </c>
      <c r="E892" s="5">
        <v>92.239883000000006</v>
      </c>
      <c r="F892" s="28">
        <v>59.644260000000003</v>
      </c>
      <c r="G892" s="28">
        <v>163.4</v>
      </c>
      <c r="H892" s="28">
        <v>47.091259999999998</v>
      </c>
      <c r="I892" s="28">
        <v>47.375369999999997</v>
      </c>
      <c r="J892" s="29"/>
      <c r="K892" s="29"/>
      <c r="L892" s="29"/>
      <c r="M892" s="29"/>
      <c r="N892" s="29"/>
      <c r="P892" s="4">
        <f t="shared" si="57"/>
        <v>-1.8890236606649755E-3</v>
      </c>
      <c r="Q892" s="4">
        <f t="shared" si="57"/>
        <v>-1.4341469436034398E-3</v>
      </c>
      <c r="R892" s="4">
        <f t="shared" si="57"/>
        <v>-8.7134573173621738E-3</v>
      </c>
      <c r="S892" s="4">
        <f t="shared" si="57"/>
        <v>-7.7237628898602587E-3</v>
      </c>
      <c r="T892" s="4">
        <f t="shared" si="57"/>
        <v>-3.1902370229571595E-3</v>
      </c>
      <c r="U892" s="35"/>
      <c r="V892" s="35"/>
      <c r="W892" s="35"/>
      <c r="X892" s="35"/>
    </row>
    <row r="893" spans="4:24" x14ac:dyDescent="0.3">
      <c r="D893" s="23">
        <v>40875</v>
      </c>
      <c r="E893" s="5">
        <v>94.911766</v>
      </c>
      <c r="F893" s="28">
        <v>59.644260000000003</v>
      </c>
      <c r="G893" s="28">
        <v>166.63</v>
      </c>
      <c r="H893" s="28">
        <v>48.729860000000002</v>
      </c>
      <c r="I893" s="28">
        <v>48.801580000000001</v>
      </c>
      <c r="J893" s="29"/>
      <c r="K893" s="29"/>
      <c r="L893" s="29"/>
      <c r="M893" s="29"/>
      <c r="N893" s="29"/>
      <c r="P893" s="4">
        <f t="shared" si="57"/>
        <v>2.8555073540938423E-2</v>
      </c>
      <c r="Q893" s="4">
        <f t="shared" si="57"/>
        <v>0</v>
      </c>
      <c r="R893" s="4">
        <f t="shared" si="57"/>
        <v>1.9574603124629483E-2</v>
      </c>
      <c r="S893" s="4">
        <f t="shared" si="57"/>
        <v>3.4204562706960054E-2</v>
      </c>
      <c r="T893" s="4">
        <f t="shared" si="57"/>
        <v>2.9660215985678952E-2</v>
      </c>
      <c r="U893" s="35"/>
      <c r="V893" s="35"/>
      <c r="W893" s="35"/>
      <c r="X893" s="35"/>
    </row>
    <row r="894" spans="4:24" x14ac:dyDescent="0.3">
      <c r="D894" s="23">
        <v>40876</v>
      </c>
      <c r="E894" s="5">
        <v>95.181327999999993</v>
      </c>
      <c r="F894" s="28">
        <v>59.558680000000003</v>
      </c>
      <c r="G894" s="28">
        <v>166.88</v>
      </c>
      <c r="H894" s="28">
        <v>48.427059999999997</v>
      </c>
      <c r="I894" s="28">
        <v>48.952959999999997</v>
      </c>
      <c r="J894" s="29"/>
      <c r="K894" s="29"/>
      <c r="L894" s="29"/>
      <c r="M894" s="29"/>
      <c r="N894" s="29"/>
      <c r="P894" s="4">
        <f t="shared" si="57"/>
        <v>2.8361070359052627E-3</v>
      </c>
      <c r="Q894" s="4">
        <f t="shared" si="57"/>
        <v>-1.4358708720361877E-3</v>
      </c>
      <c r="R894" s="4">
        <f t="shared" si="57"/>
        <v>1.4992057019301711E-3</v>
      </c>
      <c r="S894" s="4">
        <f t="shared" si="57"/>
        <v>-6.2332354791760393E-3</v>
      </c>
      <c r="T894" s="4">
        <f t="shared" si="57"/>
        <v>3.0971476313454913E-3</v>
      </c>
      <c r="U894" s="35"/>
      <c r="V894" s="35"/>
      <c r="W894" s="35"/>
      <c r="X894" s="35"/>
    </row>
    <row r="895" spans="4:24" x14ac:dyDescent="0.3">
      <c r="D895" s="23">
        <v>40877</v>
      </c>
      <c r="E895" s="5">
        <v>99.098006999999996</v>
      </c>
      <c r="F895" s="28">
        <v>59.430410000000002</v>
      </c>
      <c r="G895" s="28">
        <v>170.13</v>
      </c>
      <c r="H895" s="28">
        <v>50.217019999999998</v>
      </c>
      <c r="I895" s="28">
        <v>51.024529999999999</v>
      </c>
      <c r="J895" s="29"/>
      <c r="K895" s="29"/>
      <c r="L895" s="29"/>
      <c r="M895" s="29"/>
      <c r="N895" s="29"/>
      <c r="P895" s="4">
        <f t="shared" si="57"/>
        <v>4.0325542028061788E-2</v>
      </c>
      <c r="Q895" s="4">
        <f t="shared" si="57"/>
        <v>-2.1559968176358066E-3</v>
      </c>
      <c r="R895" s="4">
        <f t="shared" si="57"/>
        <v>1.9287859441583923E-2</v>
      </c>
      <c r="S895" s="4">
        <f t="shared" si="57"/>
        <v>3.6295264661430675E-2</v>
      </c>
      <c r="T895" s="4">
        <f t="shared" si="57"/>
        <v>4.1446660466988659E-2</v>
      </c>
      <c r="U895" s="35"/>
      <c r="V895" s="35"/>
      <c r="W895" s="35"/>
      <c r="X895" s="35"/>
    </row>
    <row r="896" spans="4:24" x14ac:dyDescent="0.3">
      <c r="D896" s="23">
        <v>40878</v>
      </c>
      <c r="E896" s="5">
        <v>99.082145999999995</v>
      </c>
      <c r="F896" s="28">
        <v>59.41113</v>
      </c>
      <c r="G896" s="28">
        <v>169.63</v>
      </c>
      <c r="H896" s="28">
        <v>50.564320000000002</v>
      </c>
      <c r="I896" s="28">
        <v>51.024529999999999</v>
      </c>
      <c r="J896" s="29"/>
      <c r="K896" s="29"/>
      <c r="L896" s="29"/>
      <c r="M896" s="29"/>
      <c r="N896" s="29"/>
      <c r="P896" s="4">
        <f t="shared" si="57"/>
        <v>-1.6006648288202202E-4</v>
      </c>
      <c r="Q896" s="4">
        <f t="shared" si="57"/>
        <v>-3.244656736886369E-4</v>
      </c>
      <c r="R896" s="4">
        <f t="shared" si="57"/>
        <v>-2.9432561864148601E-3</v>
      </c>
      <c r="S896" s="4">
        <f t="shared" si="57"/>
        <v>6.8921761665133863E-3</v>
      </c>
      <c r="T896" s="4">
        <f t="shared" si="57"/>
        <v>0</v>
      </c>
      <c r="U896" s="35"/>
      <c r="V896" s="35"/>
      <c r="W896" s="35"/>
      <c r="X896" s="35"/>
    </row>
    <row r="897" spans="4:24" x14ac:dyDescent="0.3">
      <c r="D897" s="23">
        <v>40879</v>
      </c>
      <c r="E897" s="5">
        <v>98.994949000000005</v>
      </c>
      <c r="F897" s="28">
        <v>59.604039999999998</v>
      </c>
      <c r="G897" s="28">
        <v>169.82</v>
      </c>
      <c r="H897" s="28">
        <v>50.421840000000003</v>
      </c>
      <c r="I897" s="28">
        <v>51.000630000000001</v>
      </c>
      <c r="J897" s="29"/>
      <c r="K897" s="29"/>
      <c r="L897" s="29"/>
      <c r="M897" s="29"/>
      <c r="N897" s="29"/>
      <c r="P897" s="4">
        <f t="shared" si="57"/>
        <v>-8.8043502084541366E-4</v>
      </c>
      <c r="Q897" s="4">
        <f t="shared" si="57"/>
        <v>3.2417744551812805E-3</v>
      </c>
      <c r="R897" s="4">
        <f t="shared" si="57"/>
        <v>1.1194580635858582E-3</v>
      </c>
      <c r="S897" s="4">
        <f t="shared" si="57"/>
        <v>-2.8217746776461141E-3</v>
      </c>
      <c r="T897" s="4">
        <f t="shared" si="57"/>
        <v>-4.6851189328543484E-4</v>
      </c>
      <c r="U897" s="35"/>
      <c r="V897" s="35"/>
      <c r="W897" s="35"/>
      <c r="X897" s="35"/>
    </row>
    <row r="898" spans="4:24" x14ac:dyDescent="0.3">
      <c r="D898" s="23">
        <v>40882</v>
      </c>
      <c r="E898" s="5">
        <v>100.073212</v>
      </c>
      <c r="F898" s="28">
        <v>59.611220000000003</v>
      </c>
      <c r="G898" s="28">
        <v>167.32</v>
      </c>
      <c r="H898" s="28">
        <v>50.973970000000001</v>
      </c>
      <c r="I898" s="28">
        <v>51.558349999999997</v>
      </c>
      <c r="J898" s="29"/>
      <c r="K898" s="29"/>
      <c r="L898" s="29"/>
      <c r="M898" s="29"/>
      <c r="N898" s="29"/>
      <c r="P898" s="4">
        <f t="shared" si="57"/>
        <v>1.0833209487982692E-2</v>
      </c>
      <c r="Q898" s="4">
        <f t="shared" si="57"/>
        <v>1.2045437821770544E-4</v>
      </c>
      <c r="R898" s="4">
        <f t="shared" si="57"/>
        <v>-1.4830905997219698E-2</v>
      </c>
      <c r="S898" s="4">
        <f t="shared" si="57"/>
        <v>1.0890695724168042E-2</v>
      </c>
      <c r="T898" s="4">
        <f t="shared" si="57"/>
        <v>1.0876190418130297E-2</v>
      </c>
      <c r="U898" s="35"/>
      <c r="V898" s="35"/>
      <c r="W898" s="35"/>
      <c r="X898" s="35"/>
    </row>
    <row r="899" spans="4:24" x14ac:dyDescent="0.3">
      <c r="D899" s="23">
        <v>40883</v>
      </c>
      <c r="E899" s="5">
        <v>100.104904</v>
      </c>
      <c r="F899" s="28">
        <v>59.532620000000001</v>
      </c>
      <c r="G899" s="28">
        <v>168.18</v>
      </c>
      <c r="H899" s="28">
        <v>50.831499999999998</v>
      </c>
      <c r="I899" s="28">
        <v>51.582259999999998</v>
      </c>
      <c r="J899" s="29"/>
      <c r="K899" s="29"/>
      <c r="L899" s="29"/>
      <c r="M899" s="29"/>
      <c r="N899" s="29"/>
      <c r="P899" s="4">
        <f t="shared" si="57"/>
        <v>3.1663801116791219E-4</v>
      </c>
      <c r="Q899" s="4">
        <f t="shared" si="57"/>
        <v>-1.3194137674694237E-3</v>
      </c>
      <c r="R899" s="4">
        <f t="shared" si="57"/>
        <v>5.1266878307542176E-3</v>
      </c>
      <c r="S899" s="4">
        <f t="shared" si="57"/>
        <v>-2.7988691178424579E-3</v>
      </c>
      <c r="T899" s="4">
        <f t="shared" si="57"/>
        <v>4.6363891833315073E-4</v>
      </c>
      <c r="U899" s="35"/>
      <c r="V899" s="35"/>
      <c r="W899" s="35"/>
      <c r="X899" s="35"/>
    </row>
    <row r="900" spans="4:24" x14ac:dyDescent="0.3">
      <c r="D900" s="23">
        <v>40884</v>
      </c>
      <c r="E900" s="5">
        <v>100.47756200000001</v>
      </c>
      <c r="F900" s="28">
        <v>59.611220000000003</v>
      </c>
      <c r="G900" s="28">
        <v>169.4</v>
      </c>
      <c r="H900" s="28">
        <v>50.831499999999998</v>
      </c>
      <c r="I900" s="28">
        <v>51.717709999999997</v>
      </c>
      <c r="J900" s="29"/>
      <c r="K900" s="29"/>
      <c r="L900" s="29"/>
      <c r="M900" s="29"/>
      <c r="N900" s="29"/>
      <c r="P900" s="4">
        <f t="shared" si="57"/>
        <v>3.7157627603468342E-3</v>
      </c>
      <c r="Q900" s="4">
        <f t="shared" si="57"/>
        <v>1.3194137674694441E-3</v>
      </c>
      <c r="R900" s="4">
        <f t="shared" si="57"/>
        <v>7.2279478132020684E-3</v>
      </c>
      <c r="S900" s="4">
        <f t="shared" si="57"/>
        <v>0</v>
      </c>
      <c r="T900" s="4">
        <f t="shared" si="57"/>
        <v>2.6224611222546322E-3</v>
      </c>
      <c r="U900" s="35"/>
      <c r="V900" s="35"/>
      <c r="W900" s="35"/>
      <c r="X900" s="35"/>
    </row>
    <row r="901" spans="4:24" x14ac:dyDescent="0.3">
      <c r="D901" s="23">
        <v>40885</v>
      </c>
      <c r="E901" s="5">
        <v>98.273437999999999</v>
      </c>
      <c r="F901" s="28">
        <v>59.747039999999998</v>
      </c>
      <c r="G901" s="28">
        <v>165.98</v>
      </c>
      <c r="H901" s="28">
        <v>49.976579999999998</v>
      </c>
      <c r="I901" s="28">
        <v>50.546480000000003</v>
      </c>
      <c r="J901" s="29"/>
      <c r="K901" s="29"/>
      <c r="L901" s="29"/>
      <c r="M901" s="29"/>
      <c r="N901" s="29"/>
      <c r="P901" s="4">
        <f t="shared" ref="P901:T916" si="58">LN(E901/E900)</f>
        <v>-2.2180661883392412E-2</v>
      </c>
      <c r="Q901" s="4">
        <f t="shared" si="58"/>
        <v>2.2758384484261843E-3</v>
      </c>
      <c r="R901" s="4">
        <f t="shared" si="58"/>
        <v>-2.0395483047652176E-2</v>
      </c>
      <c r="S901" s="4">
        <f t="shared" si="58"/>
        <v>-1.6961745460609141E-2</v>
      </c>
      <c r="T901" s="4">
        <f t="shared" si="58"/>
        <v>-2.2906967031721463E-2</v>
      </c>
      <c r="U901" s="35"/>
      <c r="V901" s="35"/>
      <c r="W901" s="35"/>
      <c r="X901" s="35"/>
    </row>
    <row r="902" spans="4:24" x14ac:dyDescent="0.3">
      <c r="D902" s="23">
        <v>40886</v>
      </c>
      <c r="E902" s="5">
        <v>99.938416000000004</v>
      </c>
      <c r="F902" s="28">
        <v>59.604039999999998</v>
      </c>
      <c r="G902" s="28">
        <v>166.4</v>
      </c>
      <c r="H902" s="28">
        <v>50.77807</v>
      </c>
      <c r="I902" s="28">
        <v>51.446800000000003</v>
      </c>
      <c r="J902" s="29"/>
      <c r="K902" s="29"/>
      <c r="L902" s="29"/>
      <c r="M902" s="29"/>
      <c r="N902" s="29"/>
      <c r="P902" s="4">
        <f t="shared" si="58"/>
        <v>1.6800379273648469E-2</v>
      </c>
      <c r="Q902" s="4">
        <f t="shared" si="58"/>
        <v>-2.3962928266440565E-3</v>
      </c>
      <c r="R902" s="4">
        <f t="shared" si="58"/>
        <v>2.5272292168064905E-3</v>
      </c>
      <c r="S902" s="4">
        <f t="shared" si="58"/>
        <v>1.5910072770240716E-2</v>
      </c>
      <c r="T902" s="4">
        <f t="shared" si="58"/>
        <v>1.7654955022491928E-2</v>
      </c>
      <c r="U902" s="35"/>
      <c r="V902" s="35"/>
      <c r="W902" s="35"/>
      <c r="X902" s="35"/>
    </row>
    <row r="903" spans="4:24" x14ac:dyDescent="0.3">
      <c r="D903" s="23">
        <v>40889</v>
      </c>
      <c r="E903" s="5">
        <v>98.479552999999996</v>
      </c>
      <c r="F903" s="28">
        <v>59.668390000000002</v>
      </c>
      <c r="G903" s="28">
        <v>161.99</v>
      </c>
      <c r="H903" s="28">
        <v>50.208129999999997</v>
      </c>
      <c r="I903" s="28">
        <v>50.658029999999997</v>
      </c>
      <c r="J903" s="29"/>
      <c r="K903" s="29"/>
      <c r="L903" s="29"/>
      <c r="M903" s="29"/>
      <c r="N903" s="29"/>
      <c r="P903" s="4">
        <f t="shared" si="58"/>
        <v>-1.4705213407540517E-2</v>
      </c>
      <c r="Q903" s="4">
        <f t="shared" si="58"/>
        <v>1.0790424282249103E-3</v>
      </c>
      <c r="R903" s="4">
        <f t="shared" si="58"/>
        <v>-2.6859923455061687E-2</v>
      </c>
      <c r="S903" s="4">
        <f t="shared" si="58"/>
        <v>-1.1287602688761224E-2</v>
      </c>
      <c r="T903" s="4">
        <f t="shared" si="58"/>
        <v>-1.545050691688985E-2</v>
      </c>
      <c r="U903" s="35"/>
      <c r="V903" s="35"/>
      <c r="W903" s="35"/>
      <c r="X903" s="35"/>
    </row>
    <row r="904" spans="4:24" x14ac:dyDescent="0.3">
      <c r="D904" s="23">
        <v>40890</v>
      </c>
      <c r="E904" s="5">
        <v>97.559882999999999</v>
      </c>
      <c r="F904" s="28">
        <v>59.818469999999998</v>
      </c>
      <c r="G904" s="28">
        <v>158.44999999999999</v>
      </c>
      <c r="H904" s="28">
        <v>49.655990000000003</v>
      </c>
      <c r="I904" s="28">
        <v>50.116230000000002</v>
      </c>
      <c r="J904" s="29"/>
      <c r="K904" s="29"/>
      <c r="L904" s="29"/>
      <c r="M904" s="29"/>
      <c r="N904" s="29"/>
      <c r="P904" s="4">
        <f t="shared" si="58"/>
        <v>-9.3825687882000911E-3</v>
      </c>
      <c r="Q904" s="4">
        <f t="shared" si="58"/>
        <v>2.5120767074081904E-3</v>
      </c>
      <c r="R904" s="4">
        <f t="shared" si="58"/>
        <v>-2.2095518795116887E-2</v>
      </c>
      <c r="S904" s="4">
        <f t="shared" si="58"/>
        <v>-1.1057938050279263E-2</v>
      </c>
      <c r="T904" s="4">
        <f t="shared" si="58"/>
        <v>-1.0752849396327105E-2</v>
      </c>
      <c r="U904" s="35"/>
      <c r="V904" s="35"/>
      <c r="W904" s="35"/>
      <c r="X904" s="35"/>
    </row>
    <row r="905" spans="4:24" x14ac:dyDescent="0.3">
      <c r="D905" s="23">
        <v>40891</v>
      </c>
      <c r="E905" s="5">
        <v>96.521254999999996</v>
      </c>
      <c r="F905" s="28">
        <v>59.932780000000001</v>
      </c>
      <c r="G905" s="28">
        <v>152.88999999999999</v>
      </c>
      <c r="H905" s="28">
        <v>48.881230000000002</v>
      </c>
      <c r="I905" s="28">
        <v>49.542560000000002</v>
      </c>
      <c r="J905" s="29"/>
      <c r="K905" s="29"/>
      <c r="L905" s="29"/>
      <c r="M905" s="29"/>
      <c r="N905" s="29"/>
      <c r="P905" s="4">
        <f t="shared" si="58"/>
        <v>-1.0703130926177114E-2</v>
      </c>
      <c r="Q905" s="4">
        <f t="shared" si="58"/>
        <v>1.909124701735501E-3</v>
      </c>
      <c r="R905" s="4">
        <f t="shared" si="58"/>
        <v>-3.5720377564407428E-2</v>
      </c>
      <c r="S905" s="4">
        <f t="shared" si="58"/>
        <v>-1.5725549512937587E-2</v>
      </c>
      <c r="T905" s="4">
        <f t="shared" si="58"/>
        <v>-1.1512809585584571E-2</v>
      </c>
      <c r="U905" s="35"/>
      <c r="V905" s="35"/>
      <c r="W905" s="35"/>
      <c r="X905" s="35"/>
    </row>
    <row r="906" spans="4:24" x14ac:dyDescent="0.3">
      <c r="D906" s="23">
        <v>40892</v>
      </c>
      <c r="E906" s="5">
        <v>96.870102000000003</v>
      </c>
      <c r="F906" s="28">
        <v>59.904229999999998</v>
      </c>
      <c r="G906" s="28">
        <v>152.33000000000001</v>
      </c>
      <c r="H906" s="28">
        <v>48.747660000000003</v>
      </c>
      <c r="I906" s="28">
        <v>49.725819999999999</v>
      </c>
      <c r="J906" s="29"/>
      <c r="K906" s="29"/>
      <c r="L906" s="29"/>
      <c r="M906" s="29"/>
      <c r="N906" s="29"/>
      <c r="P906" s="4">
        <f t="shared" si="58"/>
        <v>3.6076832364806063E-3</v>
      </c>
      <c r="Q906" s="4">
        <f t="shared" si="58"/>
        <v>-4.7648052200486852E-4</v>
      </c>
      <c r="R906" s="4">
        <f t="shared" si="58"/>
        <v>-3.6694884239124128E-3</v>
      </c>
      <c r="S906" s="4">
        <f t="shared" si="58"/>
        <v>-2.7362819210419308E-3</v>
      </c>
      <c r="T906" s="4">
        <f t="shared" si="58"/>
        <v>3.6922171630171569E-3</v>
      </c>
      <c r="U906" s="35"/>
      <c r="V906" s="35"/>
      <c r="W906" s="35"/>
      <c r="X906" s="35"/>
    </row>
    <row r="907" spans="4:24" x14ac:dyDescent="0.3">
      <c r="D907" s="23">
        <v>40893</v>
      </c>
      <c r="E907" s="5">
        <v>97.013724999999994</v>
      </c>
      <c r="F907" s="28">
        <v>60.06861</v>
      </c>
      <c r="G907" s="28">
        <v>155.22999999999999</v>
      </c>
      <c r="H907" s="28">
        <v>48.998629999999999</v>
      </c>
      <c r="I907" s="28">
        <v>49.893140000000002</v>
      </c>
      <c r="J907" s="29"/>
      <c r="K907" s="29"/>
      <c r="L907" s="29"/>
      <c r="M907" s="29"/>
      <c r="N907" s="29"/>
      <c r="P907" s="4">
        <f t="shared" si="58"/>
        <v>1.4815369439809419E-3</v>
      </c>
      <c r="Q907" s="4">
        <f t="shared" si="58"/>
        <v>2.740288599707368E-3</v>
      </c>
      <c r="R907" s="4">
        <f t="shared" si="58"/>
        <v>1.8858667889742203E-2</v>
      </c>
      <c r="S907" s="4">
        <f t="shared" si="58"/>
        <v>5.1351422442685443E-3</v>
      </c>
      <c r="T907" s="4">
        <f t="shared" si="58"/>
        <v>3.3592030541167782E-3</v>
      </c>
      <c r="U907" s="35"/>
      <c r="V907" s="35"/>
      <c r="W907" s="35"/>
      <c r="X907" s="35"/>
    </row>
    <row r="908" spans="4:24" x14ac:dyDescent="0.3">
      <c r="D908" s="23">
        <v>40896</v>
      </c>
      <c r="E908" s="5">
        <v>95.976462999999995</v>
      </c>
      <c r="F908" s="28">
        <v>60.047150000000002</v>
      </c>
      <c r="G908" s="28">
        <v>154.87</v>
      </c>
      <c r="H908" s="28">
        <v>48.516330000000004</v>
      </c>
      <c r="I908" s="28">
        <v>49.311489999999999</v>
      </c>
      <c r="J908" s="29"/>
      <c r="K908" s="29"/>
      <c r="L908" s="29"/>
      <c r="M908" s="29"/>
      <c r="N908" s="29"/>
      <c r="P908" s="4">
        <f t="shared" si="58"/>
        <v>-1.0749479015603984E-2</v>
      </c>
      <c r="Q908" s="4">
        <f t="shared" si="58"/>
        <v>-3.5732197387472144E-4</v>
      </c>
      <c r="R908" s="4">
        <f t="shared" si="58"/>
        <v>-2.3218327102688114E-3</v>
      </c>
      <c r="S908" s="4">
        <f t="shared" si="58"/>
        <v>-9.8918962327940868E-3</v>
      </c>
      <c r="T908" s="4">
        <f t="shared" si="58"/>
        <v>-1.1726401582991172E-2</v>
      </c>
      <c r="U908" s="35"/>
      <c r="V908" s="35"/>
      <c r="W908" s="35"/>
      <c r="X908" s="35"/>
    </row>
    <row r="909" spans="4:24" x14ac:dyDescent="0.3">
      <c r="D909" s="23">
        <v>40897</v>
      </c>
      <c r="E909" s="5">
        <v>98.880736999999996</v>
      </c>
      <c r="F909" s="28">
        <v>59.92568</v>
      </c>
      <c r="G909" s="28">
        <v>156.97999999999999</v>
      </c>
      <c r="H909" s="28">
        <v>49.954300000000003</v>
      </c>
      <c r="I909" s="28">
        <v>50.857210000000002</v>
      </c>
      <c r="J909" s="29"/>
      <c r="K909" s="29"/>
      <c r="L909" s="29"/>
      <c r="M909" s="29"/>
      <c r="N909" s="29"/>
      <c r="P909" s="4">
        <f t="shared" si="58"/>
        <v>2.9811462836879719E-2</v>
      </c>
      <c r="Q909" s="4">
        <f t="shared" si="58"/>
        <v>-2.0249591762885131E-3</v>
      </c>
      <c r="R909" s="4">
        <f t="shared" si="58"/>
        <v>1.3532353370584602E-2</v>
      </c>
      <c r="S909" s="4">
        <f t="shared" si="58"/>
        <v>2.9208145172160478E-2</v>
      </c>
      <c r="T909" s="4">
        <f t="shared" si="58"/>
        <v>3.0864785246529844E-2</v>
      </c>
      <c r="U909" s="35"/>
      <c r="V909" s="35"/>
      <c r="W909" s="35"/>
      <c r="X909" s="35"/>
    </row>
    <row r="910" spans="4:24" x14ac:dyDescent="0.3">
      <c r="D910" s="23">
        <v>40898</v>
      </c>
      <c r="E910" s="5">
        <v>99.072226999999998</v>
      </c>
      <c r="F910" s="28">
        <v>59.761290000000002</v>
      </c>
      <c r="G910" s="28">
        <v>157.16</v>
      </c>
      <c r="H910" s="28">
        <v>49.239789999999999</v>
      </c>
      <c r="I910" s="28">
        <v>50.954169999999998</v>
      </c>
      <c r="J910" s="29"/>
      <c r="K910" s="29"/>
      <c r="L910" s="29"/>
      <c r="M910" s="29"/>
      <c r="N910" s="29"/>
      <c r="P910" s="4">
        <f t="shared" si="58"/>
        <v>1.9347026269341458E-3</v>
      </c>
      <c r="Q910" s="4">
        <f t="shared" si="58"/>
        <v>-2.7470008368343508E-3</v>
      </c>
      <c r="R910" s="4">
        <f t="shared" si="58"/>
        <v>1.1459859915914947E-3</v>
      </c>
      <c r="S910" s="4">
        <f t="shared" si="58"/>
        <v>-1.4406550993641146E-2</v>
      </c>
      <c r="T910" s="4">
        <f t="shared" si="58"/>
        <v>1.9046992450797429E-3</v>
      </c>
      <c r="U910" s="35"/>
      <c r="V910" s="35"/>
      <c r="W910" s="35"/>
      <c r="X910" s="35"/>
    </row>
    <row r="911" spans="4:24" x14ac:dyDescent="0.3">
      <c r="D911" s="23">
        <v>40899</v>
      </c>
      <c r="E911" s="5">
        <v>99.949898000000005</v>
      </c>
      <c r="F911" s="28">
        <v>59.87565</v>
      </c>
      <c r="G911" s="28">
        <v>156.04</v>
      </c>
      <c r="H911" s="28">
        <v>49.659559999999999</v>
      </c>
      <c r="I911" s="28">
        <v>51.48301</v>
      </c>
      <c r="J911" s="29"/>
      <c r="K911" s="29"/>
      <c r="L911" s="29"/>
      <c r="M911" s="29"/>
      <c r="N911" s="29"/>
      <c r="P911" s="4">
        <f t="shared" si="58"/>
        <v>8.8198906481311012E-3</v>
      </c>
      <c r="Q911" s="4">
        <f t="shared" si="58"/>
        <v>1.9117846850878366E-3</v>
      </c>
      <c r="R911" s="4">
        <f t="shared" si="58"/>
        <v>-7.1520100518032296E-3</v>
      </c>
      <c r="S911" s="4">
        <f t="shared" si="58"/>
        <v>8.4888833092573029E-3</v>
      </c>
      <c r="T911" s="4">
        <f t="shared" si="58"/>
        <v>1.0325249061487357E-2</v>
      </c>
      <c r="U911" s="35"/>
      <c r="V911" s="35"/>
      <c r="W911" s="35"/>
      <c r="X911" s="35"/>
    </row>
    <row r="912" spans="4:24" x14ac:dyDescent="0.3">
      <c r="D912" s="23">
        <v>40900</v>
      </c>
      <c r="E912" s="5">
        <v>100.843513</v>
      </c>
      <c r="F912" s="28">
        <v>59.951929999999997</v>
      </c>
      <c r="G912" s="28">
        <v>156.31</v>
      </c>
      <c r="H912" s="28">
        <v>50.088279999999997</v>
      </c>
      <c r="I912" s="28">
        <v>51.87565</v>
      </c>
      <c r="J912" s="29"/>
      <c r="K912" s="29"/>
      <c r="L912" s="29"/>
      <c r="M912" s="29"/>
      <c r="N912" s="29"/>
      <c r="P912" s="4">
        <f t="shared" si="58"/>
        <v>8.9008986434033245E-3</v>
      </c>
      <c r="Q912" s="4">
        <f t="shared" si="58"/>
        <v>1.2731628278531526E-3</v>
      </c>
      <c r="R912" s="4">
        <f t="shared" si="58"/>
        <v>1.7288302689240785E-3</v>
      </c>
      <c r="S912" s="4">
        <f t="shared" si="58"/>
        <v>8.5961287976300815E-3</v>
      </c>
      <c r="T912" s="4">
        <f t="shared" si="58"/>
        <v>7.5976582657111234E-3</v>
      </c>
      <c r="U912" s="35"/>
      <c r="V912" s="35"/>
      <c r="W912" s="35"/>
      <c r="X912" s="35"/>
    </row>
    <row r="913" spans="4:24" x14ac:dyDescent="0.3">
      <c r="D913" s="23">
        <v>40904</v>
      </c>
      <c r="E913" s="5">
        <v>100.923294</v>
      </c>
      <c r="F913" s="28">
        <v>59.808</v>
      </c>
      <c r="G913" s="28">
        <v>154.91</v>
      </c>
      <c r="H913" s="28">
        <v>50.275100000000002</v>
      </c>
      <c r="I913" s="28">
        <v>51.883670000000002</v>
      </c>
      <c r="J913" s="29"/>
      <c r="K913" s="29"/>
      <c r="L913" s="29"/>
      <c r="M913" s="29"/>
      <c r="N913" s="29"/>
      <c r="P913" s="4">
        <f t="shared" si="58"/>
        <v>7.9082387578190247E-4</v>
      </c>
      <c r="Q913" s="4">
        <f t="shared" si="58"/>
        <v>-2.4036431767502525E-3</v>
      </c>
      <c r="R913" s="4">
        <f t="shared" si="58"/>
        <v>-8.9969117891082178E-3</v>
      </c>
      <c r="S913" s="4">
        <f t="shared" si="58"/>
        <v>3.7228761282062511E-3</v>
      </c>
      <c r="T913" s="4">
        <f t="shared" si="58"/>
        <v>1.5458852305448204E-4</v>
      </c>
      <c r="U913" s="35"/>
      <c r="V913" s="35"/>
      <c r="W913" s="35"/>
      <c r="X913" s="35"/>
    </row>
    <row r="914" spans="4:24" x14ac:dyDescent="0.3">
      <c r="D914" s="23">
        <v>40905</v>
      </c>
      <c r="E914" s="5">
        <v>99.598831000000004</v>
      </c>
      <c r="F914" s="28">
        <v>60.038330000000002</v>
      </c>
      <c r="G914" s="28">
        <v>151.03</v>
      </c>
      <c r="H914" s="28">
        <v>49.69406</v>
      </c>
      <c r="I914" s="28">
        <v>51.25065</v>
      </c>
      <c r="J914" s="29"/>
      <c r="K914" s="29"/>
      <c r="L914" s="29"/>
      <c r="M914" s="29"/>
      <c r="N914" s="29"/>
      <c r="P914" s="4">
        <f t="shared" si="58"/>
        <v>-1.321033538093557E-2</v>
      </c>
      <c r="Q914" s="4">
        <f t="shared" si="58"/>
        <v>3.8437603151306242E-3</v>
      </c>
      <c r="R914" s="4">
        <f t="shared" si="58"/>
        <v>-2.5365810540021343E-2</v>
      </c>
      <c r="S914" s="4">
        <f t="shared" si="58"/>
        <v>-1.1624515859677399E-2</v>
      </c>
      <c r="T914" s="4">
        <f t="shared" si="58"/>
        <v>-1.2275796250978419E-2</v>
      </c>
      <c r="U914" s="35"/>
      <c r="V914" s="35"/>
      <c r="W914" s="35"/>
      <c r="X914" s="35"/>
    </row>
    <row r="915" spans="4:24" x14ac:dyDescent="0.3">
      <c r="D915" s="23">
        <v>40906</v>
      </c>
      <c r="E915" s="5">
        <v>100.628128</v>
      </c>
      <c r="F915" s="28">
        <v>60.088709999999999</v>
      </c>
      <c r="G915" s="28">
        <v>150.34</v>
      </c>
      <c r="H915" s="28">
        <v>50.051639999999999</v>
      </c>
      <c r="I915" s="28">
        <v>51.755450000000003</v>
      </c>
      <c r="J915" s="29"/>
      <c r="K915" s="29"/>
      <c r="L915" s="29"/>
      <c r="M915" s="29"/>
      <c r="N915" s="29"/>
      <c r="P915" s="4">
        <f t="shared" si="58"/>
        <v>1.0281393395979372E-2</v>
      </c>
      <c r="Q915" s="4">
        <f t="shared" si="58"/>
        <v>8.3877872881462777E-4</v>
      </c>
      <c r="R915" s="4">
        <f t="shared" si="58"/>
        <v>-4.5790968289274071E-3</v>
      </c>
      <c r="S915" s="4">
        <f t="shared" si="58"/>
        <v>7.1698635999335424E-3</v>
      </c>
      <c r="T915" s="4">
        <f t="shared" si="58"/>
        <v>9.801439745090108E-3</v>
      </c>
      <c r="U915" s="35"/>
      <c r="V915" s="35"/>
      <c r="W915" s="35"/>
      <c r="X915" s="35"/>
    </row>
    <row r="916" spans="4:24" x14ac:dyDescent="0.3">
      <c r="D916" s="23">
        <v>40907</v>
      </c>
      <c r="E916" s="5">
        <v>100.13342299999999</v>
      </c>
      <c r="F916" s="28">
        <v>60.131869999999999</v>
      </c>
      <c r="G916" s="28">
        <v>151.99</v>
      </c>
      <c r="H916" s="28">
        <v>49.9086</v>
      </c>
      <c r="I916" s="28">
        <v>51.523090000000003</v>
      </c>
      <c r="J916" s="29"/>
      <c r="K916" s="29"/>
      <c r="L916" s="29"/>
      <c r="M916" s="29"/>
      <c r="N916" s="29"/>
      <c r="P916" s="4">
        <f t="shared" si="58"/>
        <v>-4.9282942756903141E-3</v>
      </c>
      <c r="Q916" s="4">
        <f t="shared" si="58"/>
        <v>7.1801353568974472E-4</v>
      </c>
      <c r="R916" s="4">
        <f t="shared" si="58"/>
        <v>1.0915333459046956E-2</v>
      </c>
      <c r="S916" s="4">
        <f t="shared" si="58"/>
        <v>-2.8619398599508306E-3</v>
      </c>
      <c r="T916" s="4">
        <f t="shared" si="58"/>
        <v>-4.4996839043673995E-3</v>
      </c>
      <c r="U916" s="35"/>
      <c r="V916" s="35"/>
      <c r="W916" s="35"/>
      <c r="X916" s="35"/>
    </row>
    <row r="917" spans="4:24" x14ac:dyDescent="0.3">
      <c r="D917" s="23">
        <v>40911</v>
      </c>
      <c r="E917" s="5">
        <v>101.729141</v>
      </c>
      <c r="F917" s="28">
        <v>59.944769999999998</v>
      </c>
      <c r="G917" s="28">
        <v>155.91999999999999</v>
      </c>
      <c r="H917" s="28">
        <v>50.865110000000001</v>
      </c>
      <c r="I917" s="28">
        <v>52.25226</v>
      </c>
      <c r="J917" s="29"/>
      <c r="K917" s="29"/>
      <c r="L917" s="29"/>
      <c r="M917" s="29"/>
      <c r="N917" s="29"/>
      <c r="P917" s="4">
        <f t="shared" ref="P917:T932" si="59">LN(E917/E916)</f>
        <v>1.5810274155653951E-2</v>
      </c>
      <c r="Q917" s="4">
        <f t="shared" si="59"/>
        <v>-3.1163455509774173E-3</v>
      </c>
      <c r="R917" s="4">
        <f t="shared" si="59"/>
        <v>2.5528325990935373E-2</v>
      </c>
      <c r="S917" s="4">
        <f t="shared" si="59"/>
        <v>1.8983894233402045E-2</v>
      </c>
      <c r="T917" s="4">
        <f t="shared" si="59"/>
        <v>1.4053086792385629E-2</v>
      </c>
      <c r="U917" s="35"/>
      <c r="V917" s="35"/>
      <c r="W917" s="35"/>
      <c r="X917" s="35"/>
    </row>
    <row r="918" spans="4:24" x14ac:dyDescent="0.3">
      <c r="D918" s="23">
        <v>40912</v>
      </c>
      <c r="E918" s="5">
        <v>101.888695</v>
      </c>
      <c r="F918" s="28">
        <v>59.973559999999999</v>
      </c>
      <c r="G918" s="28">
        <v>156.71</v>
      </c>
      <c r="H918" s="28">
        <v>51.079650000000001</v>
      </c>
      <c r="I918" s="28">
        <v>52.276299999999999</v>
      </c>
      <c r="J918" s="29"/>
      <c r="K918" s="29"/>
      <c r="L918" s="29"/>
      <c r="M918" s="29"/>
      <c r="N918" s="29"/>
      <c r="P918" s="4">
        <f t="shared" si="59"/>
        <v>1.5671911242250787E-3</v>
      </c>
      <c r="Q918" s="4">
        <f t="shared" si="59"/>
        <v>4.8016013153517027E-4</v>
      </c>
      <c r="R918" s="4">
        <f t="shared" si="59"/>
        <v>5.0539083358193621E-3</v>
      </c>
      <c r="S918" s="4">
        <f t="shared" si="59"/>
        <v>4.2089523133817851E-3</v>
      </c>
      <c r="T918" s="4">
        <f t="shared" si="59"/>
        <v>4.5996999143301144E-4</v>
      </c>
      <c r="U918" s="35"/>
      <c r="V918" s="35"/>
      <c r="W918" s="35"/>
      <c r="X918" s="35"/>
    </row>
    <row r="919" spans="4:24" x14ac:dyDescent="0.3">
      <c r="D919" s="23">
        <v>40913</v>
      </c>
      <c r="E919" s="5">
        <v>102.160027</v>
      </c>
      <c r="F919" s="28">
        <v>59.951929999999997</v>
      </c>
      <c r="G919" s="28">
        <v>157.78</v>
      </c>
      <c r="H919" s="28">
        <v>51.49982</v>
      </c>
      <c r="I919" s="28">
        <v>52.508679999999998</v>
      </c>
      <c r="J919" s="29"/>
      <c r="K919" s="29"/>
      <c r="L919" s="29"/>
      <c r="M919" s="29"/>
      <c r="N919" s="29"/>
      <c r="P919" s="4">
        <f t="shared" si="59"/>
        <v>2.6594840415056606E-3</v>
      </c>
      <c r="Q919" s="4">
        <f t="shared" si="59"/>
        <v>-3.6072398344244138E-4</v>
      </c>
      <c r="R919" s="4">
        <f t="shared" si="59"/>
        <v>6.8046941318189429E-3</v>
      </c>
      <c r="S919" s="4">
        <f t="shared" si="59"/>
        <v>8.1921333739555496E-3</v>
      </c>
      <c r="T919" s="4">
        <f t="shared" si="59"/>
        <v>4.4353757754015009E-3</v>
      </c>
      <c r="U919" s="35"/>
      <c r="V919" s="35"/>
      <c r="W919" s="35"/>
      <c r="X919" s="35"/>
    </row>
    <row r="920" spans="4:24" x14ac:dyDescent="0.3">
      <c r="D920" s="23">
        <v>40914</v>
      </c>
      <c r="E920" s="5">
        <v>101.896721</v>
      </c>
      <c r="F920" s="28">
        <v>59.987940000000002</v>
      </c>
      <c r="G920" s="28">
        <v>157.19999999999999</v>
      </c>
      <c r="H920" s="28">
        <v>51.678600000000003</v>
      </c>
      <c r="I920" s="28">
        <v>52.388489999999997</v>
      </c>
      <c r="J920" s="29"/>
      <c r="K920" s="29"/>
      <c r="L920" s="29"/>
      <c r="M920" s="29"/>
      <c r="N920" s="29"/>
      <c r="P920" s="4">
        <f t="shared" si="59"/>
        <v>-2.5807149110968989E-3</v>
      </c>
      <c r="Q920" s="4">
        <f t="shared" si="59"/>
        <v>6.0046756899086986E-4</v>
      </c>
      <c r="R920" s="4">
        <f t="shared" si="59"/>
        <v>-3.6827776718374385E-3</v>
      </c>
      <c r="S920" s="4">
        <f t="shared" si="59"/>
        <v>3.4654568061785315E-3</v>
      </c>
      <c r="T920" s="4">
        <f t="shared" si="59"/>
        <v>-2.291578554435127E-3</v>
      </c>
      <c r="U920" s="35"/>
      <c r="V920" s="35"/>
      <c r="W920" s="35"/>
      <c r="X920" s="35"/>
    </row>
    <row r="921" spans="4:24" x14ac:dyDescent="0.3">
      <c r="D921" s="23">
        <v>40917</v>
      </c>
      <c r="E921" s="5">
        <v>102.144043</v>
      </c>
      <c r="F921" s="28">
        <v>60.038330000000002</v>
      </c>
      <c r="G921" s="28">
        <v>156.5</v>
      </c>
      <c r="H921" s="28">
        <v>51.508740000000003</v>
      </c>
      <c r="I921" s="28">
        <v>52.508679999999998</v>
      </c>
      <c r="J921" s="29"/>
      <c r="K921" s="29"/>
      <c r="L921" s="29"/>
      <c r="M921" s="29"/>
      <c r="N921" s="29"/>
      <c r="P921" s="4">
        <f t="shared" si="59"/>
        <v>2.4242422570511808E-3</v>
      </c>
      <c r="Q921" s="4">
        <f t="shared" si="59"/>
        <v>8.3964956938940567E-4</v>
      </c>
      <c r="R921" s="4">
        <f t="shared" si="59"/>
        <v>-4.4628700148982058E-3</v>
      </c>
      <c r="S921" s="4">
        <f t="shared" si="59"/>
        <v>-3.2922673154741045E-3</v>
      </c>
      <c r="T921" s="4">
        <f t="shared" si="59"/>
        <v>2.2915785544351283E-3</v>
      </c>
      <c r="U921" s="35"/>
      <c r="V921" s="35"/>
      <c r="W921" s="35"/>
      <c r="X921" s="35"/>
    </row>
    <row r="922" spans="4:24" x14ac:dyDescent="0.3">
      <c r="D922" s="23">
        <v>40918</v>
      </c>
      <c r="E922" s="5">
        <v>103.02971599999999</v>
      </c>
      <c r="F922" s="28">
        <v>60.00956</v>
      </c>
      <c r="G922" s="28">
        <v>158.63999999999999</v>
      </c>
      <c r="H922" s="28">
        <v>51.884210000000003</v>
      </c>
      <c r="I922" s="28">
        <v>53.029519999999998</v>
      </c>
      <c r="J922" s="29"/>
      <c r="K922" s="29"/>
      <c r="L922" s="29"/>
      <c r="M922" s="29"/>
      <c r="N922" s="29"/>
      <c r="P922" s="4">
        <f t="shared" si="59"/>
        <v>8.6334481129710233E-3</v>
      </c>
      <c r="Q922" s="4">
        <f t="shared" si="59"/>
        <v>-4.793087250561988E-4</v>
      </c>
      <c r="R922" s="4">
        <f t="shared" si="59"/>
        <v>1.3581474231332581E-2</v>
      </c>
      <c r="S922" s="4">
        <f t="shared" si="59"/>
        <v>7.263002952135735E-3</v>
      </c>
      <c r="T922" s="4">
        <f t="shared" si="59"/>
        <v>9.8702503629174241E-3</v>
      </c>
      <c r="U922" s="35"/>
      <c r="V922" s="35"/>
      <c r="W922" s="35"/>
      <c r="X922" s="35"/>
    </row>
    <row r="923" spans="4:24" x14ac:dyDescent="0.3">
      <c r="D923" s="23">
        <v>40919</v>
      </c>
      <c r="E923" s="5">
        <v>103.085548</v>
      </c>
      <c r="F923" s="28">
        <v>60.153500000000001</v>
      </c>
      <c r="G923" s="28">
        <v>159.66999999999999</v>
      </c>
      <c r="H923" s="28">
        <v>51.991480000000003</v>
      </c>
      <c r="I923" s="28">
        <v>53.125680000000003</v>
      </c>
      <c r="J923" s="29"/>
      <c r="K923" s="29"/>
      <c r="L923" s="29"/>
      <c r="M923" s="29"/>
      <c r="N923" s="29"/>
      <c r="P923" s="4">
        <f t="shared" si="59"/>
        <v>5.4175513527764531E-4</v>
      </c>
      <c r="Q923" s="4">
        <f t="shared" si="59"/>
        <v>2.3957457282873336E-3</v>
      </c>
      <c r="R923" s="4">
        <f t="shared" si="59"/>
        <v>6.471701140069383E-3</v>
      </c>
      <c r="S923" s="4">
        <f t="shared" si="59"/>
        <v>2.0653540425423474E-3</v>
      </c>
      <c r="T923" s="4">
        <f t="shared" si="59"/>
        <v>1.8116875348821579E-3</v>
      </c>
      <c r="U923" s="35"/>
      <c r="V923" s="35"/>
      <c r="W923" s="35"/>
      <c r="X923" s="35"/>
    </row>
    <row r="924" spans="4:24" x14ac:dyDescent="0.3">
      <c r="D924" s="23">
        <v>40920</v>
      </c>
      <c r="E924" s="5">
        <v>103.33287</v>
      </c>
      <c r="F924" s="28">
        <v>60.06711</v>
      </c>
      <c r="G924" s="28">
        <v>160.38</v>
      </c>
      <c r="H924" s="28">
        <v>52.19708</v>
      </c>
      <c r="I924" s="28">
        <v>53.253880000000002</v>
      </c>
      <c r="J924" s="29"/>
      <c r="K924" s="29"/>
      <c r="L924" s="29"/>
      <c r="M924" s="29"/>
      <c r="N924" s="29"/>
      <c r="P924" s="4">
        <f t="shared" si="59"/>
        <v>2.3963183203021955E-3</v>
      </c>
      <c r="Q924" s="4">
        <f t="shared" si="59"/>
        <v>-1.4371914244989928E-3</v>
      </c>
      <c r="R924" s="4">
        <f t="shared" si="59"/>
        <v>4.4368140272726267E-3</v>
      </c>
      <c r="S924" s="4">
        <f t="shared" si="59"/>
        <v>3.9466956233138199E-3</v>
      </c>
      <c r="T924" s="4">
        <f t="shared" si="59"/>
        <v>2.4102386221968703E-3</v>
      </c>
      <c r="U924" s="35"/>
      <c r="V924" s="35"/>
      <c r="W924" s="35"/>
      <c r="X924" s="35"/>
    </row>
    <row r="925" spans="4:24" x14ac:dyDescent="0.3">
      <c r="D925" s="23">
        <v>40921</v>
      </c>
      <c r="E925" s="5">
        <v>102.798317</v>
      </c>
      <c r="F925" s="28">
        <v>60.24709</v>
      </c>
      <c r="G925" s="28">
        <v>159.26</v>
      </c>
      <c r="H925" s="28">
        <v>52.009349999999998</v>
      </c>
      <c r="I925" s="28">
        <v>53.005470000000003</v>
      </c>
      <c r="J925" s="29"/>
      <c r="K925" s="29"/>
      <c r="L925" s="29"/>
      <c r="M925" s="29"/>
      <c r="N925" s="29"/>
      <c r="P925" s="4">
        <f t="shared" si="59"/>
        <v>-5.1865436383440123E-3</v>
      </c>
      <c r="Q925" s="4">
        <f t="shared" si="59"/>
        <v>2.991835282140217E-3</v>
      </c>
      <c r="R925" s="4">
        <f t="shared" si="59"/>
        <v>-7.0079125495838852E-3</v>
      </c>
      <c r="S925" s="4">
        <f t="shared" si="59"/>
        <v>-3.6030445163783053E-3</v>
      </c>
      <c r="T925" s="4">
        <f t="shared" si="59"/>
        <v>-4.6755500110992531E-3</v>
      </c>
      <c r="U925" s="35"/>
      <c r="V925" s="35"/>
      <c r="W925" s="35"/>
      <c r="X925" s="35"/>
    </row>
    <row r="926" spans="4:24" x14ac:dyDescent="0.3">
      <c r="D926" s="23">
        <v>40925</v>
      </c>
      <c r="E926" s="5">
        <v>103.19723500000001</v>
      </c>
      <c r="F926" s="28">
        <v>60.196660000000001</v>
      </c>
      <c r="G926" s="28">
        <v>160.5</v>
      </c>
      <c r="H926" s="28">
        <v>52.483139999999999</v>
      </c>
      <c r="I926" s="28">
        <v>53.125680000000003</v>
      </c>
      <c r="J926" s="29"/>
      <c r="K926" s="29"/>
      <c r="L926" s="29"/>
      <c r="M926" s="29"/>
      <c r="N926" s="29"/>
      <c r="P926" s="4">
        <f t="shared" si="59"/>
        <v>3.8730787611564546E-3</v>
      </c>
      <c r="Q926" s="4">
        <f t="shared" si="59"/>
        <v>-8.3740340112258016E-4</v>
      </c>
      <c r="R926" s="4">
        <f t="shared" si="59"/>
        <v>7.7558557407718413E-3</v>
      </c>
      <c r="S926" s="4">
        <f t="shared" si="59"/>
        <v>9.0684650527557489E-3</v>
      </c>
      <c r="T926" s="4">
        <f t="shared" si="59"/>
        <v>2.2653113889023677E-3</v>
      </c>
      <c r="U926" s="35"/>
      <c r="V926" s="35"/>
      <c r="W926" s="35"/>
      <c r="X926" s="35"/>
    </row>
    <row r="927" spans="4:24" x14ac:dyDescent="0.3">
      <c r="D927" s="23">
        <v>40926</v>
      </c>
      <c r="E927" s="5">
        <v>104.338234</v>
      </c>
      <c r="F927" s="28">
        <v>60.182290000000002</v>
      </c>
      <c r="G927" s="28">
        <v>161.6</v>
      </c>
      <c r="H927" s="28">
        <v>53.180410000000002</v>
      </c>
      <c r="I927" s="28">
        <v>53.7667</v>
      </c>
      <c r="J927" s="29"/>
      <c r="K927" s="29"/>
      <c r="L927" s="29"/>
      <c r="M927" s="29"/>
      <c r="N927" s="29"/>
      <c r="P927" s="4">
        <f t="shared" si="59"/>
        <v>1.0995811962061111E-2</v>
      </c>
      <c r="Q927" s="4">
        <f t="shared" si="59"/>
        <v>-2.3874606097253507E-4</v>
      </c>
      <c r="R927" s="4">
        <f t="shared" si="59"/>
        <v>6.8302035169243835E-3</v>
      </c>
      <c r="S927" s="4">
        <f t="shared" si="59"/>
        <v>1.3198120287417171E-2</v>
      </c>
      <c r="T927" s="4">
        <f t="shared" si="59"/>
        <v>1.1993889263001866E-2</v>
      </c>
      <c r="U927" s="35"/>
      <c r="V927" s="35"/>
      <c r="W927" s="35"/>
      <c r="X927" s="35"/>
    </row>
    <row r="928" spans="4:24" x14ac:dyDescent="0.3">
      <c r="D928" s="23">
        <v>40927</v>
      </c>
      <c r="E928" s="5">
        <v>104.888733</v>
      </c>
      <c r="F928" s="28">
        <v>60.124699999999997</v>
      </c>
      <c r="G928" s="28">
        <v>161.22</v>
      </c>
      <c r="H928" s="28">
        <v>53.51117</v>
      </c>
      <c r="I928" s="28">
        <v>54.095230000000001</v>
      </c>
      <c r="J928" s="29"/>
      <c r="K928" s="29"/>
      <c r="L928" s="29"/>
      <c r="M928" s="29"/>
      <c r="N928" s="29"/>
      <c r="P928" s="4">
        <f t="shared" si="59"/>
        <v>5.2622305644278019E-3</v>
      </c>
      <c r="Q928" s="4">
        <f t="shared" si="59"/>
        <v>-9.5738417857259186E-4</v>
      </c>
      <c r="R928" s="4">
        <f t="shared" si="59"/>
        <v>-2.3542542315400927E-3</v>
      </c>
      <c r="S928" s="4">
        <f t="shared" si="59"/>
        <v>6.2003217056831499E-3</v>
      </c>
      <c r="T928" s="4">
        <f t="shared" si="59"/>
        <v>6.091695484111509E-3</v>
      </c>
      <c r="U928" s="35"/>
      <c r="V928" s="35"/>
      <c r="W928" s="35"/>
      <c r="X928" s="35"/>
    </row>
    <row r="929" spans="4:24" x14ac:dyDescent="0.3">
      <c r="D929" s="23">
        <v>40928</v>
      </c>
      <c r="E929" s="5">
        <v>105.279724</v>
      </c>
      <c r="F929" s="28">
        <v>60.00956</v>
      </c>
      <c r="G929" s="28">
        <v>162.07</v>
      </c>
      <c r="H929" s="28">
        <v>53.43074</v>
      </c>
      <c r="I929" s="28">
        <v>54.111269999999998</v>
      </c>
      <c r="J929" s="29"/>
      <c r="K929" s="29"/>
      <c r="L929" s="29"/>
      <c r="M929" s="29"/>
      <c r="N929" s="29"/>
      <c r="P929" s="4">
        <f t="shared" si="59"/>
        <v>3.7207434136603888E-3</v>
      </c>
      <c r="Q929" s="4">
        <f t="shared" si="59"/>
        <v>-1.9168559452608831E-3</v>
      </c>
      <c r="R929" s="4">
        <f t="shared" si="59"/>
        <v>5.2584488145733391E-3</v>
      </c>
      <c r="S929" s="4">
        <f t="shared" si="59"/>
        <v>-1.5041813852925843E-3</v>
      </c>
      <c r="T929" s="4">
        <f t="shared" si="59"/>
        <v>2.9647017725342387E-4</v>
      </c>
      <c r="U929" s="35"/>
      <c r="V929" s="35"/>
      <c r="W929" s="35"/>
      <c r="X929" s="35"/>
    </row>
    <row r="930" spans="4:24" x14ac:dyDescent="0.3">
      <c r="D930" s="23">
        <v>40931</v>
      </c>
      <c r="E930" s="5">
        <v>105.00842299999999</v>
      </c>
      <c r="F930" s="28">
        <v>59.937530000000002</v>
      </c>
      <c r="G930" s="28">
        <v>163.16</v>
      </c>
      <c r="H930" s="28">
        <v>53.448599999999999</v>
      </c>
      <c r="I930" s="28">
        <v>54.127270000000003</v>
      </c>
      <c r="J930" s="29"/>
      <c r="K930" s="29"/>
      <c r="L930" s="29"/>
      <c r="M930" s="29"/>
      <c r="N930" s="29"/>
      <c r="P930" s="4">
        <f t="shared" si="59"/>
        <v>-2.5802800052570087E-3</v>
      </c>
      <c r="Q930" s="4">
        <f t="shared" si="59"/>
        <v>-1.201029698318457E-3</v>
      </c>
      <c r="R930" s="4">
        <f t="shared" si="59"/>
        <v>6.7029737793294604E-3</v>
      </c>
      <c r="S930" s="4">
        <f t="shared" si="59"/>
        <v>3.3420865372560301E-4</v>
      </c>
      <c r="T930" s="4">
        <f t="shared" si="59"/>
        <v>2.9564330998071569E-4</v>
      </c>
      <c r="U930" s="35"/>
      <c r="V930" s="35"/>
      <c r="W930" s="35"/>
      <c r="X930" s="35"/>
    </row>
    <row r="931" spans="4:24" x14ac:dyDescent="0.3">
      <c r="D931" s="23">
        <v>40932</v>
      </c>
      <c r="E931" s="5">
        <v>104.888733</v>
      </c>
      <c r="F931" s="28">
        <v>59.951929999999997</v>
      </c>
      <c r="G931" s="28">
        <v>162.01</v>
      </c>
      <c r="H931" s="28">
        <v>53.350259999999999</v>
      </c>
      <c r="I931" s="28">
        <v>54.11927</v>
      </c>
      <c r="J931" s="29"/>
      <c r="K931" s="29"/>
      <c r="L931" s="29"/>
      <c r="M931" s="29"/>
      <c r="N931" s="29"/>
      <c r="P931" s="4">
        <f t="shared" si="59"/>
        <v>-1.1404634084032422E-3</v>
      </c>
      <c r="Q931" s="4">
        <f t="shared" si="59"/>
        <v>2.4022128499431462E-4</v>
      </c>
      <c r="R931" s="4">
        <f t="shared" si="59"/>
        <v>-7.0732527270309029E-3</v>
      </c>
      <c r="S931" s="4">
        <f t="shared" si="59"/>
        <v>-1.8415932116327392E-3</v>
      </c>
      <c r="T931" s="4">
        <f t="shared" si="59"/>
        <v>-1.4781072936961016E-4</v>
      </c>
      <c r="U931" s="35"/>
      <c r="V931" s="35"/>
      <c r="W931" s="35"/>
      <c r="X931" s="35"/>
    </row>
    <row r="932" spans="4:24" x14ac:dyDescent="0.3">
      <c r="D932" s="23">
        <v>40933</v>
      </c>
      <c r="E932" s="5">
        <v>105.766403</v>
      </c>
      <c r="F932" s="28">
        <v>60.124699999999997</v>
      </c>
      <c r="G932" s="28">
        <v>166.42</v>
      </c>
      <c r="H932" s="28">
        <v>54.020719999999997</v>
      </c>
      <c r="I932" s="28">
        <v>54.616079999999997</v>
      </c>
      <c r="J932" s="29"/>
      <c r="K932" s="29"/>
      <c r="L932" s="29"/>
      <c r="M932" s="29"/>
      <c r="N932" s="29"/>
      <c r="P932" s="4">
        <f t="shared" si="59"/>
        <v>8.3328144296505955E-3</v>
      </c>
      <c r="Q932" s="4">
        <f t="shared" si="59"/>
        <v>2.8776643585848418E-3</v>
      </c>
      <c r="R932" s="4">
        <f t="shared" si="59"/>
        <v>2.6856651749956981E-2</v>
      </c>
      <c r="S932" s="4">
        <f t="shared" si="59"/>
        <v>1.2488825459611807E-2</v>
      </c>
      <c r="T932" s="4">
        <f t="shared" si="59"/>
        <v>9.1380302194945598E-3</v>
      </c>
      <c r="U932" s="35"/>
      <c r="V932" s="35"/>
      <c r="W932" s="35"/>
      <c r="X932" s="35"/>
    </row>
    <row r="933" spans="4:24" x14ac:dyDescent="0.3">
      <c r="D933" s="23">
        <v>40934</v>
      </c>
      <c r="E933" s="5">
        <v>105.2239</v>
      </c>
      <c r="F933" s="28">
        <v>60.283009999999997</v>
      </c>
      <c r="G933" s="28">
        <v>167.27</v>
      </c>
      <c r="H933" s="28">
        <v>53.832999999999998</v>
      </c>
      <c r="I933" s="28">
        <v>54.335610000000003</v>
      </c>
      <c r="J933" s="29"/>
      <c r="K933" s="29"/>
      <c r="L933" s="29"/>
      <c r="M933" s="29"/>
      <c r="N933" s="29"/>
      <c r="P933" s="4">
        <f t="shared" ref="P933:T948" si="60">LN(E933/E932)</f>
        <v>-5.1424561965194571E-3</v>
      </c>
      <c r="Q933" s="4">
        <f t="shared" si="60"/>
        <v>2.6295673461636743E-3</v>
      </c>
      <c r="R933" s="4">
        <f t="shared" si="60"/>
        <v>5.094559851633625E-3</v>
      </c>
      <c r="S933" s="4">
        <f t="shared" si="60"/>
        <v>-3.4810146475703265E-3</v>
      </c>
      <c r="T933" s="4">
        <f t="shared" si="60"/>
        <v>-5.1485317858484154E-3</v>
      </c>
      <c r="U933" s="35"/>
      <c r="V933" s="35"/>
      <c r="W933" s="35"/>
      <c r="X933" s="35"/>
    </row>
    <row r="934" spans="4:24" x14ac:dyDescent="0.3">
      <c r="D934" s="23">
        <v>40935</v>
      </c>
      <c r="E934" s="5">
        <v>105.17598</v>
      </c>
      <c r="F934" s="28">
        <v>60.391030000000001</v>
      </c>
      <c r="G934" s="28">
        <v>168.97</v>
      </c>
      <c r="H934" s="28">
        <v>53.993899999999996</v>
      </c>
      <c r="I934" s="28">
        <v>54.375689999999999</v>
      </c>
      <c r="J934" s="29"/>
      <c r="K934" s="29"/>
      <c r="L934" s="29"/>
      <c r="M934" s="29"/>
      <c r="N934" s="29"/>
      <c r="P934" s="4">
        <f t="shared" si="60"/>
        <v>-4.5551357565971006E-4</v>
      </c>
      <c r="Q934" s="4">
        <f t="shared" si="60"/>
        <v>1.7902778236512183E-3</v>
      </c>
      <c r="R934" s="4">
        <f t="shared" si="60"/>
        <v>1.0111911048640988E-2</v>
      </c>
      <c r="S934" s="4">
        <f t="shared" si="60"/>
        <v>2.9844151955484332E-3</v>
      </c>
      <c r="T934" s="4">
        <f t="shared" si="60"/>
        <v>7.3736588222172105E-4</v>
      </c>
      <c r="U934" s="35"/>
      <c r="V934" s="35"/>
      <c r="W934" s="35"/>
      <c r="X934" s="35"/>
    </row>
    <row r="935" spans="4:24" x14ac:dyDescent="0.3">
      <c r="D935" s="23">
        <v>40938</v>
      </c>
      <c r="E935" s="5">
        <v>104.816925</v>
      </c>
      <c r="F935" s="28">
        <v>60.462989999999998</v>
      </c>
      <c r="G935" s="28">
        <v>168.03</v>
      </c>
      <c r="H935" s="28">
        <v>54.038589999999999</v>
      </c>
      <c r="I935" s="28">
        <v>54.15934</v>
      </c>
      <c r="J935" s="29"/>
      <c r="K935" s="29"/>
      <c r="L935" s="29"/>
      <c r="M935" s="29"/>
      <c r="N935" s="29"/>
      <c r="P935" s="4">
        <f t="shared" si="60"/>
        <v>-3.4196902977027656E-3</v>
      </c>
      <c r="Q935" s="4">
        <f t="shared" si="60"/>
        <v>1.1908583347765387E-3</v>
      </c>
      <c r="R935" s="4">
        <f t="shared" si="60"/>
        <v>-5.5786494827077268E-3</v>
      </c>
      <c r="S935" s="4">
        <f t="shared" si="60"/>
        <v>8.2734374722253496E-4</v>
      </c>
      <c r="T935" s="4">
        <f t="shared" si="60"/>
        <v>-3.986736568953487E-3</v>
      </c>
      <c r="U935" s="35"/>
      <c r="V935" s="35"/>
      <c r="W935" s="35"/>
      <c r="X935" s="35"/>
    </row>
    <row r="936" spans="4:24" x14ac:dyDescent="0.3">
      <c r="D936" s="23">
        <v>40939</v>
      </c>
      <c r="E936" s="5">
        <v>104.777046</v>
      </c>
      <c r="F936" s="28">
        <v>60.513390000000001</v>
      </c>
      <c r="G936" s="28">
        <v>169.31</v>
      </c>
      <c r="H936" s="28">
        <v>54.110109999999999</v>
      </c>
      <c r="I936" s="28">
        <v>54.135309999999997</v>
      </c>
      <c r="J936" s="29"/>
      <c r="K936" s="29"/>
      <c r="L936" s="29"/>
      <c r="M936" s="29"/>
      <c r="N936" s="29"/>
      <c r="P936" s="4">
        <f t="shared" si="60"/>
        <v>-3.8053575960190171E-4</v>
      </c>
      <c r="Q936" s="4">
        <f t="shared" si="60"/>
        <v>8.3322054959622288E-4</v>
      </c>
      <c r="R936" s="4">
        <f t="shared" si="60"/>
        <v>7.588819250289861E-3</v>
      </c>
      <c r="S936" s="4">
        <f t="shared" si="60"/>
        <v>1.3226235807925612E-3</v>
      </c>
      <c r="T936" s="4">
        <f t="shared" si="60"/>
        <v>-4.43789243409393E-4</v>
      </c>
      <c r="U936" s="35"/>
      <c r="V936" s="35"/>
      <c r="W936" s="35"/>
      <c r="X936" s="35"/>
    </row>
    <row r="937" spans="4:24" x14ac:dyDescent="0.3">
      <c r="D937" s="23">
        <v>40940</v>
      </c>
      <c r="E937" s="5">
        <v>105.69459500000001</v>
      </c>
      <c r="F937" s="28">
        <v>60.451340000000002</v>
      </c>
      <c r="G937" s="28">
        <v>169.56</v>
      </c>
      <c r="H937" s="28">
        <v>54.54815</v>
      </c>
      <c r="I937" s="28">
        <v>54.76032</v>
      </c>
      <c r="J937" s="29"/>
      <c r="K937" s="29"/>
      <c r="L937" s="29"/>
      <c r="M937" s="29"/>
      <c r="N937" s="29"/>
      <c r="P937" s="4">
        <f t="shared" si="60"/>
        <v>8.7190351006559523E-3</v>
      </c>
      <c r="Q937" s="4">
        <f t="shared" si="60"/>
        <v>-1.0259189673279753E-3</v>
      </c>
      <c r="R937" s="4">
        <f t="shared" si="60"/>
        <v>1.4754923442959556E-3</v>
      </c>
      <c r="S937" s="4">
        <f t="shared" si="60"/>
        <v>8.0627533149490605E-3</v>
      </c>
      <c r="T937" s="4">
        <f t="shared" si="60"/>
        <v>1.147919091354865E-2</v>
      </c>
      <c r="U937" s="35"/>
      <c r="V937" s="35"/>
      <c r="W937" s="35"/>
      <c r="X937" s="35"/>
    </row>
    <row r="938" spans="4:24" x14ac:dyDescent="0.3">
      <c r="D938" s="23">
        <v>40941</v>
      </c>
      <c r="E938" s="5">
        <v>105.86216</v>
      </c>
      <c r="F938" s="28">
        <v>60.545110000000001</v>
      </c>
      <c r="G938" s="28">
        <v>171.05</v>
      </c>
      <c r="H938" s="28">
        <v>54.718000000000004</v>
      </c>
      <c r="I938" s="28">
        <v>54.856470000000002</v>
      </c>
      <c r="J938" s="29"/>
      <c r="K938" s="29"/>
      <c r="L938" s="29"/>
      <c r="M938" s="29"/>
      <c r="N938" s="29"/>
      <c r="P938" s="4">
        <f t="shared" si="60"/>
        <v>1.5841142490664684E-3</v>
      </c>
      <c r="Q938" s="4">
        <f t="shared" si="60"/>
        <v>1.5499631397885925E-3</v>
      </c>
      <c r="R938" s="4">
        <f t="shared" si="60"/>
        <v>8.7490649391773669E-3</v>
      </c>
      <c r="S938" s="4">
        <f t="shared" si="60"/>
        <v>3.108925075256778E-3</v>
      </c>
      <c r="T938" s="4">
        <f t="shared" si="60"/>
        <v>1.7542937474970314E-3</v>
      </c>
      <c r="U938" s="35"/>
      <c r="V938" s="35"/>
      <c r="W938" s="35"/>
      <c r="X938" s="35"/>
    </row>
    <row r="939" spans="4:24" x14ac:dyDescent="0.3">
      <c r="D939" s="23">
        <v>40942</v>
      </c>
      <c r="E939" s="5">
        <v>107.346191</v>
      </c>
      <c r="F939" s="28">
        <v>60.465769999999999</v>
      </c>
      <c r="G939" s="28">
        <v>167.64</v>
      </c>
      <c r="H939" s="28">
        <v>55.468899999999998</v>
      </c>
      <c r="I939" s="28">
        <v>55.673789999999997</v>
      </c>
      <c r="J939" s="29"/>
      <c r="K939" s="29"/>
      <c r="L939" s="29"/>
      <c r="M939" s="29"/>
      <c r="N939" s="29"/>
      <c r="P939" s="4">
        <f t="shared" si="60"/>
        <v>1.3921171098032337E-2</v>
      </c>
      <c r="Q939" s="4">
        <f t="shared" si="60"/>
        <v>-1.3112872391076731E-3</v>
      </c>
      <c r="R939" s="4">
        <f t="shared" si="60"/>
        <v>-2.0137088366743015E-2</v>
      </c>
      <c r="S939" s="4">
        <f t="shared" si="60"/>
        <v>1.362978039274943E-2</v>
      </c>
      <c r="T939" s="4">
        <f t="shared" si="60"/>
        <v>1.4789341801608111E-2</v>
      </c>
      <c r="U939" s="35"/>
      <c r="V939" s="35"/>
      <c r="W939" s="35"/>
      <c r="X939" s="35"/>
    </row>
    <row r="940" spans="4:24" x14ac:dyDescent="0.3">
      <c r="D940" s="23">
        <v>40945</v>
      </c>
      <c r="E940" s="5">
        <v>107.274399</v>
      </c>
      <c r="F940" s="28">
        <v>60.494639999999997</v>
      </c>
      <c r="G940" s="28">
        <v>167.18</v>
      </c>
      <c r="H940" s="28">
        <v>55.424210000000002</v>
      </c>
      <c r="I940" s="28">
        <v>55.641719999999999</v>
      </c>
      <c r="J940" s="29"/>
      <c r="K940" s="29"/>
      <c r="L940" s="29"/>
      <c r="M940" s="29"/>
      <c r="N940" s="29"/>
      <c r="P940" s="4">
        <f t="shared" si="60"/>
        <v>-6.6901318906746512E-4</v>
      </c>
      <c r="Q940" s="4">
        <f t="shared" si="60"/>
        <v>4.7734627467258391E-4</v>
      </c>
      <c r="R940" s="4">
        <f t="shared" si="60"/>
        <v>-2.7477467858606055E-3</v>
      </c>
      <c r="S940" s="4">
        <f t="shared" si="60"/>
        <v>-8.060014264070738E-4</v>
      </c>
      <c r="T940" s="4">
        <f t="shared" si="60"/>
        <v>-5.7620004413195863E-4</v>
      </c>
      <c r="U940" s="35"/>
      <c r="V940" s="35"/>
      <c r="W940" s="35"/>
      <c r="X940" s="35"/>
    </row>
    <row r="941" spans="4:24" x14ac:dyDescent="0.3">
      <c r="D941" s="23">
        <v>40946</v>
      </c>
      <c r="E941" s="5">
        <v>107.545647</v>
      </c>
      <c r="F941" s="28">
        <v>60.415260000000004</v>
      </c>
      <c r="G941" s="28">
        <v>169.7</v>
      </c>
      <c r="H941" s="28">
        <v>55.540410000000001</v>
      </c>
      <c r="I941" s="28">
        <v>55.769919999999999</v>
      </c>
      <c r="J941" s="29"/>
      <c r="K941" s="29"/>
      <c r="L941" s="29"/>
      <c r="M941" s="29"/>
      <c r="N941" s="29"/>
      <c r="P941" s="4">
        <f t="shared" si="60"/>
        <v>2.5253522583719868E-3</v>
      </c>
      <c r="Q941" s="4">
        <f t="shared" si="60"/>
        <v>-1.3130440336947622E-3</v>
      </c>
      <c r="R941" s="4">
        <f t="shared" si="60"/>
        <v>1.4961095969170363E-2</v>
      </c>
      <c r="S941" s="4">
        <f t="shared" si="60"/>
        <v>2.0943620133068159E-3</v>
      </c>
      <c r="T941" s="4">
        <f t="shared" si="60"/>
        <v>2.3013763477943111E-3</v>
      </c>
      <c r="U941" s="35"/>
      <c r="V941" s="35"/>
      <c r="W941" s="35"/>
      <c r="X941" s="35"/>
    </row>
    <row r="942" spans="4:24" x14ac:dyDescent="0.3">
      <c r="D942" s="23">
        <v>40947</v>
      </c>
      <c r="E942" s="5">
        <v>107.86481499999999</v>
      </c>
      <c r="F942" s="28">
        <v>60.3431</v>
      </c>
      <c r="G942" s="28">
        <v>168.5</v>
      </c>
      <c r="H942" s="28">
        <v>55.835419999999999</v>
      </c>
      <c r="I942" s="28">
        <v>55.890120000000003</v>
      </c>
      <c r="J942" s="29"/>
      <c r="K942" s="29"/>
      <c r="L942" s="29"/>
      <c r="M942" s="29"/>
      <c r="N942" s="29"/>
      <c r="P942" s="4">
        <f t="shared" si="60"/>
        <v>2.9633494176605842E-3</v>
      </c>
      <c r="Q942" s="4">
        <f t="shared" si="60"/>
        <v>-1.1951140871544034E-3</v>
      </c>
      <c r="R942" s="4">
        <f t="shared" si="60"/>
        <v>-7.0964224477641788E-3</v>
      </c>
      <c r="S942" s="4">
        <f t="shared" si="60"/>
        <v>5.2975711145966222E-3</v>
      </c>
      <c r="T942" s="4">
        <f t="shared" si="60"/>
        <v>2.1529644164522722E-3</v>
      </c>
      <c r="U942" s="35"/>
      <c r="V942" s="35"/>
      <c r="W942" s="35"/>
      <c r="X942" s="35"/>
    </row>
    <row r="943" spans="4:24" x14ac:dyDescent="0.3">
      <c r="D943" s="23">
        <v>40948</v>
      </c>
      <c r="E943" s="5">
        <v>108.00046500000001</v>
      </c>
      <c r="F943" s="28">
        <v>60.35033</v>
      </c>
      <c r="G943" s="28">
        <v>168.02</v>
      </c>
      <c r="H943" s="28">
        <v>56.237679999999997</v>
      </c>
      <c r="I943" s="28">
        <v>55.978270000000002</v>
      </c>
      <c r="J943" s="29"/>
      <c r="K943" s="29"/>
      <c r="L943" s="29"/>
      <c r="M943" s="29"/>
      <c r="N943" s="29"/>
      <c r="P943" s="4">
        <f t="shared" si="60"/>
        <v>1.2568025562566321E-3</v>
      </c>
      <c r="Q943" s="4">
        <f t="shared" si="60"/>
        <v>1.1980768147271124E-4</v>
      </c>
      <c r="R943" s="4">
        <f t="shared" si="60"/>
        <v>-2.8527298557152882E-3</v>
      </c>
      <c r="S943" s="4">
        <f t="shared" si="60"/>
        <v>7.1785598404559524E-3</v>
      </c>
      <c r="T943" s="4">
        <f t="shared" si="60"/>
        <v>1.5759593616115871E-3</v>
      </c>
      <c r="U943" s="35"/>
      <c r="V943" s="35"/>
      <c r="W943" s="35"/>
      <c r="X943" s="35"/>
    </row>
    <row r="944" spans="4:24" x14ac:dyDescent="0.3">
      <c r="D944" s="23">
        <v>40949</v>
      </c>
      <c r="E944" s="5">
        <v>107.20259900000001</v>
      </c>
      <c r="F944" s="28">
        <v>60.393569999999997</v>
      </c>
      <c r="G944" s="28">
        <v>167.14</v>
      </c>
      <c r="H944" s="28">
        <v>55.844360000000002</v>
      </c>
      <c r="I944" s="28">
        <v>55.53754</v>
      </c>
      <c r="J944" s="29"/>
      <c r="K944" s="29"/>
      <c r="L944" s="29"/>
      <c r="M944" s="29"/>
      <c r="N944" s="29"/>
      <c r="P944" s="4">
        <f t="shared" si="60"/>
        <v>-7.4150399247104619E-3</v>
      </c>
      <c r="Q944" s="4">
        <f t="shared" si="60"/>
        <v>7.162266888586454E-4</v>
      </c>
      <c r="R944" s="4">
        <f t="shared" si="60"/>
        <v>-5.2512353634111084E-3</v>
      </c>
      <c r="S944" s="4">
        <f t="shared" si="60"/>
        <v>-7.0184592381965834E-3</v>
      </c>
      <c r="T944" s="4">
        <f t="shared" si="60"/>
        <v>-7.9043912196808085E-3</v>
      </c>
      <c r="U944" s="35"/>
      <c r="V944" s="35"/>
      <c r="W944" s="35"/>
      <c r="X944" s="35"/>
    </row>
    <row r="945" spans="4:24" x14ac:dyDescent="0.3">
      <c r="D945" s="23">
        <v>40952</v>
      </c>
      <c r="E945" s="5">
        <v>108.00046500000001</v>
      </c>
      <c r="F945" s="28">
        <v>60.386380000000003</v>
      </c>
      <c r="G945" s="28">
        <v>167.51</v>
      </c>
      <c r="H945" s="28">
        <v>56.362850000000002</v>
      </c>
      <c r="I945" s="28">
        <v>55.962229999999998</v>
      </c>
      <c r="J945" s="29"/>
      <c r="K945" s="29"/>
      <c r="L945" s="29"/>
      <c r="M945" s="29"/>
      <c r="N945" s="29"/>
      <c r="P945" s="4">
        <f t="shared" si="60"/>
        <v>7.4150399247105182E-3</v>
      </c>
      <c r="Q945" s="4">
        <f t="shared" si="60"/>
        <v>-1.1905949635663858E-4</v>
      </c>
      <c r="R945" s="4">
        <f t="shared" si="60"/>
        <v>2.2112664023051548E-3</v>
      </c>
      <c r="S945" s="4">
        <f t="shared" si="60"/>
        <v>9.2417178952977439E-3</v>
      </c>
      <c r="T945" s="4">
        <f t="shared" si="60"/>
        <v>7.6178104002314947E-3</v>
      </c>
      <c r="U945" s="35"/>
      <c r="V945" s="35"/>
      <c r="W945" s="35"/>
      <c r="X945" s="35"/>
    </row>
    <row r="946" spans="4:24" x14ac:dyDescent="0.3">
      <c r="D946" s="23">
        <v>40953</v>
      </c>
      <c r="E946" s="5">
        <v>107.86481499999999</v>
      </c>
      <c r="F946" s="28">
        <v>60.465769999999999</v>
      </c>
      <c r="G946" s="28">
        <v>167.12</v>
      </c>
      <c r="H946" s="28">
        <v>56.505879999999998</v>
      </c>
      <c r="I946" s="28">
        <v>55.882100000000001</v>
      </c>
      <c r="J946" s="29"/>
      <c r="K946" s="29"/>
      <c r="L946" s="29"/>
      <c r="M946" s="29"/>
      <c r="N946" s="29"/>
      <c r="P946" s="4">
        <f t="shared" si="60"/>
        <v>-1.2568025562567956E-3</v>
      </c>
      <c r="Q946" s="4">
        <f t="shared" si="60"/>
        <v>1.3138369722017851E-3</v>
      </c>
      <c r="R946" s="4">
        <f t="shared" si="60"/>
        <v>-2.3309337272848199E-3</v>
      </c>
      <c r="S946" s="4">
        <f t="shared" si="60"/>
        <v>2.5344500033268502E-3</v>
      </c>
      <c r="T946" s="4">
        <f t="shared" si="60"/>
        <v>-1.4328846837378293E-3</v>
      </c>
      <c r="U946" s="35"/>
      <c r="V946" s="35"/>
      <c r="W946" s="35"/>
      <c r="X946" s="35"/>
    </row>
    <row r="947" spans="4:24" x14ac:dyDescent="0.3">
      <c r="D947" s="23">
        <v>40954</v>
      </c>
      <c r="E947" s="5">
        <v>107.362144</v>
      </c>
      <c r="F947" s="28">
        <v>60.386380000000003</v>
      </c>
      <c r="G947" s="28">
        <v>168.11</v>
      </c>
      <c r="H947" s="28">
        <v>56.112549999999999</v>
      </c>
      <c r="I947" s="28">
        <v>55.641719999999999</v>
      </c>
      <c r="J947" s="29"/>
      <c r="K947" s="29"/>
      <c r="L947" s="29"/>
      <c r="M947" s="29"/>
      <c r="N947" s="29"/>
      <c r="P947" s="4">
        <f t="shared" si="60"/>
        <v>-4.6710868965390241E-3</v>
      </c>
      <c r="Q947" s="4">
        <f t="shared" si="60"/>
        <v>-1.3138369722017239E-3</v>
      </c>
      <c r="R947" s="4">
        <f t="shared" si="60"/>
        <v>5.906409796656905E-3</v>
      </c>
      <c r="S947" s="4">
        <f t="shared" si="60"/>
        <v>-6.9852083591595022E-3</v>
      </c>
      <c r="T947" s="4">
        <f t="shared" si="60"/>
        <v>-4.3108346226709325E-3</v>
      </c>
      <c r="U947" s="35"/>
      <c r="V947" s="35"/>
      <c r="W947" s="35"/>
      <c r="X947" s="35"/>
    </row>
    <row r="948" spans="4:24" x14ac:dyDescent="0.3">
      <c r="D948" s="23">
        <v>40955</v>
      </c>
      <c r="E948" s="5">
        <v>108.55100299999999</v>
      </c>
      <c r="F948" s="28">
        <v>60.393569999999997</v>
      </c>
      <c r="G948" s="28">
        <v>168</v>
      </c>
      <c r="H948" s="28">
        <v>56.881329999999998</v>
      </c>
      <c r="I948" s="28">
        <v>56.306789999999999</v>
      </c>
      <c r="J948" s="29"/>
      <c r="K948" s="29"/>
      <c r="L948" s="29"/>
      <c r="M948" s="29"/>
      <c r="N948" s="29"/>
      <c r="P948" s="4">
        <f t="shared" si="60"/>
        <v>1.1012493045477014E-2</v>
      </c>
      <c r="Q948" s="4">
        <f t="shared" si="60"/>
        <v>1.1905949635654762E-4</v>
      </c>
      <c r="R948" s="4">
        <f t="shared" si="60"/>
        <v>-6.5454764170841699E-4</v>
      </c>
      <c r="S948" s="4">
        <f t="shared" si="60"/>
        <v>1.3607672606686268E-2</v>
      </c>
      <c r="T948" s="4">
        <f t="shared" si="60"/>
        <v>1.1881852191549556E-2</v>
      </c>
      <c r="U948" s="35"/>
      <c r="V948" s="35"/>
      <c r="W948" s="35"/>
      <c r="X948" s="35"/>
    </row>
    <row r="949" spans="4:24" x14ac:dyDescent="0.3">
      <c r="D949" s="23">
        <v>40956</v>
      </c>
      <c r="E949" s="5">
        <v>108.83824199999999</v>
      </c>
      <c r="F949" s="28">
        <v>60.256520000000002</v>
      </c>
      <c r="G949" s="28">
        <v>167.35</v>
      </c>
      <c r="H949" s="28">
        <v>56.702539999999999</v>
      </c>
      <c r="I949" s="28">
        <v>56.386940000000003</v>
      </c>
      <c r="J949" s="29"/>
      <c r="K949" s="29"/>
      <c r="L949" s="29"/>
      <c r="M949" s="29"/>
      <c r="N949" s="29"/>
      <c r="P949" s="4">
        <f t="shared" ref="P949:T964" si="61">LN(E949/E948)</f>
        <v>2.6426253714655172E-3</v>
      </c>
      <c r="Q949" s="4">
        <f t="shared" si="61"/>
        <v>-2.2718600366876877E-3</v>
      </c>
      <c r="R949" s="4">
        <f t="shared" si="61"/>
        <v>-3.8765517459232947E-3</v>
      </c>
      <c r="S949" s="4">
        <f t="shared" si="61"/>
        <v>-3.1481608729192669E-3</v>
      </c>
      <c r="T949" s="4">
        <f t="shared" si="61"/>
        <v>1.4224396248876232E-3</v>
      </c>
      <c r="U949" s="35"/>
      <c r="V949" s="35"/>
      <c r="W949" s="35"/>
      <c r="X949" s="35"/>
    </row>
    <row r="950" spans="4:24" x14ac:dyDescent="0.3">
      <c r="D950" s="23">
        <v>40960</v>
      </c>
      <c r="E950" s="5">
        <v>108.88610799999999</v>
      </c>
      <c r="F950" s="28">
        <v>60.220440000000004</v>
      </c>
      <c r="G950" s="28">
        <v>171.02</v>
      </c>
      <c r="H950" s="28">
        <v>56.86345</v>
      </c>
      <c r="I950" s="28">
        <v>56.36289</v>
      </c>
      <c r="J950" s="29"/>
      <c r="K950" s="29"/>
      <c r="L950" s="29"/>
      <c r="M950" s="29"/>
      <c r="N950" s="29"/>
      <c r="P950" s="4">
        <f t="shared" si="61"/>
        <v>4.3969359211469533E-4</v>
      </c>
      <c r="Q950" s="4">
        <f t="shared" si="61"/>
        <v>-5.9895271392339927E-4</v>
      </c>
      <c r="R950" s="4">
        <f t="shared" si="61"/>
        <v>2.1693081070473599E-2</v>
      </c>
      <c r="S950" s="4">
        <f t="shared" si="61"/>
        <v>2.8337728166539385E-3</v>
      </c>
      <c r="T950" s="4">
        <f t="shared" si="61"/>
        <v>-4.2660818849576823E-4</v>
      </c>
      <c r="U950" s="35"/>
      <c r="V950" s="35"/>
      <c r="W950" s="35"/>
      <c r="X950" s="35"/>
    </row>
    <row r="951" spans="4:24" x14ac:dyDescent="0.3">
      <c r="D951" s="23">
        <v>40961</v>
      </c>
      <c r="E951" s="5">
        <v>108.535042</v>
      </c>
      <c r="F951" s="28">
        <v>60.422469999999997</v>
      </c>
      <c r="G951" s="28">
        <v>172.94</v>
      </c>
      <c r="H951" s="28">
        <v>56.604199999999999</v>
      </c>
      <c r="I951" s="28">
        <v>56.186610000000002</v>
      </c>
      <c r="J951" s="29"/>
      <c r="K951" s="29"/>
      <c r="L951" s="29"/>
      <c r="M951" s="29"/>
      <c r="N951" s="29"/>
      <c r="P951" s="4">
        <f t="shared" si="61"/>
        <v>-3.2293666471725734E-3</v>
      </c>
      <c r="Q951" s="4">
        <f t="shared" si="61"/>
        <v>3.3492260565135589E-3</v>
      </c>
      <c r="R951" s="4">
        <f t="shared" si="61"/>
        <v>1.1164204804474926E-2</v>
      </c>
      <c r="S951" s="4">
        <f t="shared" si="61"/>
        <v>-4.5695923220443859E-3</v>
      </c>
      <c r="T951" s="4">
        <f t="shared" si="61"/>
        <v>-3.1324909332443077E-3</v>
      </c>
      <c r="U951" s="35"/>
      <c r="V951" s="35"/>
      <c r="W951" s="35"/>
      <c r="X951" s="35"/>
    </row>
    <row r="952" spans="4:24" x14ac:dyDescent="0.3">
      <c r="D952" s="23">
        <v>40962</v>
      </c>
      <c r="E952" s="5">
        <v>109.013794</v>
      </c>
      <c r="F952" s="28">
        <v>60.451340000000002</v>
      </c>
      <c r="G952" s="28">
        <v>173.02</v>
      </c>
      <c r="H952" s="28">
        <v>56.979649999999999</v>
      </c>
      <c r="I952" s="28">
        <v>56.499119999999998</v>
      </c>
      <c r="J952" s="29"/>
      <c r="K952" s="29"/>
      <c r="L952" s="29"/>
      <c r="M952" s="29"/>
      <c r="N952" s="29"/>
      <c r="P952" s="4">
        <f t="shared" si="61"/>
        <v>4.4013361014302952E-3</v>
      </c>
      <c r="Q952" s="4">
        <f t="shared" si="61"/>
        <v>4.7768826926169143E-4</v>
      </c>
      <c r="R952" s="4">
        <f t="shared" si="61"/>
        <v>4.6248121994406496E-4</v>
      </c>
      <c r="S952" s="4">
        <f t="shared" si="61"/>
        <v>6.6109991416715402E-3</v>
      </c>
      <c r="T952" s="4">
        <f t="shared" si="61"/>
        <v>5.5465905254979079E-3</v>
      </c>
      <c r="U952" s="35"/>
      <c r="V952" s="35"/>
      <c r="W952" s="35"/>
      <c r="X952" s="35"/>
    </row>
    <row r="953" spans="4:24" x14ac:dyDescent="0.3">
      <c r="D953" s="23">
        <v>40963</v>
      </c>
      <c r="E953" s="5">
        <v>109.25310500000001</v>
      </c>
      <c r="F953" s="28">
        <v>60.494639999999997</v>
      </c>
      <c r="G953" s="28">
        <v>172.23</v>
      </c>
      <c r="H953" s="28">
        <v>57.176310000000001</v>
      </c>
      <c r="I953" s="28">
        <v>56.579239999999999</v>
      </c>
      <c r="J953" s="29"/>
      <c r="K953" s="29"/>
      <c r="L953" s="29"/>
      <c r="M953" s="29"/>
      <c r="N953" s="29"/>
      <c r="P953" s="4">
        <f t="shared" si="61"/>
        <v>2.192829943435168E-3</v>
      </c>
      <c r="Q953" s="4">
        <f t="shared" si="61"/>
        <v>7.1602217535372511E-4</v>
      </c>
      <c r="R953" s="4">
        <f t="shared" si="61"/>
        <v>-4.5764019045732417E-3</v>
      </c>
      <c r="S953" s="4">
        <f t="shared" si="61"/>
        <v>3.4454652135490044E-3</v>
      </c>
      <c r="T953" s="4">
        <f t="shared" si="61"/>
        <v>1.4170706651094906E-3</v>
      </c>
      <c r="U953" s="35"/>
      <c r="V953" s="35"/>
      <c r="W953" s="35"/>
      <c r="X953" s="35"/>
    </row>
    <row r="954" spans="4:24" x14ac:dyDescent="0.3">
      <c r="D954" s="23">
        <v>40966</v>
      </c>
      <c r="E954" s="5">
        <v>109.436638</v>
      </c>
      <c r="F954" s="28">
        <v>60.60286</v>
      </c>
      <c r="G954" s="28">
        <v>171.7</v>
      </c>
      <c r="H954" s="28">
        <v>57.256790000000002</v>
      </c>
      <c r="I954" s="28">
        <v>56.627319999999997</v>
      </c>
      <c r="J954" s="29"/>
      <c r="K954" s="29"/>
      <c r="L954" s="29"/>
      <c r="M954" s="29"/>
      <c r="N954" s="29"/>
      <c r="P954" s="4">
        <f t="shared" si="61"/>
        <v>1.6784787486701757E-3</v>
      </c>
      <c r="Q954" s="4">
        <f t="shared" si="61"/>
        <v>1.7873206104041018E-3</v>
      </c>
      <c r="R954" s="4">
        <f t="shared" si="61"/>
        <v>-3.0820249442253212E-3</v>
      </c>
      <c r="S954" s="4">
        <f t="shared" si="61"/>
        <v>1.4065862633983611E-3</v>
      </c>
      <c r="T954" s="4">
        <f t="shared" si="61"/>
        <v>8.4942079135480052E-4</v>
      </c>
      <c r="U954" s="35"/>
      <c r="V954" s="35"/>
      <c r="W954" s="35"/>
      <c r="X954" s="35"/>
    </row>
    <row r="955" spans="4:24" x14ac:dyDescent="0.3">
      <c r="D955" s="23">
        <v>40967</v>
      </c>
      <c r="E955" s="5">
        <v>109.75578299999999</v>
      </c>
      <c r="F955" s="28">
        <v>60.595640000000003</v>
      </c>
      <c r="G955" s="28">
        <v>173.49</v>
      </c>
      <c r="H955" s="28">
        <v>57.837850000000003</v>
      </c>
      <c r="I955" s="28">
        <v>56.787579999999998</v>
      </c>
      <c r="J955" s="29"/>
      <c r="K955" s="29"/>
      <c r="L955" s="29"/>
      <c r="M955" s="29"/>
      <c r="N955" s="29"/>
      <c r="P955" s="4">
        <f t="shared" si="61"/>
        <v>2.9120096768653907E-3</v>
      </c>
      <c r="Q955" s="4">
        <f t="shared" si="61"/>
        <v>-1.1914338887924046E-4</v>
      </c>
      <c r="R955" s="4">
        <f t="shared" si="61"/>
        <v>1.0371192934806756E-2</v>
      </c>
      <c r="S955" s="4">
        <f t="shared" si="61"/>
        <v>1.0097167630322678E-2</v>
      </c>
      <c r="T955" s="4">
        <f t="shared" si="61"/>
        <v>2.8260855789348197E-3</v>
      </c>
      <c r="U955" s="35"/>
      <c r="V955" s="35"/>
      <c r="W955" s="35"/>
      <c r="X955" s="35"/>
    </row>
    <row r="956" spans="4:24" x14ac:dyDescent="0.3">
      <c r="D956" s="23">
        <v>40968</v>
      </c>
      <c r="E956" s="5">
        <v>109.32495900000001</v>
      </c>
      <c r="F956" s="28">
        <v>60.537939999999999</v>
      </c>
      <c r="G956" s="28">
        <v>164.29</v>
      </c>
      <c r="H956" s="28">
        <v>57.578589999999998</v>
      </c>
      <c r="I956" s="28">
        <v>56.418990000000001</v>
      </c>
      <c r="J956" s="29"/>
      <c r="K956" s="29"/>
      <c r="L956" s="29"/>
      <c r="M956" s="29"/>
      <c r="N956" s="29"/>
      <c r="P956" s="4">
        <f t="shared" si="61"/>
        <v>-3.9330207796667814E-3</v>
      </c>
      <c r="Q956" s="4">
        <f t="shared" si="61"/>
        <v>-9.5266736711538012E-4</v>
      </c>
      <c r="R956" s="4">
        <f t="shared" si="61"/>
        <v>-5.4486801919991175E-2</v>
      </c>
      <c r="S956" s="4">
        <f t="shared" si="61"/>
        <v>-4.4926084371521889E-3</v>
      </c>
      <c r="T956" s="4">
        <f t="shared" si="61"/>
        <v>-6.511835885028198E-3</v>
      </c>
      <c r="U956" s="35"/>
      <c r="V956" s="35"/>
      <c r="W956" s="35"/>
      <c r="X956" s="35"/>
    </row>
    <row r="957" spans="4:24" x14ac:dyDescent="0.3">
      <c r="D957" s="23">
        <v>40969</v>
      </c>
      <c r="E957" s="5">
        <v>109.891396</v>
      </c>
      <c r="F957" s="28">
        <v>60.440289999999997</v>
      </c>
      <c r="G957" s="28">
        <v>166.61</v>
      </c>
      <c r="H957" s="28">
        <v>58.034500000000001</v>
      </c>
      <c r="I957" s="28">
        <v>56.851689999999998</v>
      </c>
      <c r="J957" s="29"/>
      <c r="K957" s="29"/>
      <c r="L957" s="29"/>
      <c r="M957" s="29"/>
      <c r="N957" s="29"/>
      <c r="P957" s="4">
        <f t="shared" si="61"/>
        <v>5.1678467205165182E-3</v>
      </c>
      <c r="Q957" s="4">
        <f t="shared" si="61"/>
        <v>-1.6143403851602226E-3</v>
      </c>
      <c r="R957" s="4">
        <f t="shared" si="61"/>
        <v>1.4022593022732002E-2</v>
      </c>
      <c r="S957" s="4">
        <f t="shared" si="61"/>
        <v>7.886864077947987E-3</v>
      </c>
      <c r="T957" s="4">
        <f t="shared" si="61"/>
        <v>7.6401431471464784E-3</v>
      </c>
      <c r="U957" s="35"/>
      <c r="V957" s="35"/>
      <c r="W957" s="35"/>
      <c r="X957" s="35"/>
    </row>
    <row r="958" spans="4:24" x14ac:dyDescent="0.3">
      <c r="D958" s="23">
        <v>40970</v>
      </c>
      <c r="E958" s="5">
        <v>109.556335</v>
      </c>
      <c r="F958" s="28">
        <v>60.563220000000001</v>
      </c>
      <c r="G958" s="28">
        <v>166.34</v>
      </c>
      <c r="H958" s="28">
        <v>57.989820000000002</v>
      </c>
      <c r="I958" s="28">
        <v>56.571240000000003</v>
      </c>
      <c r="J958" s="29"/>
      <c r="K958" s="29"/>
      <c r="L958" s="29"/>
      <c r="M958" s="29"/>
      <c r="N958" s="29"/>
      <c r="P958" s="4">
        <f t="shared" si="61"/>
        <v>-3.0536771452761937E-3</v>
      </c>
      <c r="Q958" s="4">
        <f t="shared" si="61"/>
        <v>2.0318425852581044E-3</v>
      </c>
      <c r="R958" s="4">
        <f t="shared" si="61"/>
        <v>-1.621865500435943E-3</v>
      </c>
      <c r="S958" s="4">
        <f t="shared" si="61"/>
        <v>-7.7018339273379744E-4</v>
      </c>
      <c r="T958" s="4">
        <f t="shared" si="61"/>
        <v>-4.9452182471001463E-3</v>
      </c>
      <c r="U958" s="35"/>
      <c r="V958" s="35"/>
      <c r="W958" s="35"/>
      <c r="X958" s="35"/>
    </row>
    <row r="959" spans="4:24" x14ac:dyDescent="0.3">
      <c r="D959" s="23">
        <v>40973</v>
      </c>
      <c r="E959" s="5">
        <v>109.10952</v>
      </c>
      <c r="F959" s="28">
        <v>60.440289999999997</v>
      </c>
      <c r="G959" s="28">
        <v>165.65</v>
      </c>
      <c r="H959" s="28">
        <v>57.390860000000004</v>
      </c>
      <c r="I959" s="28">
        <v>56.314810000000001</v>
      </c>
      <c r="J959" s="29"/>
      <c r="K959" s="29"/>
      <c r="L959" s="29"/>
      <c r="M959" s="29"/>
      <c r="N959" s="29"/>
      <c r="P959" s="4">
        <f t="shared" si="61"/>
        <v>-4.0867434183738663E-3</v>
      </c>
      <c r="Q959" s="4">
        <f t="shared" si="61"/>
        <v>-2.0318425852581591E-3</v>
      </c>
      <c r="R959" s="4">
        <f t="shared" si="61"/>
        <v>-4.1567576946365528E-3</v>
      </c>
      <c r="S959" s="4">
        <f t="shared" si="61"/>
        <v>-1.0382420703034695E-2</v>
      </c>
      <c r="T959" s="4">
        <f t="shared" si="61"/>
        <v>-4.543173245383187E-3</v>
      </c>
      <c r="U959" s="35"/>
      <c r="V959" s="35"/>
      <c r="W959" s="35"/>
      <c r="X959" s="35"/>
    </row>
    <row r="960" spans="4:24" x14ac:dyDescent="0.3">
      <c r="D960" s="23">
        <v>40974</v>
      </c>
      <c r="E960" s="5">
        <v>107.513741</v>
      </c>
      <c r="F960" s="28">
        <v>60.54157</v>
      </c>
      <c r="G960" s="28">
        <v>162.69999999999999</v>
      </c>
      <c r="H960" s="28">
        <v>56.827689999999997</v>
      </c>
      <c r="I960" s="28">
        <v>55.40936</v>
      </c>
      <c r="J960" s="29"/>
      <c r="K960" s="29"/>
      <c r="L960" s="29"/>
      <c r="M960" s="29"/>
      <c r="N960" s="29"/>
      <c r="P960" s="4">
        <f t="shared" si="61"/>
        <v>-1.4733485772360942E-2</v>
      </c>
      <c r="Q960" s="4">
        <f t="shared" si="61"/>
        <v>1.6743009846222736E-3</v>
      </c>
      <c r="R960" s="4">
        <f t="shared" si="61"/>
        <v>-1.7969114520912897E-2</v>
      </c>
      <c r="S960" s="4">
        <f t="shared" si="61"/>
        <v>-9.8613502594660767E-3</v>
      </c>
      <c r="T960" s="4">
        <f t="shared" si="61"/>
        <v>-1.6209023064027425E-2</v>
      </c>
      <c r="U960" s="35"/>
      <c r="V960" s="35"/>
      <c r="W960" s="35"/>
      <c r="X960" s="35"/>
    </row>
    <row r="961" spans="4:24" x14ac:dyDescent="0.3">
      <c r="D961" s="23">
        <v>40975</v>
      </c>
      <c r="E961" s="5">
        <v>108.263733</v>
      </c>
      <c r="F961" s="28">
        <v>60.555999999999997</v>
      </c>
      <c r="G961" s="28">
        <v>163.63</v>
      </c>
      <c r="H961" s="28">
        <v>57.265720000000002</v>
      </c>
      <c r="I961" s="28">
        <v>55.890120000000003</v>
      </c>
      <c r="J961" s="29"/>
      <c r="K961" s="29"/>
      <c r="L961" s="29"/>
      <c r="M961" s="29"/>
      <c r="N961" s="29"/>
      <c r="P961" s="4">
        <f t="shared" si="61"/>
        <v>6.9515599225797873E-3</v>
      </c>
      <c r="Q961" s="4">
        <f t="shared" si="61"/>
        <v>2.3832022505965573E-4</v>
      </c>
      <c r="R961" s="4">
        <f t="shared" si="61"/>
        <v>5.6997672158120589E-3</v>
      </c>
      <c r="S961" s="4">
        <f t="shared" si="61"/>
        <v>7.6784829579982887E-3</v>
      </c>
      <c r="T961" s="4">
        <f t="shared" si="61"/>
        <v>8.6390878030448582E-3</v>
      </c>
      <c r="U961" s="35"/>
      <c r="V961" s="35"/>
      <c r="W961" s="35"/>
      <c r="X961" s="35"/>
    </row>
    <row r="962" spans="4:24" x14ac:dyDescent="0.3">
      <c r="D962" s="23">
        <v>40976</v>
      </c>
      <c r="E962" s="5">
        <v>109.34086600000001</v>
      </c>
      <c r="F962" s="28">
        <v>60.461959999999998</v>
      </c>
      <c r="G962" s="28">
        <v>165.28</v>
      </c>
      <c r="H962" s="28">
        <v>57.882530000000003</v>
      </c>
      <c r="I962" s="28">
        <v>56.467059999999996</v>
      </c>
      <c r="J962" s="29"/>
      <c r="K962" s="29"/>
      <c r="L962" s="29"/>
      <c r="M962" s="29"/>
      <c r="N962" s="29"/>
      <c r="P962" s="4">
        <f t="shared" si="61"/>
        <v>9.8999911068388385E-3</v>
      </c>
      <c r="Q962" s="4">
        <f t="shared" si="61"/>
        <v>-1.5541497960887237E-3</v>
      </c>
      <c r="R962" s="4">
        <f t="shared" si="61"/>
        <v>1.0033223930524315E-2</v>
      </c>
      <c r="S962" s="4">
        <f t="shared" si="61"/>
        <v>1.0713422038864407E-2</v>
      </c>
      <c r="T962" s="4">
        <f t="shared" si="61"/>
        <v>1.026983893318196E-2</v>
      </c>
      <c r="U962" s="35"/>
      <c r="V962" s="35"/>
      <c r="W962" s="35"/>
      <c r="X962" s="35"/>
    </row>
    <row r="963" spans="4:24" x14ac:dyDescent="0.3">
      <c r="D963" s="23">
        <v>40977</v>
      </c>
      <c r="E963" s="5">
        <v>109.763756</v>
      </c>
      <c r="F963" s="28">
        <v>60.404110000000003</v>
      </c>
      <c r="G963" s="28">
        <v>166.38</v>
      </c>
      <c r="H963" s="28">
        <v>58.123899999999999</v>
      </c>
      <c r="I963" s="28">
        <v>56.747529999999998</v>
      </c>
      <c r="J963" s="29"/>
      <c r="K963" s="29"/>
      <c r="L963" s="29"/>
      <c r="M963" s="29"/>
      <c r="N963" s="29"/>
      <c r="P963" s="4">
        <f t="shared" si="61"/>
        <v>3.8601698244448051E-3</v>
      </c>
      <c r="Q963" s="4">
        <f t="shared" si="61"/>
        <v>-9.5725797020667378E-4</v>
      </c>
      <c r="R963" s="4">
        <f t="shared" si="61"/>
        <v>6.6333234844131372E-3</v>
      </c>
      <c r="S963" s="4">
        <f t="shared" si="61"/>
        <v>4.1613270628142948E-3</v>
      </c>
      <c r="T963" s="4">
        <f t="shared" si="61"/>
        <v>4.9546718981357471E-3</v>
      </c>
      <c r="U963" s="35"/>
      <c r="V963" s="35"/>
      <c r="W963" s="35"/>
      <c r="X963" s="35"/>
    </row>
    <row r="964" spans="4:24" x14ac:dyDescent="0.3">
      <c r="D964" s="23">
        <v>40980</v>
      </c>
      <c r="E964" s="5">
        <v>109.77177399999999</v>
      </c>
      <c r="F964" s="28">
        <v>60.447519999999997</v>
      </c>
      <c r="G964" s="28">
        <v>165.07</v>
      </c>
      <c r="H964" s="28">
        <v>58.150730000000003</v>
      </c>
      <c r="I964" s="28">
        <v>56.707439999999998</v>
      </c>
      <c r="J964" s="29"/>
      <c r="K964" s="29"/>
      <c r="L964" s="29"/>
      <c r="M964" s="29"/>
      <c r="N964" s="29"/>
      <c r="P964" s="4">
        <f t="shared" si="61"/>
        <v>7.3045123981114589E-5</v>
      </c>
      <c r="Q964" s="4">
        <f t="shared" si="61"/>
        <v>7.1840159486459435E-4</v>
      </c>
      <c r="R964" s="4">
        <f t="shared" si="61"/>
        <v>-7.904702496292073E-3</v>
      </c>
      <c r="S964" s="4">
        <f t="shared" si="61"/>
        <v>4.614936289401718E-4</v>
      </c>
      <c r="T964" s="4">
        <f t="shared" si="61"/>
        <v>-7.06712128495626E-4</v>
      </c>
      <c r="U964" s="35"/>
      <c r="V964" s="35"/>
      <c r="W964" s="35"/>
      <c r="X964" s="35"/>
    </row>
    <row r="965" spans="4:24" x14ac:dyDescent="0.3">
      <c r="D965" s="23">
        <v>40981</v>
      </c>
      <c r="E965" s="5">
        <v>111.750496</v>
      </c>
      <c r="F965" s="28">
        <v>60.2667</v>
      </c>
      <c r="G965" s="28">
        <v>162.30000000000001</v>
      </c>
      <c r="H965" s="28">
        <v>59.232399999999998</v>
      </c>
      <c r="I965" s="28">
        <v>57.75714</v>
      </c>
      <c r="J965" s="29"/>
      <c r="K965" s="29"/>
      <c r="L965" s="29"/>
      <c r="M965" s="29"/>
      <c r="N965" s="29"/>
      <c r="P965" s="4">
        <f t="shared" ref="P965:T980" si="62">LN(E965/E964)</f>
        <v>1.7865243329895981E-2</v>
      </c>
      <c r="Q965" s="4">
        <f t="shared" si="62"/>
        <v>-2.9958381910428107E-3</v>
      </c>
      <c r="R965" s="4">
        <f t="shared" si="62"/>
        <v>-1.6923151838904027E-2</v>
      </c>
      <c r="S965" s="4">
        <f t="shared" si="62"/>
        <v>1.8430256848511177E-2</v>
      </c>
      <c r="T965" s="4">
        <f t="shared" si="62"/>
        <v>1.8341559066459151E-2</v>
      </c>
      <c r="U965" s="35"/>
      <c r="V965" s="35"/>
      <c r="W965" s="35"/>
      <c r="X965" s="35"/>
    </row>
    <row r="966" spans="4:24" x14ac:dyDescent="0.3">
      <c r="D966" s="23">
        <v>40982</v>
      </c>
      <c r="E966" s="5">
        <v>111.630836</v>
      </c>
      <c r="F966" s="28">
        <v>59.912350000000004</v>
      </c>
      <c r="G966" s="28">
        <v>159.57</v>
      </c>
      <c r="H966" s="28">
        <v>59.437989999999999</v>
      </c>
      <c r="I966" s="28">
        <v>57.63693</v>
      </c>
      <c r="J966" s="29"/>
      <c r="K966" s="29"/>
      <c r="L966" s="29"/>
      <c r="M966" s="29"/>
      <c r="N966" s="29"/>
      <c r="P966" s="4">
        <f t="shared" si="62"/>
        <v>-1.0713519377297416E-3</v>
      </c>
      <c r="Q966" s="4">
        <f t="shared" si="62"/>
        <v>-5.8970515557009101E-3</v>
      </c>
      <c r="R966" s="4">
        <f t="shared" si="62"/>
        <v>-1.6963777098209773E-2</v>
      </c>
      <c r="S966" s="4">
        <f t="shared" si="62"/>
        <v>3.4648947506470372E-3</v>
      </c>
      <c r="T966" s="4">
        <f t="shared" si="62"/>
        <v>-2.0834700341956502E-3</v>
      </c>
      <c r="U966" s="35"/>
      <c r="V966" s="35"/>
      <c r="W966" s="35"/>
      <c r="X966" s="35"/>
    </row>
    <row r="967" spans="4:24" x14ac:dyDescent="0.3">
      <c r="D967" s="23">
        <v>40983</v>
      </c>
      <c r="E967" s="5">
        <v>112.27707700000001</v>
      </c>
      <c r="F967" s="28">
        <v>59.9268</v>
      </c>
      <c r="G967" s="28">
        <v>161.08000000000001</v>
      </c>
      <c r="H967" s="28">
        <v>59.607819999999997</v>
      </c>
      <c r="I967" s="28">
        <v>57.973500000000001</v>
      </c>
      <c r="J967" s="29"/>
      <c r="K967" s="29"/>
      <c r="L967" s="29"/>
      <c r="M967" s="29"/>
      <c r="N967" s="29"/>
      <c r="P967" s="4">
        <f t="shared" si="62"/>
        <v>5.7723979985112826E-3</v>
      </c>
      <c r="Q967" s="4">
        <f t="shared" si="62"/>
        <v>2.4115658480596452E-4</v>
      </c>
      <c r="R967" s="4">
        <f t="shared" si="62"/>
        <v>9.4184385609176868E-3</v>
      </c>
      <c r="S967" s="4">
        <f t="shared" si="62"/>
        <v>2.8531892926106093E-3</v>
      </c>
      <c r="T967" s="4">
        <f t="shared" si="62"/>
        <v>5.8225014966634672E-3</v>
      </c>
      <c r="U967" s="35"/>
      <c r="V967" s="35"/>
      <c r="W967" s="35"/>
      <c r="X967" s="35"/>
    </row>
    <row r="968" spans="4:24" x14ac:dyDescent="0.3">
      <c r="D968" s="23">
        <v>40984</v>
      </c>
      <c r="E968" s="5">
        <v>112.432541</v>
      </c>
      <c r="F968" s="28">
        <v>59.919559999999997</v>
      </c>
      <c r="G968" s="28">
        <v>161.30000000000001</v>
      </c>
      <c r="H968" s="28">
        <v>59.565739999999998</v>
      </c>
      <c r="I968" s="28">
        <v>58.061619999999998</v>
      </c>
      <c r="J968" s="29"/>
      <c r="K968" s="29"/>
      <c r="L968" s="29"/>
      <c r="M968" s="29"/>
      <c r="N968" s="29"/>
      <c r="P968" s="4">
        <f t="shared" si="62"/>
        <v>1.3836882122613581E-3</v>
      </c>
      <c r="Q968" s="4">
        <f t="shared" si="62"/>
        <v>-1.2082135842605434E-4</v>
      </c>
      <c r="R968" s="4">
        <f t="shared" si="62"/>
        <v>1.3648491479097238E-3</v>
      </c>
      <c r="S968" s="4">
        <f t="shared" si="62"/>
        <v>-7.0619694081171128E-4</v>
      </c>
      <c r="T968" s="4">
        <f t="shared" si="62"/>
        <v>1.5188507917323992E-3</v>
      </c>
      <c r="U968" s="35"/>
      <c r="V968" s="35"/>
      <c r="W968" s="35"/>
      <c r="X968" s="35"/>
    </row>
    <row r="969" spans="4:24" x14ac:dyDescent="0.3">
      <c r="D969" s="23">
        <v>40987</v>
      </c>
      <c r="E969" s="5">
        <v>112.873329</v>
      </c>
      <c r="F969" s="28">
        <v>59.760449999999999</v>
      </c>
      <c r="G969" s="28">
        <v>161.59</v>
      </c>
      <c r="H969" s="28">
        <v>59.986609999999999</v>
      </c>
      <c r="I969" s="28">
        <v>58.277979999999999</v>
      </c>
      <c r="J969" s="29"/>
      <c r="K969" s="29"/>
      <c r="L969" s="29"/>
      <c r="M969" s="29"/>
      <c r="N969" s="29"/>
      <c r="P969" s="4">
        <f t="shared" si="62"/>
        <v>3.9128014052400694E-3</v>
      </c>
      <c r="Q969" s="4">
        <f t="shared" si="62"/>
        <v>-2.6589251411449624E-3</v>
      </c>
      <c r="R969" s="4">
        <f t="shared" si="62"/>
        <v>1.7962778529931919E-3</v>
      </c>
      <c r="S969" s="4">
        <f t="shared" si="62"/>
        <v>7.040794072888339E-3</v>
      </c>
      <c r="T969" s="4">
        <f t="shared" si="62"/>
        <v>3.7194600881192384E-3</v>
      </c>
      <c r="U969" s="35"/>
      <c r="V969" s="35"/>
      <c r="W969" s="35"/>
      <c r="X969" s="35"/>
    </row>
    <row r="970" spans="4:24" x14ac:dyDescent="0.3">
      <c r="D970" s="23">
        <v>40988</v>
      </c>
      <c r="E970" s="5">
        <v>112.54473900000001</v>
      </c>
      <c r="F970" s="28">
        <v>59.774889999999999</v>
      </c>
      <c r="G970" s="28">
        <v>160.13</v>
      </c>
      <c r="H970" s="28">
        <v>60.094059999999999</v>
      </c>
      <c r="I970" s="28">
        <v>58.077669999999998</v>
      </c>
      <c r="J970" s="29"/>
      <c r="K970" s="29"/>
      <c r="L970" s="29"/>
      <c r="M970" s="29"/>
      <c r="N970" s="29"/>
      <c r="P970" s="4">
        <f t="shared" si="62"/>
        <v>-2.9153850501167301E-3</v>
      </c>
      <c r="Q970" s="4">
        <f t="shared" si="62"/>
        <v>2.4160219179101311E-4</v>
      </c>
      <c r="R970" s="4">
        <f t="shared" si="62"/>
        <v>-9.0762776497711282E-3</v>
      </c>
      <c r="S970" s="4">
        <f t="shared" si="62"/>
        <v>1.7896307320438957E-3</v>
      </c>
      <c r="T970" s="4">
        <f t="shared" si="62"/>
        <v>-3.443067833574294E-3</v>
      </c>
      <c r="U970" s="35"/>
      <c r="V970" s="35"/>
      <c r="W970" s="35"/>
      <c r="X970" s="35"/>
    </row>
    <row r="971" spans="4:24" x14ac:dyDescent="0.3">
      <c r="D971" s="23">
        <v>40989</v>
      </c>
      <c r="E971" s="5">
        <v>112.360466</v>
      </c>
      <c r="F971" s="28">
        <v>59.948480000000004</v>
      </c>
      <c r="G971" s="28">
        <v>160.21</v>
      </c>
      <c r="H971" s="28">
        <v>60.103009999999998</v>
      </c>
      <c r="I971" s="28">
        <v>58.013570000000001</v>
      </c>
      <c r="J971" s="29"/>
      <c r="K971" s="29"/>
      <c r="L971" s="29"/>
      <c r="M971" s="29"/>
      <c r="N971" s="29"/>
      <c r="P971" s="4">
        <f t="shared" si="62"/>
        <v>-1.6386729798886831E-3</v>
      </c>
      <c r="Q971" s="4">
        <f t="shared" si="62"/>
        <v>2.8998535815581753E-3</v>
      </c>
      <c r="R971" s="4">
        <f t="shared" si="62"/>
        <v>4.9946932423767176E-4</v>
      </c>
      <c r="S971" s="4">
        <f t="shared" si="62"/>
        <v>1.4892209962413997E-4</v>
      </c>
      <c r="T971" s="4">
        <f t="shared" si="62"/>
        <v>-1.1043039339418059E-3</v>
      </c>
      <c r="U971" s="35"/>
      <c r="V971" s="35"/>
      <c r="W971" s="35"/>
      <c r="X971" s="35"/>
    </row>
    <row r="972" spans="4:24" x14ac:dyDescent="0.3">
      <c r="D972" s="23">
        <v>40990</v>
      </c>
      <c r="E972" s="5">
        <v>111.551025</v>
      </c>
      <c r="F972" s="28">
        <v>60.03528</v>
      </c>
      <c r="G972" s="28">
        <v>159.57</v>
      </c>
      <c r="H972" s="28">
        <v>59.97766</v>
      </c>
      <c r="I972" s="28">
        <v>57.548810000000003</v>
      </c>
      <c r="J972" s="29"/>
      <c r="K972" s="29"/>
      <c r="L972" s="29"/>
      <c r="M972" s="29"/>
      <c r="N972" s="29"/>
      <c r="P972" s="4">
        <f t="shared" si="62"/>
        <v>-7.2300400699107327E-3</v>
      </c>
      <c r="Q972" s="4">
        <f t="shared" si="62"/>
        <v>1.4468627277948473E-3</v>
      </c>
      <c r="R972" s="4">
        <f t="shared" si="62"/>
        <v>-4.0027572362871192E-3</v>
      </c>
      <c r="S972" s="4">
        <f t="shared" si="62"/>
        <v>-2.0877639262148655E-3</v>
      </c>
      <c r="T972" s="4">
        <f t="shared" si="62"/>
        <v>-8.0434914154816524E-3</v>
      </c>
      <c r="U972" s="35"/>
      <c r="V972" s="35"/>
      <c r="W972" s="35"/>
      <c r="X972" s="35"/>
    </row>
    <row r="973" spans="4:24" x14ac:dyDescent="0.3">
      <c r="D973" s="23">
        <v>40991</v>
      </c>
      <c r="E973" s="5">
        <v>111.911652</v>
      </c>
      <c r="F973" s="28">
        <v>60.14378</v>
      </c>
      <c r="G973" s="28">
        <v>161.53</v>
      </c>
      <c r="H973" s="28">
        <v>59.941859999999998</v>
      </c>
      <c r="I973" s="28">
        <v>57.781179999999999</v>
      </c>
      <c r="J973" s="29"/>
      <c r="K973" s="29"/>
      <c r="L973" s="29"/>
      <c r="M973" s="29"/>
      <c r="N973" s="29"/>
      <c r="P973" s="4">
        <f t="shared" si="62"/>
        <v>3.2276290422489054E-3</v>
      </c>
      <c r="Q973" s="4">
        <f t="shared" si="62"/>
        <v>1.8056395095592326E-3</v>
      </c>
      <c r="R973" s="4">
        <f t="shared" si="62"/>
        <v>1.2208186503330824E-2</v>
      </c>
      <c r="S973" s="4">
        <f t="shared" si="62"/>
        <v>-5.9706711740554173E-4</v>
      </c>
      <c r="T973" s="4">
        <f t="shared" si="62"/>
        <v>4.0296598384915146E-3</v>
      </c>
      <c r="U973" s="35"/>
      <c r="V973" s="35"/>
      <c r="W973" s="35"/>
      <c r="X973" s="35"/>
    </row>
    <row r="974" spans="4:24" x14ac:dyDescent="0.3">
      <c r="D974" s="23">
        <v>40994</v>
      </c>
      <c r="E974" s="5">
        <v>113.48232299999999</v>
      </c>
      <c r="F974" s="28">
        <v>60.13655</v>
      </c>
      <c r="G974" s="28">
        <v>164.4</v>
      </c>
      <c r="H974" s="28">
        <v>60.989539999999998</v>
      </c>
      <c r="I974" s="28">
        <v>58.584290000000003</v>
      </c>
      <c r="J974" s="29"/>
      <c r="K974" s="29"/>
      <c r="L974" s="29"/>
      <c r="M974" s="29"/>
      <c r="N974" s="29"/>
      <c r="P974" s="4">
        <f t="shared" si="62"/>
        <v>1.3937341715440867E-2</v>
      </c>
      <c r="Q974" s="4">
        <f t="shared" si="62"/>
        <v>-1.2021915817338136E-4</v>
      </c>
      <c r="R974" s="4">
        <f t="shared" si="62"/>
        <v>1.7611598696412965E-2</v>
      </c>
      <c r="S974" s="4">
        <f t="shared" si="62"/>
        <v>1.7327281621790546E-2</v>
      </c>
      <c r="T974" s="4">
        <f t="shared" si="62"/>
        <v>1.3803454782548906E-2</v>
      </c>
      <c r="U974" s="35"/>
      <c r="V974" s="35"/>
      <c r="W974" s="35"/>
      <c r="X974" s="35"/>
    </row>
    <row r="975" spans="4:24" x14ac:dyDescent="0.3">
      <c r="D975" s="23">
        <v>40995</v>
      </c>
      <c r="E975" s="5">
        <v>113.12975299999999</v>
      </c>
      <c r="F975" s="28">
        <v>60.237780000000001</v>
      </c>
      <c r="G975" s="28">
        <v>163.24</v>
      </c>
      <c r="H975" s="28">
        <v>61.079070000000002</v>
      </c>
      <c r="I975" s="28">
        <v>58.391170000000002</v>
      </c>
      <c r="J975" s="29"/>
      <c r="K975" s="29"/>
      <c r="L975" s="29"/>
      <c r="M975" s="29"/>
      <c r="N975" s="29"/>
      <c r="P975" s="4">
        <f t="shared" si="62"/>
        <v>-3.111663691553892E-3</v>
      </c>
      <c r="Q975" s="4">
        <f t="shared" si="62"/>
        <v>1.6819204537006382E-3</v>
      </c>
      <c r="R975" s="4">
        <f t="shared" si="62"/>
        <v>-7.0809720844746101E-3</v>
      </c>
      <c r="S975" s="4">
        <f t="shared" si="62"/>
        <v>1.4668802414275677E-3</v>
      </c>
      <c r="T975" s="4">
        <f t="shared" si="62"/>
        <v>-3.3018921311769459E-3</v>
      </c>
      <c r="U975" s="35"/>
      <c r="V975" s="35"/>
      <c r="W975" s="35"/>
      <c r="X975" s="35"/>
    </row>
    <row r="976" spans="4:24" x14ac:dyDescent="0.3">
      <c r="D976" s="23">
        <v>40996</v>
      </c>
      <c r="E976" s="5">
        <v>112.56877900000001</v>
      </c>
      <c r="F976" s="28">
        <v>60.22334</v>
      </c>
      <c r="G976" s="28">
        <v>161.51</v>
      </c>
      <c r="H976" s="28">
        <v>60.837310000000002</v>
      </c>
      <c r="I976" s="28">
        <v>58.101469999999999</v>
      </c>
      <c r="J976" s="29"/>
      <c r="K976" s="29"/>
      <c r="L976" s="29"/>
      <c r="M976" s="29"/>
      <c r="N976" s="29"/>
      <c r="P976" s="4">
        <f t="shared" si="62"/>
        <v>-4.9710128835377381E-3</v>
      </c>
      <c r="Q976" s="4">
        <f t="shared" si="62"/>
        <v>-2.3974540613874099E-4</v>
      </c>
      <c r="R976" s="4">
        <f t="shared" si="62"/>
        <v>-1.0654450287183297E-2</v>
      </c>
      <c r="S976" s="4">
        <f t="shared" si="62"/>
        <v>-3.966002220379853E-3</v>
      </c>
      <c r="T976" s="4">
        <f t="shared" si="62"/>
        <v>-4.9737150297645572E-3</v>
      </c>
      <c r="U976" s="35"/>
      <c r="V976" s="35"/>
      <c r="W976" s="35"/>
      <c r="X976" s="35"/>
    </row>
    <row r="977" spans="4:24" x14ac:dyDescent="0.3">
      <c r="D977" s="23">
        <v>40997</v>
      </c>
      <c r="E977" s="5">
        <v>112.376434</v>
      </c>
      <c r="F977" s="28">
        <v>60.353479999999998</v>
      </c>
      <c r="G977" s="28">
        <v>161.28</v>
      </c>
      <c r="H977" s="28">
        <v>60.604460000000003</v>
      </c>
      <c r="I977" s="28">
        <v>57.996839999999999</v>
      </c>
      <c r="J977" s="29"/>
      <c r="K977" s="29"/>
      <c r="L977" s="29"/>
      <c r="M977" s="29"/>
      <c r="N977" s="29"/>
      <c r="P977" s="4">
        <f t="shared" si="62"/>
        <v>-1.7101501677913081E-3</v>
      </c>
      <c r="Q977" s="4">
        <f t="shared" si="62"/>
        <v>2.158624693104471E-3</v>
      </c>
      <c r="R977" s="4">
        <f t="shared" si="62"/>
        <v>-1.4250753674179184E-3</v>
      </c>
      <c r="S977" s="4">
        <f t="shared" si="62"/>
        <v>-3.8347643540818923E-3</v>
      </c>
      <c r="T977" s="4">
        <f t="shared" si="62"/>
        <v>-1.8024384390555369E-3</v>
      </c>
      <c r="U977" s="35"/>
      <c r="V977" s="35"/>
      <c r="W977" s="35"/>
      <c r="X977" s="35"/>
    </row>
    <row r="978" spans="4:24" x14ac:dyDescent="0.3">
      <c r="D978" s="23">
        <v>40998</v>
      </c>
      <c r="E978" s="5">
        <v>112.841278</v>
      </c>
      <c r="F978" s="28">
        <v>60.230510000000002</v>
      </c>
      <c r="G978" s="28">
        <v>162.12</v>
      </c>
      <c r="H978" s="28">
        <v>60.488079999999997</v>
      </c>
      <c r="I978" s="28">
        <v>58.149749999999997</v>
      </c>
      <c r="J978" s="29"/>
      <c r="K978" s="29"/>
      <c r="L978" s="29"/>
      <c r="M978" s="29"/>
      <c r="N978" s="29"/>
      <c r="P978" s="4">
        <f t="shared" si="62"/>
        <v>4.127958284913409E-3</v>
      </c>
      <c r="Q978" s="4">
        <f t="shared" si="62"/>
        <v>-2.0395749490163279E-3</v>
      </c>
      <c r="R978" s="4">
        <f t="shared" si="62"/>
        <v>5.19481687710393E-3</v>
      </c>
      <c r="S978" s="4">
        <f t="shared" si="62"/>
        <v>-1.9221668953790529E-3</v>
      </c>
      <c r="T978" s="4">
        <f t="shared" si="62"/>
        <v>2.6330534257332219E-3</v>
      </c>
      <c r="U978" s="35"/>
      <c r="V978" s="35"/>
      <c r="W978" s="35"/>
      <c r="X978" s="35"/>
    </row>
    <row r="979" spans="4:24" x14ac:dyDescent="0.3">
      <c r="D979" s="23">
        <v>41001</v>
      </c>
      <c r="E979" s="5">
        <v>113.66667200000001</v>
      </c>
      <c r="F979" s="28">
        <v>60.227609999999999</v>
      </c>
      <c r="G979" s="28">
        <v>162.94</v>
      </c>
      <c r="H979" s="28">
        <v>61.114910000000002</v>
      </c>
      <c r="I979" s="28">
        <v>58.640619999999998</v>
      </c>
      <c r="J979" s="29"/>
      <c r="K979" s="29"/>
      <c r="L979" s="29"/>
      <c r="M979" s="29"/>
      <c r="N979" s="29"/>
      <c r="P979" s="4">
        <f t="shared" si="62"/>
        <v>7.2880236955643989E-3</v>
      </c>
      <c r="Q979" s="4">
        <f t="shared" si="62"/>
        <v>-4.8149514546080131E-5</v>
      </c>
      <c r="R979" s="4">
        <f t="shared" si="62"/>
        <v>5.045233122387977E-3</v>
      </c>
      <c r="S979" s="4">
        <f t="shared" si="62"/>
        <v>1.0309541763109276E-2</v>
      </c>
      <c r="T979" s="4">
        <f t="shared" si="62"/>
        <v>8.4060507809316544E-3</v>
      </c>
      <c r="U979" s="35"/>
      <c r="V979" s="35"/>
      <c r="W979" s="35"/>
      <c r="X979" s="35"/>
    </row>
    <row r="980" spans="4:24" x14ac:dyDescent="0.3">
      <c r="D980" s="23">
        <v>41002</v>
      </c>
      <c r="E980" s="5">
        <v>113.201866</v>
      </c>
      <c r="F980" s="28">
        <v>60.002699999999997</v>
      </c>
      <c r="G980" s="28">
        <v>159.88999999999999</v>
      </c>
      <c r="H980" s="28">
        <v>61.097009999999997</v>
      </c>
      <c r="I980" s="28">
        <v>58.447490000000002</v>
      </c>
      <c r="J980" s="29"/>
      <c r="K980" s="29"/>
      <c r="L980" s="29"/>
      <c r="M980" s="29"/>
      <c r="N980" s="29"/>
      <c r="P980" s="4">
        <f t="shared" si="62"/>
        <v>-4.0975858040659674E-3</v>
      </c>
      <c r="Q980" s="4">
        <f t="shared" si="62"/>
        <v>-3.7413238366957907E-3</v>
      </c>
      <c r="R980" s="4">
        <f t="shared" si="62"/>
        <v>-1.8895956085166792E-2</v>
      </c>
      <c r="S980" s="4">
        <f t="shared" si="62"/>
        <v>-2.9293378465868535E-4</v>
      </c>
      <c r="T980" s="4">
        <f t="shared" si="62"/>
        <v>-3.2988862002666453E-3</v>
      </c>
      <c r="U980" s="35"/>
      <c r="V980" s="35"/>
      <c r="W980" s="35"/>
      <c r="X980" s="35"/>
    </row>
    <row r="981" spans="4:24" x14ac:dyDescent="0.3">
      <c r="D981" s="23">
        <v>41003</v>
      </c>
      <c r="E981" s="5">
        <v>112.079956</v>
      </c>
      <c r="F981" s="28">
        <v>60.169600000000003</v>
      </c>
      <c r="G981" s="28">
        <v>157.21</v>
      </c>
      <c r="H981" s="28">
        <v>60.264220000000002</v>
      </c>
      <c r="I981" s="28">
        <v>57.795670000000001</v>
      </c>
      <c r="J981" s="29"/>
      <c r="K981" s="29"/>
      <c r="L981" s="29"/>
      <c r="M981" s="29"/>
      <c r="N981" s="29"/>
      <c r="P981" s="4">
        <f t="shared" ref="P981:T996" si="63">LN(E981/E980)</f>
        <v>-9.9601402802175724E-3</v>
      </c>
      <c r="Q981" s="4">
        <f t="shared" si="63"/>
        <v>2.777680169387385E-3</v>
      </c>
      <c r="R981" s="4">
        <f t="shared" si="63"/>
        <v>-1.6903587593906356E-2</v>
      </c>
      <c r="S981" s="4">
        <f t="shared" si="63"/>
        <v>-1.3724367689184216E-2</v>
      </c>
      <c r="T981" s="4">
        <f t="shared" si="63"/>
        <v>-1.121488493259128E-2</v>
      </c>
      <c r="U981" s="35"/>
      <c r="V981" s="35"/>
      <c r="W981" s="35"/>
      <c r="X981" s="35"/>
    </row>
    <row r="982" spans="4:24" x14ac:dyDescent="0.3">
      <c r="D982" s="23">
        <v>41004</v>
      </c>
      <c r="E982" s="5">
        <v>112.02383399999999</v>
      </c>
      <c r="F982" s="28">
        <v>60.285679999999999</v>
      </c>
      <c r="G982" s="28">
        <v>158.31</v>
      </c>
      <c r="H982" s="28">
        <v>60.640279999999997</v>
      </c>
      <c r="I982" s="28">
        <v>57.755409999999998</v>
      </c>
      <c r="J982" s="29"/>
      <c r="K982" s="29"/>
      <c r="L982" s="29"/>
      <c r="M982" s="29"/>
      <c r="N982" s="29"/>
      <c r="P982" s="4">
        <f t="shared" si="63"/>
        <v>-5.0085722488876858E-4</v>
      </c>
      <c r="Q982" s="4">
        <f t="shared" si="63"/>
        <v>1.9273548811393011E-3</v>
      </c>
      <c r="R982" s="4">
        <f t="shared" si="63"/>
        <v>6.9726448822637318E-3</v>
      </c>
      <c r="S982" s="4">
        <f t="shared" si="63"/>
        <v>6.2207976169648058E-3</v>
      </c>
      <c r="T982" s="4">
        <f t="shared" si="63"/>
        <v>-6.9683470944834731E-4</v>
      </c>
      <c r="U982" s="35"/>
      <c r="V982" s="35"/>
      <c r="W982" s="35"/>
      <c r="X982" s="35"/>
    </row>
    <row r="983" spans="4:24" x14ac:dyDescent="0.3">
      <c r="D983" s="23">
        <v>41008</v>
      </c>
      <c r="E983" s="5">
        <v>110.765717</v>
      </c>
      <c r="F983" s="28">
        <v>60.496160000000003</v>
      </c>
      <c r="G983" s="28">
        <v>159.37</v>
      </c>
      <c r="H983" s="28">
        <v>60.183619999999998</v>
      </c>
      <c r="I983" s="28">
        <v>57.079450000000001</v>
      </c>
      <c r="J983" s="29"/>
      <c r="K983" s="29"/>
      <c r="L983" s="29"/>
      <c r="M983" s="29"/>
      <c r="N983" s="29"/>
      <c r="P983" s="4">
        <f t="shared" si="63"/>
        <v>-1.1294339149461397E-2</v>
      </c>
      <c r="Q983" s="4">
        <f t="shared" si="63"/>
        <v>3.485295687884111E-3</v>
      </c>
      <c r="R983" s="4">
        <f t="shared" si="63"/>
        <v>6.6734067858561065E-3</v>
      </c>
      <c r="S983" s="4">
        <f t="shared" si="63"/>
        <v>-7.5591364702072127E-3</v>
      </c>
      <c r="T983" s="4">
        <f t="shared" si="63"/>
        <v>-1.1772867704863839E-2</v>
      </c>
      <c r="U983" s="35"/>
      <c r="V983" s="35"/>
      <c r="W983" s="35"/>
      <c r="X983" s="35"/>
    </row>
    <row r="984" spans="4:24" x14ac:dyDescent="0.3">
      <c r="D984" s="23">
        <v>41009</v>
      </c>
      <c r="E984" s="5">
        <v>108.906494</v>
      </c>
      <c r="F984" s="28">
        <v>60.670340000000003</v>
      </c>
      <c r="G984" s="28">
        <v>161.1</v>
      </c>
      <c r="H984" s="28">
        <v>59.216529999999999</v>
      </c>
      <c r="I984" s="28">
        <v>56.009149999999998</v>
      </c>
      <c r="J984" s="29"/>
      <c r="K984" s="29"/>
      <c r="L984" s="29"/>
      <c r="M984" s="29"/>
      <c r="N984" s="29"/>
      <c r="P984" s="4">
        <f t="shared" si="63"/>
        <v>-1.6927652226095175E-2</v>
      </c>
      <c r="Q984" s="4">
        <f t="shared" si="63"/>
        <v>2.8750540781494389E-3</v>
      </c>
      <c r="R984" s="4">
        <f t="shared" si="63"/>
        <v>1.079674731138632E-2</v>
      </c>
      <c r="S984" s="4">
        <f t="shared" si="63"/>
        <v>-1.6199496380043019E-2</v>
      </c>
      <c r="T984" s="4">
        <f t="shared" si="63"/>
        <v>-1.8929086717920877E-2</v>
      </c>
      <c r="U984" s="35"/>
      <c r="V984" s="35"/>
      <c r="W984" s="35"/>
      <c r="X984" s="35"/>
    </row>
    <row r="985" spans="4:24" x14ac:dyDescent="0.3">
      <c r="D985" s="23">
        <v>41010</v>
      </c>
      <c r="E985" s="5">
        <v>109.788055</v>
      </c>
      <c r="F985" s="28">
        <v>60.583199999999998</v>
      </c>
      <c r="G985" s="28">
        <v>161.07</v>
      </c>
      <c r="H985" s="28">
        <v>59.503079999999997</v>
      </c>
      <c r="I985" s="28">
        <v>56.475909999999999</v>
      </c>
      <c r="J985" s="29"/>
      <c r="K985" s="29"/>
      <c r="L985" s="29"/>
      <c r="M985" s="29"/>
      <c r="N985" s="29"/>
      <c r="P985" s="4">
        <f t="shared" si="63"/>
        <v>8.0620735992719596E-3</v>
      </c>
      <c r="Q985" s="4">
        <f t="shared" si="63"/>
        <v>-1.4373191084034597E-3</v>
      </c>
      <c r="R985" s="4">
        <f t="shared" si="63"/>
        <v>-1.8623708034085185E-4</v>
      </c>
      <c r="S985" s="4">
        <f t="shared" si="63"/>
        <v>4.8273500302665655E-3</v>
      </c>
      <c r="T985" s="4">
        <f t="shared" si="63"/>
        <v>8.2991053035956028E-3</v>
      </c>
      <c r="U985" s="35"/>
      <c r="V985" s="35"/>
      <c r="W985" s="35"/>
      <c r="X985" s="35"/>
    </row>
    <row r="986" spans="4:24" x14ac:dyDescent="0.3">
      <c r="D986" s="23">
        <v>41011</v>
      </c>
      <c r="E986" s="5">
        <v>111.22244999999999</v>
      </c>
      <c r="F986" s="28">
        <v>60.590449999999997</v>
      </c>
      <c r="G986" s="28">
        <v>162.69999999999999</v>
      </c>
      <c r="H986" s="28">
        <v>60.183619999999998</v>
      </c>
      <c r="I986" s="28">
        <v>57.328919999999997</v>
      </c>
      <c r="J986" s="29"/>
      <c r="K986" s="29"/>
      <c r="L986" s="29"/>
      <c r="M986" s="29"/>
      <c r="N986" s="29"/>
      <c r="P986" s="4">
        <f t="shared" si="63"/>
        <v>1.2980515478181812E-2</v>
      </c>
      <c r="Q986" s="4">
        <f t="shared" si="63"/>
        <v>1.1966297967675833E-4</v>
      </c>
      <c r="R986" s="4">
        <f t="shared" si="63"/>
        <v>1.0068961122404354E-2</v>
      </c>
      <c r="S986" s="4">
        <f t="shared" si="63"/>
        <v>1.1372146349776421E-2</v>
      </c>
      <c r="T986" s="4">
        <f t="shared" si="63"/>
        <v>1.4991032889567005E-2</v>
      </c>
      <c r="U986" s="35"/>
      <c r="V986" s="35"/>
      <c r="W986" s="35"/>
      <c r="X986" s="35"/>
    </row>
    <row r="987" spans="4:24" x14ac:dyDescent="0.3">
      <c r="D987" s="23">
        <v>41012</v>
      </c>
      <c r="E987" s="5">
        <v>109.90016900000001</v>
      </c>
      <c r="F987" s="28">
        <v>60.742809999999999</v>
      </c>
      <c r="G987" s="28">
        <v>160.85</v>
      </c>
      <c r="H987" s="28">
        <v>59.270249999999997</v>
      </c>
      <c r="I987" s="28">
        <v>56.628830000000001</v>
      </c>
      <c r="J987" s="29"/>
      <c r="K987" s="29"/>
      <c r="L987" s="29"/>
      <c r="M987" s="29"/>
      <c r="N987" s="29"/>
      <c r="P987" s="4">
        <f t="shared" si="63"/>
        <v>-1.1959850758957186E-2</v>
      </c>
      <c r="Q987" s="4">
        <f t="shared" si="63"/>
        <v>2.5114314093517519E-3</v>
      </c>
      <c r="R987" s="4">
        <f t="shared" si="63"/>
        <v>-1.1435760539956697E-2</v>
      </c>
      <c r="S987" s="4">
        <f t="shared" si="63"/>
        <v>-1.5292728491155561E-2</v>
      </c>
      <c r="T987" s="4">
        <f t="shared" si="63"/>
        <v>-1.2286988953346911E-2</v>
      </c>
      <c r="U987" s="35"/>
      <c r="V987" s="35"/>
      <c r="W987" s="35"/>
      <c r="X987" s="35"/>
    </row>
    <row r="988" spans="4:24" x14ac:dyDescent="0.3">
      <c r="D988" s="23">
        <v>41015</v>
      </c>
      <c r="E988" s="5">
        <v>109.828102</v>
      </c>
      <c r="F988" s="28">
        <v>60.742809999999999</v>
      </c>
      <c r="G988" s="28">
        <v>160.46</v>
      </c>
      <c r="H988" s="28">
        <v>58.607599999999998</v>
      </c>
      <c r="I988" s="28">
        <v>56.57246</v>
      </c>
      <c r="J988" s="29"/>
      <c r="K988" s="29"/>
      <c r="L988" s="29"/>
      <c r="M988" s="29"/>
      <c r="N988" s="29"/>
      <c r="P988" s="4">
        <f t="shared" si="63"/>
        <v>-6.5596477190812464E-4</v>
      </c>
      <c r="Q988" s="4">
        <f t="shared" si="63"/>
        <v>0</v>
      </c>
      <c r="R988" s="4">
        <f t="shared" si="63"/>
        <v>-2.4275633595253654E-3</v>
      </c>
      <c r="S988" s="4">
        <f t="shared" si="63"/>
        <v>-1.1243112769998112E-2</v>
      </c>
      <c r="T988" s="4">
        <f t="shared" si="63"/>
        <v>-9.959251287559789E-4</v>
      </c>
      <c r="U988" s="35"/>
      <c r="V988" s="35"/>
      <c r="W988" s="35"/>
      <c r="X988" s="35"/>
    </row>
    <row r="989" spans="4:24" x14ac:dyDescent="0.3">
      <c r="D989" s="23">
        <v>41016</v>
      </c>
      <c r="E989" s="5">
        <v>111.45487199999999</v>
      </c>
      <c r="F989" s="28">
        <v>60.735619999999997</v>
      </c>
      <c r="G989" s="28">
        <v>160.25</v>
      </c>
      <c r="H989" s="28">
        <v>59.798569999999998</v>
      </c>
      <c r="I989" s="28">
        <v>57.433529999999998</v>
      </c>
      <c r="J989" s="29"/>
      <c r="K989" s="29"/>
      <c r="L989" s="29"/>
      <c r="M989" s="29"/>
      <c r="N989" s="29"/>
      <c r="P989" s="4">
        <f t="shared" si="63"/>
        <v>1.4703339148588478E-2</v>
      </c>
      <c r="Q989" s="4">
        <f t="shared" si="63"/>
        <v>-1.1837492480591871E-4</v>
      </c>
      <c r="R989" s="4">
        <f t="shared" si="63"/>
        <v>-1.3095945247305577E-3</v>
      </c>
      <c r="S989" s="4">
        <f t="shared" si="63"/>
        <v>2.0117366620843312E-2</v>
      </c>
      <c r="T989" s="4">
        <f t="shared" si="63"/>
        <v>1.5105984763730313E-2</v>
      </c>
      <c r="U989" s="35"/>
      <c r="V989" s="35"/>
      <c r="W989" s="35"/>
      <c r="X989" s="35"/>
    </row>
    <row r="990" spans="4:24" x14ac:dyDescent="0.3">
      <c r="D990" s="23">
        <v>41017</v>
      </c>
      <c r="E990" s="5">
        <v>111.07820100000001</v>
      </c>
      <c r="F990" s="28">
        <v>60.779139999999998</v>
      </c>
      <c r="G990" s="28">
        <v>159.31</v>
      </c>
      <c r="H990" s="28">
        <v>59.646340000000002</v>
      </c>
      <c r="I990" s="28">
        <v>57.23236</v>
      </c>
      <c r="J990" s="29"/>
      <c r="K990" s="29"/>
      <c r="L990" s="29"/>
      <c r="M990" s="29"/>
      <c r="N990" s="29"/>
      <c r="P990" s="4">
        <f t="shared" si="63"/>
        <v>-3.3853067739751191E-3</v>
      </c>
      <c r="Q990" s="4">
        <f t="shared" si="63"/>
        <v>7.1629161528597189E-4</v>
      </c>
      <c r="R990" s="4">
        <f t="shared" si="63"/>
        <v>-5.883106215975922E-3</v>
      </c>
      <c r="S990" s="4">
        <f t="shared" si="63"/>
        <v>-2.5489588869424791E-3</v>
      </c>
      <c r="T990" s="4">
        <f t="shared" si="63"/>
        <v>-3.5088064357364263E-3</v>
      </c>
      <c r="U990" s="35"/>
      <c r="V990" s="35"/>
      <c r="W990" s="35"/>
      <c r="X990" s="35"/>
    </row>
    <row r="991" spans="4:24" x14ac:dyDescent="0.3">
      <c r="D991" s="23">
        <v>41018</v>
      </c>
      <c r="E991" s="5">
        <v>110.364998</v>
      </c>
      <c r="F991" s="28">
        <v>60.764609999999998</v>
      </c>
      <c r="G991" s="28">
        <v>159.43</v>
      </c>
      <c r="H991" s="28">
        <v>58.974739999999997</v>
      </c>
      <c r="I991" s="28">
        <v>56.902419999999999</v>
      </c>
      <c r="J991" s="29"/>
      <c r="K991" s="29"/>
      <c r="L991" s="29"/>
      <c r="M991" s="29"/>
      <c r="N991" s="29"/>
      <c r="P991" s="4">
        <f t="shared" si="63"/>
        <v>-6.4414303012121999E-3</v>
      </c>
      <c r="Q991" s="4">
        <f t="shared" si="63"/>
        <v>-2.390908634828131E-4</v>
      </c>
      <c r="R991" s="4">
        <f t="shared" si="63"/>
        <v>7.5296483447050643E-4</v>
      </c>
      <c r="S991" s="4">
        <f t="shared" si="63"/>
        <v>-1.132357210395544E-2</v>
      </c>
      <c r="T991" s="4">
        <f t="shared" si="63"/>
        <v>-5.7816017005965364E-3</v>
      </c>
      <c r="U991" s="35"/>
      <c r="V991" s="35"/>
      <c r="W991" s="35"/>
      <c r="X991" s="35"/>
    </row>
    <row r="992" spans="4:24" x14ac:dyDescent="0.3">
      <c r="D992" s="23">
        <v>41019</v>
      </c>
      <c r="E992" s="5">
        <v>110.54930899999999</v>
      </c>
      <c r="F992" s="28">
        <v>60.757339999999999</v>
      </c>
      <c r="G992" s="28">
        <v>159.54</v>
      </c>
      <c r="H992" s="28">
        <v>58.813569999999999</v>
      </c>
      <c r="I992" s="28">
        <v>56.990949999999998</v>
      </c>
      <c r="J992" s="29"/>
      <c r="K992" s="29"/>
      <c r="L992" s="29"/>
      <c r="M992" s="29"/>
      <c r="N992" s="29"/>
      <c r="P992" s="4">
        <f t="shared" si="63"/>
        <v>1.6686202470775591E-3</v>
      </c>
      <c r="Q992" s="4">
        <f t="shared" si="63"/>
        <v>-1.1964916640442006E-4</v>
      </c>
      <c r="R992" s="4">
        <f t="shared" si="63"/>
        <v>6.8972006370935409E-4</v>
      </c>
      <c r="S992" s="4">
        <f t="shared" si="63"/>
        <v>-2.7366060449235908E-3</v>
      </c>
      <c r="T992" s="4">
        <f t="shared" si="63"/>
        <v>1.5546123155382521E-3</v>
      </c>
      <c r="U992" s="35"/>
      <c r="V992" s="35"/>
      <c r="W992" s="35"/>
      <c r="X992" s="35"/>
    </row>
    <row r="993" spans="4:24" x14ac:dyDescent="0.3">
      <c r="D993" s="23">
        <v>41022</v>
      </c>
      <c r="E993" s="5">
        <v>109.619743</v>
      </c>
      <c r="F993" s="28">
        <v>60.829929999999997</v>
      </c>
      <c r="G993" s="28">
        <v>159.07</v>
      </c>
      <c r="H993" s="28">
        <v>58.276299999999999</v>
      </c>
      <c r="I993" s="28">
        <v>56.500050000000002</v>
      </c>
      <c r="J993" s="29"/>
      <c r="K993" s="29"/>
      <c r="L993" s="29"/>
      <c r="M993" s="29"/>
      <c r="N993" s="29"/>
      <c r="P993" s="4">
        <f t="shared" si="63"/>
        <v>-8.4441615660325615E-3</v>
      </c>
      <c r="Q993" s="4">
        <f t="shared" si="63"/>
        <v>1.1940396165564604E-3</v>
      </c>
      <c r="R993" s="4">
        <f t="shared" si="63"/>
        <v>-2.9503175727143296E-3</v>
      </c>
      <c r="S993" s="4">
        <f t="shared" si="63"/>
        <v>-9.1771178960562434E-3</v>
      </c>
      <c r="T993" s="4">
        <f t="shared" si="63"/>
        <v>-8.6509601913724987E-3</v>
      </c>
      <c r="U993" s="35"/>
      <c r="V993" s="35"/>
      <c r="W993" s="35"/>
      <c r="X993" s="35"/>
    </row>
    <row r="994" spans="4:24" x14ac:dyDescent="0.3">
      <c r="D994" s="23">
        <v>41023</v>
      </c>
      <c r="E994" s="5">
        <v>110.03643</v>
      </c>
      <c r="F994" s="28">
        <v>60.757339999999999</v>
      </c>
      <c r="G994" s="28">
        <v>159.30000000000001</v>
      </c>
      <c r="H994" s="28">
        <v>57.962879999999998</v>
      </c>
      <c r="I994" s="28">
        <v>56.685139999999997</v>
      </c>
      <c r="J994" s="29"/>
      <c r="K994" s="29"/>
      <c r="L994" s="29"/>
      <c r="M994" s="29"/>
      <c r="N994" s="29"/>
      <c r="P994" s="4">
        <f t="shared" si="63"/>
        <v>3.7939976294721046E-3</v>
      </c>
      <c r="Q994" s="4">
        <f t="shared" si="63"/>
        <v>-1.1940396165565418E-3</v>
      </c>
      <c r="R994" s="4">
        <f t="shared" si="63"/>
        <v>1.4448600057338906E-3</v>
      </c>
      <c r="S994" s="4">
        <f t="shared" si="63"/>
        <v>-5.3926870363125972E-3</v>
      </c>
      <c r="T994" s="4">
        <f t="shared" si="63"/>
        <v>3.2705721479419324E-3</v>
      </c>
      <c r="U994" s="35"/>
      <c r="V994" s="35"/>
      <c r="W994" s="35"/>
      <c r="X994" s="35"/>
    </row>
    <row r="995" spans="4:24" x14ac:dyDescent="0.3">
      <c r="D995" s="23">
        <v>41024</v>
      </c>
      <c r="E995" s="5">
        <v>111.54306</v>
      </c>
      <c r="F995" s="28">
        <v>60.742809999999999</v>
      </c>
      <c r="G995" s="28">
        <v>159.62</v>
      </c>
      <c r="H995" s="28">
        <v>59.503079999999997</v>
      </c>
      <c r="I995" s="28">
        <v>57.522060000000003</v>
      </c>
      <c r="J995" s="29"/>
      <c r="K995" s="29"/>
      <c r="L995" s="29"/>
      <c r="M995" s="29"/>
      <c r="N995" s="29"/>
      <c r="P995" s="4">
        <f t="shared" si="63"/>
        <v>1.3599211907451737E-2</v>
      </c>
      <c r="Q995" s="4">
        <f t="shared" si="63"/>
        <v>-2.3917666059283899E-4</v>
      </c>
      <c r="R995" s="4">
        <f t="shared" si="63"/>
        <v>2.0067735318599605E-3</v>
      </c>
      <c r="S995" s="4">
        <f t="shared" si="63"/>
        <v>2.6225270258724294E-2</v>
      </c>
      <c r="T995" s="4">
        <f t="shared" si="63"/>
        <v>1.4656431145842475E-2</v>
      </c>
      <c r="U995" s="35"/>
      <c r="V995" s="35"/>
      <c r="W995" s="35"/>
      <c r="X995" s="35"/>
    </row>
    <row r="996" spans="4:24" x14ac:dyDescent="0.3">
      <c r="D996" s="23">
        <v>41025</v>
      </c>
      <c r="E996" s="5">
        <v>112.320305</v>
      </c>
      <c r="F996" s="28">
        <v>60.822690000000001</v>
      </c>
      <c r="G996" s="28">
        <v>161.03</v>
      </c>
      <c r="H996" s="28">
        <v>59.8523</v>
      </c>
      <c r="I996" s="28">
        <v>57.940530000000003</v>
      </c>
      <c r="J996" s="29"/>
      <c r="K996" s="29"/>
      <c r="L996" s="29"/>
      <c r="M996" s="29"/>
      <c r="N996" s="29"/>
      <c r="P996" s="4">
        <f t="shared" si="63"/>
        <v>6.9439510401979026E-3</v>
      </c>
      <c r="Q996" s="4">
        <f t="shared" si="63"/>
        <v>1.3141888364163296E-3</v>
      </c>
      <c r="R996" s="4">
        <f t="shared" si="63"/>
        <v>8.794692582041819E-3</v>
      </c>
      <c r="S996" s="4">
        <f t="shared" si="63"/>
        <v>5.8517847547216928E-3</v>
      </c>
      <c r="T996" s="4">
        <f t="shared" si="63"/>
        <v>7.2486132916827267E-3</v>
      </c>
      <c r="U996" s="35"/>
      <c r="V996" s="35"/>
      <c r="W996" s="35"/>
      <c r="X996" s="35"/>
    </row>
    <row r="997" spans="4:24" x14ac:dyDescent="0.3">
      <c r="D997" s="23">
        <v>41026</v>
      </c>
      <c r="E997" s="5">
        <v>112.504677</v>
      </c>
      <c r="F997" s="28">
        <v>60.858980000000003</v>
      </c>
      <c r="G997" s="28">
        <v>161.38</v>
      </c>
      <c r="H997" s="28">
        <v>60.210479999999997</v>
      </c>
      <c r="I997" s="28">
        <v>58.077309999999997</v>
      </c>
      <c r="J997" s="29"/>
      <c r="K997" s="29"/>
      <c r="L997" s="29"/>
      <c r="M997" s="29"/>
      <c r="N997" s="29"/>
      <c r="P997" s="4">
        <f t="shared" ref="P997:T1012" si="64">LN(E997/E996)</f>
        <v>1.6401383840063967E-3</v>
      </c>
      <c r="Q997" s="4">
        <f t="shared" si="64"/>
        <v>5.9647440860973009E-4</v>
      </c>
      <c r="R997" s="4">
        <f t="shared" si="64"/>
        <v>2.1711493904559109E-3</v>
      </c>
      <c r="S997" s="4">
        <f t="shared" si="64"/>
        <v>5.9665628697956876E-3</v>
      </c>
      <c r="T997" s="4">
        <f t="shared" si="64"/>
        <v>2.357914323727805E-3</v>
      </c>
      <c r="U997" s="35"/>
      <c r="V997" s="35"/>
      <c r="W997" s="35"/>
      <c r="X997" s="35"/>
    </row>
    <row r="998" spans="4:24" x14ac:dyDescent="0.3">
      <c r="D998" s="23">
        <v>41029</v>
      </c>
      <c r="E998" s="5">
        <v>112.087959</v>
      </c>
      <c r="F998" s="28">
        <v>60.895249999999997</v>
      </c>
      <c r="G998" s="28">
        <v>161.88</v>
      </c>
      <c r="H998" s="28">
        <v>59.780670000000001</v>
      </c>
      <c r="I998" s="28">
        <v>57.77957</v>
      </c>
      <c r="J998" s="29"/>
      <c r="K998" s="29"/>
      <c r="L998" s="29"/>
      <c r="M998" s="29"/>
      <c r="N998" s="29"/>
      <c r="P998" s="4">
        <f t="shared" si="64"/>
        <v>-3.7108828288245008E-3</v>
      </c>
      <c r="Q998" s="4">
        <f t="shared" si="64"/>
        <v>5.9579040617932521E-4</v>
      </c>
      <c r="R998" s="4">
        <f t="shared" si="64"/>
        <v>3.0934875873042523E-3</v>
      </c>
      <c r="S998" s="4">
        <f t="shared" si="64"/>
        <v>-7.1640589874590417E-3</v>
      </c>
      <c r="T998" s="4">
        <f t="shared" si="64"/>
        <v>-5.1398010280143637E-3</v>
      </c>
      <c r="U998" s="35"/>
      <c r="V998" s="35"/>
      <c r="W998" s="35"/>
      <c r="X998" s="35"/>
    </row>
    <row r="999" spans="4:24" x14ac:dyDescent="0.3">
      <c r="D999" s="23">
        <v>41030</v>
      </c>
      <c r="E999" s="5">
        <v>112.785172</v>
      </c>
      <c r="F999" s="28">
        <v>60.808010000000003</v>
      </c>
      <c r="G999" s="28">
        <v>161.32</v>
      </c>
      <c r="H999" s="28">
        <v>59.879159999999999</v>
      </c>
      <c r="I999" s="28">
        <v>58.149749999999997</v>
      </c>
      <c r="J999" s="29"/>
      <c r="K999" s="29"/>
      <c r="L999" s="29"/>
      <c r="M999" s="29"/>
      <c r="N999" s="29"/>
      <c r="P999" s="4">
        <f t="shared" si="64"/>
        <v>6.2009652375914015E-3</v>
      </c>
      <c r="Q999" s="4">
        <f t="shared" si="64"/>
        <v>-1.4336512422499458E-3</v>
      </c>
      <c r="R999" s="4">
        <f t="shared" si="64"/>
        <v>-3.4653500024973902E-3</v>
      </c>
      <c r="S999" s="4">
        <f t="shared" si="64"/>
        <v>1.6461668421427051E-3</v>
      </c>
      <c r="T999" s="4">
        <f t="shared" si="64"/>
        <v>6.3863267403558334E-3</v>
      </c>
      <c r="U999" s="35"/>
      <c r="V999" s="35"/>
      <c r="W999" s="35"/>
      <c r="X999" s="35"/>
    </row>
    <row r="1000" spans="4:24" x14ac:dyDescent="0.3">
      <c r="D1000" s="23">
        <v>41031</v>
      </c>
      <c r="E1000" s="5">
        <v>112.448593</v>
      </c>
      <c r="F1000" s="28">
        <v>60.90249</v>
      </c>
      <c r="G1000" s="28">
        <v>160.59</v>
      </c>
      <c r="H1000" s="28">
        <v>60.049300000000002</v>
      </c>
      <c r="I1000" s="28">
        <v>58.020980000000002</v>
      </c>
      <c r="J1000" s="29"/>
      <c r="K1000" s="29"/>
      <c r="L1000" s="29"/>
      <c r="M1000" s="29"/>
      <c r="N1000" s="29"/>
      <c r="P1000" s="4">
        <f t="shared" si="64"/>
        <v>-2.9887104230386669E-3</v>
      </c>
      <c r="Q1000" s="4">
        <f t="shared" si="64"/>
        <v>1.5525368637488313E-3</v>
      </c>
      <c r="R1000" s="4">
        <f t="shared" si="64"/>
        <v>-4.5354369317677735E-3</v>
      </c>
      <c r="S1000" s="4">
        <f t="shared" si="64"/>
        <v>2.8373601085888681E-3</v>
      </c>
      <c r="T1000" s="4">
        <f t="shared" si="64"/>
        <v>-2.2169104513456894E-3</v>
      </c>
      <c r="U1000" s="35"/>
      <c r="V1000" s="35"/>
      <c r="W1000" s="35"/>
      <c r="X1000" s="35"/>
    </row>
    <row r="1001" spans="4:24" x14ac:dyDescent="0.3">
      <c r="D1001" s="23">
        <v>41032</v>
      </c>
      <c r="E1001" s="5">
        <v>111.591103</v>
      </c>
      <c r="F1001" s="28">
        <v>60.982509999999998</v>
      </c>
      <c r="G1001" s="28">
        <v>158.97</v>
      </c>
      <c r="H1001" s="28">
        <v>59.413530000000002</v>
      </c>
      <c r="I1001" s="28">
        <v>57.514020000000002</v>
      </c>
      <c r="J1001" s="29"/>
      <c r="K1001" s="29"/>
      <c r="L1001" s="29"/>
      <c r="M1001" s="29"/>
      <c r="N1001" s="29"/>
      <c r="P1001" s="4">
        <f t="shared" si="64"/>
        <v>-7.6548415523862816E-3</v>
      </c>
      <c r="Q1001" s="4">
        <f t="shared" si="64"/>
        <v>1.3130411699013881E-3</v>
      </c>
      <c r="R1001" s="4">
        <f t="shared" si="64"/>
        <v>-1.0139027900619216E-2</v>
      </c>
      <c r="S1001" s="4">
        <f t="shared" si="64"/>
        <v>-1.064391329655268E-2</v>
      </c>
      <c r="T1001" s="4">
        <f t="shared" si="64"/>
        <v>-8.7759251084346106E-3</v>
      </c>
      <c r="U1001" s="35"/>
      <c r="V1001" s="35"/>
      <c r="W1001" s="35"/>
      <c r="X1001" s="35"/>
    </row>
    <row r="1002" spans="4:24" x14ac:dyDescent="0.3">
      <c r="D1002" s="23">
        <v>41033</v>
      </c>
      <c r="E1002" s="5">
        <v>109.788055</v>
      </c>
      <c r="F1002" s="28">
        <v>61.04795</v>
      </c>
      <c r="G1002" s="28">
        <v>159.47</v>
      </c>
      <c r="H1002" s="28">
        <v>57.936039999999998</v>
      </c>
      <c r="I1002" s="28">
        <v>56.556370000000001</v>
      </c>
      <c r="J1002" s="29"/>
      <c r="K1002" s="29"/>
      <c r="L1002" s="29"/>
      <c r="M1002" s="29"/>
      <c r="N1002" s="29"/>
      <c r="P1002" s="4">
        <f t="shared" si="64"/>
        <v>-1.6289590096232983E-2</v>
      </c>
      <c r="Q1002" s="4">
        <f t="shared" si="64"/>
        <v>1.0725192099243672E-3</v>
      </c>
      <c r="R1002" s="4">
        <f t="shared" si="64"/>
        <v>3.1403115871005481E-3</v>
      </c>
      <c r="S1002" s="4">
        <f t="shared" si="64"/>
        <v>-2.5182334768898661E-2</v>
      </c>
      <c r="T1002" s="4">
        <f t="shared" si="64"/>
        <v>-1.6790904273044301E-2</v>
      </c>
      <c r="U1002" s="35"/>
      <c r="V1002" s="35"/>
      <c r="W1002" s="35"/>
      <c r="X1002" s="35"/>
    </row>
    <row r="1003" spans="4:24" x14ac:dyDescent="0.3">
      <c r="D1003" s="23">
        <v>41036</v>
      </c>
      <c r="E1003" s="5">
        <v>109.86816399999999</v>
      </c>
      <c r="F1003" s="28">
        <v>61.026130000000002</v>
      </c>
      <c r="G1003" s="28">
        <v>159.08000000000001</v>
      </c>
      <c r="H1003" s="28">
        <v>57.989750000000001</v>
      </c>
      <c r="I1003" s="28">
        <v>56.596609999999998</v>
      </c>
      <c r="J1003" s="29"/>
      <c r="K1003" s="29"/>
      <c r="L1003" s="29"/>
      <c r="M1003" s="29"/>
      <c r="N1003" s="29"/>
      <c r="P1003" s="4">
        <f t="shared" si="64"/>
        <v>7.2940346434438585E-4</v>
      </c>
      <c r="Q1003" s="4">
        <f t="shared" si="64"/>
        <v>-3.5748785053108542E-4</v>
      </c>
      <c r="R1003" s="4">
        <f t="shared" si="64"/>
        <v>-2.4485964203908679E-3</v>
      </c>
      <c r="S1003" s="4">
        <f t="shared" si="64"/>
        <v>9.2662735087889903E-4</v>
      </c>
      <c r="T1003" s="4">
        <f t="shared" si="64"/>
        <v>7.1124952601979332E-4</v>
      </c>
      <c r="U1003" s="35"/>
      <c r="V1003" s="35"/>
      <c r="W1003" s="35"/>
      <c r="X1003" s="35"/>
    </row>
    <row r="1004" spans="4:24" x14ac:dyDescent="0.3">
      <c r="D1004" s="23">
        <v>41037</v>
      </c>
      <c r="E1004" s="5">
        <v>109.42742200000001</v>
      </c>
      <c r="F1004" s="28">
        <v>61.084319999999998</v>
      </c>
      <c r="G1004" s="28">
        <v>156</v>
      </c>
      <c r="H1004" s="28">
        <v>57.774850000000001</v>
      </c>
      <c r="I1004" s="28">
        <v>56.387390000000003</v>
      </c>
      <c r="J1004" s="29"/>
      <c r="K1004" s="29"/>
      <c r="L1004" s="29"/>
      <c r="M1004" s="29"/>
      <c r="N1004" s="29"/>
      <c r="P1004" s="4">
        <f t="shared" si="64"/>
        <v>-4.0196212014520375E-3</v>
      </c>
      <c r="Q1004" s="4">
        <f t="shared" si="64"/>
        <v>9.5307165610666736E-4</v>
      </c>
      <c r="R1004" s="4">
        <f t="shared" si="64"/>
        <v>-1.9551213089952911E-2</v>
      </c>
      <c r="S1004" s="4">
        <f t="shared" si="64"/>
        <v>-3.7127109125310201E-3</v>
      </c>
      <c r="T1004" s="4">
        <f t="shared" si="64"/>
        <v>-3.7035374768411471E-3</v>
      </c>
      <c r="U1004" s="35"/>
      <c r="V1004" s="35"/>
      <c r="W1004" s="35"/>
      <c r="X1004" s="35"/>
    </row>
    <row r="1005" spans="4:24" x14ac:dyDescent="0.3">
      <c r="D1005" s="23">
        <v>41038</v>
      </c>
      <c r="E1005" s="5">
        <v>108.77829699999999</v>
      </c>
      <c r="F1005" s="28">
        <v>61.04795</v>
      </c>
      <c r="G1005" s="28">
        <v>154.47</v>
      </c>
      <c r="H1005" s="28">
        <v>57.595750000000002</v>
      </c>
      <c r="I1005" s="28">
        <v>56.049399999999999</v>
      </c>
      <c r="J1005" s="29"/>
      <c r="K1005" s="29"/>
      <c r="L1005" s="29"/>
      <c r="M1005" s="29"/>
      <c r="N1005" s="29"/>
      <c r="P1005" s="4">
        <f t="shared" si="64"/>
        <v>-5.9496782927654212E-3</v>
      </c>
      <c r="Q1005" s="4">
        <f t="shared" si="64"/>
        <v>-5.9558380557568234E-4</v>
      </c>
      <c r="R1005" s="4">
        <f t="shared" si="64"/>
        <v>-9.8561045233773494E-3</v>
      </c>
      <c r="S1005" s="4">
        <f t="shared" si="64"/>
        <v>-3.1047796210100492E-3</v>
      </c>
      <c r="T1005" s="4">
        <f t="shared" si="64"/>
        <v>-6.012107212694965E-3</v>
      </c>
      <c r="U1005" s="35"/>
      <c r="V1005" s="35"/>
      <c r="W1005" s="35"/>
      <c r="X1005" s="35"/>
    </row>
    <row r="1006" spans="4:24" x14ac:dyDescent="0.3">
      <c r="D1006" s="23">
        <v>41039</v>
      </c>
      <c r="E1006" s="5">
        <v>109.00266999999999</v>
      </c>
      <c r="F1006" s="28">
        <v>61.011580000000002</v>
      </c>
      <c r="G1006" s="28">
        <v>154.77000000000001</v>
      </c>
      <c r="H1006" s="28">
        <v>57.479340000000001</v>
      </c>
      <c r="I1006" s="28">
        <v>56.19426</v>
      </c>
      <c r="J1006" s="29"/>
      <c r="K1006" s="29"/>
      <c r="L1006" s="29"/>
      <c r="M1006" s="29"/>
      <c r="N1006" s="29"/>
      <c r="P1006" s="4">
        <f t="shared" si="64"/>
        <v>2.0605389210828521E-3</v>
      </c>
      <c r="Q1006" s="4">
        <f t="shared" si="64"/>
        <v>-5.9593873704699609E-4</v>
      </c>
      <c r="R1006" s="4">
        <f t="shared" si="64"/>
        <v>1.9402411985087208E-3</v>
      </c>
      <c r="S1006" s="4">
        <f t="shared" si="64"/>
        <v>-2.0232013671915793E-3</v>
      </c>
      <c r="T1006" s="4">
        <f t="shared" si="64"/>
        <v>2.5811717192192702E-3</v>
      </c>
      <c r="U1006" s="35"/>
      <c r="V1006" s="35"/>
      <c r="W1006" s="35"/>
      <c r="X1006" s="35"/>
    </row>
    <row r="1007" spans="4:24" x14ac:dyDescent="0.3">
      <c r="D1007" s="23">
        <v>41040</v>
      </c>
      <c r="E1007" s="5">
        <v>108.674126</v>
      </c>
      <c r="F1007" s="28">
        <v>61.055239999999998</v>
      </c>
      <c r="G1007" s="28">
        <v>153.56</v>
      </c>
      <c r="H1007" s="28">
        <v>57.470390000000002</v>
      </c>
      <c r="I1007" s="28">
        <v>56.041359999999997</v>
      </c>
      <c r="J1007" s="29"/>
      <c r="K1007" s="29"/>
      <c r="L1007" s="29"/>
      <c r="M1007" s="29"/>
      <c r="N1007" s="29"/>
      <c r="P1007" s="4">
        <f t="shared" si="64"/>
        <v>-3.0186428275062625E-3</v>
      </c>
      <c r="Q1007" s="4">
        <f t="shared" si="64"/>
        <v>7.1534593695155219E-4</v>
      </c>
      <c r="R1007" s="4">
        <f t="shared" si="64"/>
        <v>-7.8487737920712869E-3</v>
      </c>
      <c r="S1007" s="4">
        <f t="shared" si="64"/>
        <v>-1.5572024428561022E-4</v>
      </c>
      <c r="T1007" s="4">
        <f t="shared" si="64"/>
        <v>-2.7246268981081555E-3</v>
      </c>
      <c r="U1007" s="35"/>
      <c r="V1007" s="35"/>
      <c r="W1007" s="35"/>
      <c r="X1007" s="35"/>
    </row>
    <row r="1008" spans="4:24" x14ac:dyDescent="0.3">
      <c r="D1008" s="23">
        <v>41043</v>
      </c>
      <c r="E1008" s="5">
        <v>107.47204600000001</v>
      </c>
      <c r="F1008" s="28">
        <v>61.164319999999996</v>
      </c>
      <c r="G1008" s="28">
        <v>151.33000000000001</v>
      </c>
      <c r="H1008" s="28">
        <v>56.933120000000002</v>
      </c>
      <c r="I1008" s="28">
        <v>55.405639999999998</v>
      </c>
      <c r="J1008" s="29"/>
      <c r="K1008" s="29"/>
      <c r="L1008" s="29"/>
      <c r="M1008" s="29"/>
      <c r="N1008" s="29"/>
      <c r="P1008" s="4">
        <f t="shared" si="64"/>
        <v>-1.1122957971595923E-2</v>
      </c>
      <c r="Q1008" s="4">
        <f t="shared" si="64"/>
        <v>1.7849848086884893E-3</v>
      </c>
      <c r="R1008" s="4">
        <f t="shared" si="64"/>
        <v>-1.4628487433662081E-2</v>
      </c>
      <c r="S1008" s="4">
        <f t="shared" si="64"/>
        <v>-9.3926130391796259E-3</v>
      </c>
      <c r="T1008" s="4">
        <f t="shared" si="64"/>
        <v>-1.1408595928455714E-2</v>
      </c>
      <c r="U1008" s="35"/>
      <c r="V1008" s="35"/>
      <c r="W1008" s="35"/>
      <c r="X1008" s="35"/>
    </row>
    <row r="1009" spans="4:24" x14ac:dyDescent="0.3">
      <c r="D1009" s="23">
        <v>41044</v>
      </c>
      <c r="E1009" s="5">
        <v>106.854973</v>
      </c>
      <c r="F1009" s="28">
        <v>61.178849999999997</v>
      </c>
      <c r="G1009" s="28">
        <v>149.74</v>
      </c>
      <c r="H1009" s="28">
        <v>56.745080000000002</v>
      </c>
      <c r="I1009" s="28">
        <v>55.107880000000002</v>
      </c>
      <c r="J1009" s="29"/>
      <c r="K1009" s="29"/>
      <c r="L1009" s="29"/>
      <c r="M1009" s="29"/>
      <c r="N1009" s="29"/>
      <c r="P1009" s="4">
        <f t="shared" si="64"/>
        <v>-5.7582539796191467E-3</v>
      </c>
      <c r="Q1009" s="4">
        <f t="shared" si="64"/>
        <v>2.3752858567125743E-4</v>
      </c>
      <c r="R1009" s="4">
        <f t="shared" si="64"/>
        <v>-1.0562425896395706E-2</v>
      </c>
      <c r="S1009" s="4">
        <f t="shared" si="64"/>
        <v>-3.3082890387887568E-3</v>
      </c>
      <c r="T1009" s="4">
        <f t="shared" si="64"/>
        <v>-5.3886749879056926E-3</v>
      </c>
      <c r="U1009" s="35"/>
      <c r="V1009" s="35"/>
      <c r="W1009" s="35"/>
      <c r="X1009" s="35"/>
    </row>
    <row r="1010" spans="4:24" x14ac:dyDescent="0.3">
      <c r="D1010" s="23">
        <v>41045</v>
      </c>
      <c r="E1010" s="5">
        <v>106.446281</v>
      </c>
      <c r="F1010" s="28">
        <v>61.142510000000001</v>
      </c>
      <c r="G1010" s="28">
        <v>149.46</v>
      </c>
      <c r="H1010" s="28">
        <v>56.360010000000003</v>
      </c>
      <c r="I1010" s="28">
        <v>54.850360000000002</v>
      </c>
      <c r="J1010" s="29"/>
      <c r="K1010" s="29"/>
      <c r="L1010" s="29"/>
      <c r="M1010" s="29"/>
      <c r="N1010" s="29"/>
      <c r="P1010" s="4">
        <f t="shared" si="64"/>
        <v>-3.8320684240154674E-3</v>
      </c>
      <c r="Q1010" s="4">
        <f t="shared" si="64"/>
        <v>-5.9417261333787573E-4</v>
      </c>
      <c r="R1010" s="4">
        <f t="shared" si="64"/>
        <v>-1.8716583003950801E-3</v>
      </c>
      <c r="S1010" s="4">
        <f t="shared" si="64"/>
        <v>-6.809092106685513E-3</v>
      </c>
      <c r="T1010" s="4">
        <f t="shared" si="64"/>
        <v>-4.6839685833970895E-3</v>
      </c>
      <c r="U1010" s="35"/>
      <c r="V1010" s="35"/>
      <c r="W1010" s="35"/>
      <c r="X1010" s="35"/>
    </row>
    <row r="1011" spans="4:24" x14ac:dyDescent="0.3">
      <c r="D1011" s="23">
        <v>41046</v>
      </c>
      <c r="E1011" s="5">
        <v>104.867599</v>
      </c>
      <c r="F1011" s="28">
        <v>61.193399999999997</v>
      </c>
      <c r="G1011" s="28">
        <v>152.80000000000001</v>
      </c>
      <c r="H1011" s="28">
        <v>55.169069999999998</v>
      </c>
      <c r="I1011" s="28">
        <v>53.900770000000001</v>
      </c>
      <c r="J1011" s="29"/>
      <c r="K1011" s="29"/>
      <c r="L1011" s="29"/>
      <c r="M1011" s="29"/>
      <c r="N1011" s="29"/>
      <c r="P1011" s="4">
        <f t="shared" si="64"/>
        <v>-1.4941861567897445E-2</v>
      </c>
      <c r="Q1011" s="4">
        <f t="shared" si="64"/>
        <v>8.3197162526359679E-4</v>
      </c>
      <c r="R1011" s="4">
        <f t="shared" si="64"/>
        <v>2.2101078230276072E-2</v>
      </c>
      <c r="S1011" s="4">
        <f t="shared" si="64"/>
        <v>-2.1357394306500195E-2</v>
      </c>
      <c r="T1011" s="4">
        <f t="shared" si="64"/>
        <v>-1.7463986527106696E-2</v>
      </c>
      <c r="U1011" s="35"/>
      <c r="V1011" s="35"/>
      <c r="W1011" s="35"/>
      <c r="X1011" s="35"/>
    </row>
    <row r="1012" spans="4:24" x14ac:dyDescent="0.3">
      <c r="D1012" s="23">
        <v>41047</v>
      </c>
      <c r="E1012" s="5">
        <v>103.970055</v>
      </c>
      <c r="F1012" s="28">
        <v>61.157080000000001</v>
      </c>
      <c r="G1012" s="28">
        <v>154.55000000000001</v>
      </c>
      <c r="H1012" s="28">
        <v>54.4527</v>
      </c>
      <c r="I1012" s="28">
        <v>53.450130000000001</v>
      </c>
      <c r="J1012" s="29"/>
      <c r="K1012" s="29"/>
      <c r="L1012" s="29"/>
      <c r="M1012" s="29"/>
      <c r="N1012" s="29"/>
      <c r="P1012" s="4">
        <f t="shared" si="64"/>
        <v>-8.5956675828572273E-3</v>
      </c>
      <c r="Q1012" s="4">
        <f t="shared" si="64"/>
        <v>-5.9370426772093398E-4</v>
      </c>
      <c r="R1012" s="4">
        <f t="shared" si="64"/>
        <v>1.1387791845705297E-2</v>
      </c>
      <c r="S1012" s="4">
        <f t="shared" si="64"/>
        <v>-1.3070035228320152E-2</v>
      </c>
      <c r="T1012" s="4">
        <f t="shared" si="64"/>
        <v>-8.395693879493793E-3</v>
      </c>
      <c r="U1012" s="35"/>
      <c r="V1012" s="35"/>
      <c r="W1012" s="35"/>
      <c r="X1012" s="35"/>
    </row>
    <row r="1013" spans="4:24" x14ac:dyDescent="0.3">
      <c r="D1013" s="23">
        <v>41050</v>
      </c>
      <c r="E1013" s="5">
        <v>105.757103</v>
      </c>
      <c r="F1013" s="28">
        <v>61.164319999999996</v>
      </c>
      <c r="G1013" s="28">
        <v>154.65</v>
      </c>
      <c r="H1013" s="28">
        <v>55.974960000000003</v>
      </c>
      <c r="I1013" s="28">
        <v>54.439929999999997</v>
      </c>
      <c r="J1013" s="29"/>
      <c r="K1013" s="29"/>
      <c r="L1013" s="29"/>
      <c r="M1013" s="29"/>
      <c r="N1013" s="29"/>
      <c r="P1013" s="4">
        <f t="shared" ref="P1013:T1028" si="65">LN(E1013/E1012)</f>
        <v>1.7042058530939645E-2</v>
      </c>
      <c r="Q1013" s="4">
        <f t="shared" si="65"/>
        <v>1.1837667012402849E-4</v>
      </c>
      <c r="R1013" s="4">
        <f t="shared" si="65"/>
        <v>6.4683055295326514E-4</v>
      </c>
      <c r="S1013" s="4">
        <f t="shared" si="65"/>
        <v>2.7572012953383528E-2</v>
      </c>
      <c r="T1013" s="4">
        <f t="shared" si="65"/>
        <v>1.8348822315484473E-2</v>
      </c>
      <c r="U1013" s="35"/>
      <c r="V1013" s="35"/>
      <c r="W1013" s="35"/>
      <c r="X1013" s="35"/>
    </row>
    <row r="1014" spans="4:24" x14ac:dyDescent="0.3">
      <c r="D1014" s="23">
        <v>41051</v>
      </c>
      <c r="E1014" s="5">
        <v>105.94143699999999</v>
      </c>
      <c r="F1014" s="28">
        <v>61.062539999999998</v>
      </c>
      <c r="G1014" s="28">
        <v>152.08000000000001</v>
      </c>
      <c r="H1014" s="28">
        <v>55.912289999999999</v>
      </c>
      <c r="I1014" s="28">
        <v>54.456029999999998</v>
      </c>
      <c r="J1014" s="29"/>
      <c r="K1014" s="29"/>
      <c r="L1014" s="29"/>
      <c r="M1014" s="29"/>
      <c r="N1014" s="29"/>
      <c r="P1014" s="4">
        <f t="shared" si="65"/>
        <v>1.7414767866271938E-3</v>
      </c>
      <c r="Q1014" s="4">
        <f t="shared" si="65"/>
        <v>-1.6654280986221953E-3</v>
      </c>
      <c r="R1014" s="4">
        <f t="shared" si="65"/>
        <v>-1.6757800950904827E-2</v>
      </c>
      <c r="S1014" s="4">
        <f t="shared" si="65"/>
        <v>-1.1202349964603822E-3</v>
      </c>
      <c r="T1014" s="4">
        <f t="shared" si="65"/>
        <v>2.9569508579221936E-4</v>
      </c>
      <c r="U1014" s="35"/>
      <c r="V1014" s="35"/>
      <c r="W1014" s="35"/>
      <c r="X1014" s="35"/>
    </row>
    <row r="1015" spans="4:24" x14ac:dyDescent="0.3">
      <c r="D1015" s="23">
        <v>41052</v>
      </c>
      <c r="E1015" s="5">
        <v>105.997536</v>
      </c>
      <c r="F1015" s="28">
        <v>61.10615</v>
      </c>
      <c r="G1015" s="28">
        <v>151.62</v>
      </c>
      <c r="H1015" s="28">
        <v>56.019759999999998</v>
      </c>
      <c r="I1015" s="28">
        <v>54.552619999999997</v>
      </c>
      <c r="J1015" s="29"/>
      <c r="K1015" s="29"/>
      <c r="L1015" s="29"/>
      <c r="M1015" s="29"/>
      <c r="N1015" s="29"/>
      <c r="P1015" s="4">
        <f t="shared" si="65"/>
        <v>5.2938825281710991E-4</v>
      </c>
      <c r="Q1015" s="4">
        <f t="shared" si="65"/>
        <v>7.1393090737604354E-4</v>
      </c>
      <c r="R1015" s="4">
        <f t="shared" si="65"/>
        <v>-3.0293075520159011E-3</v>
      </c>
      <c r="S1015" s="4">
        <f t="shared" si="65"/>
        <v>1.9202727551968046E-3</v>
      </c>
      <c r="T1015" s="4">
        <f t="shared" si="65"/>
        <v>1.7721534076173696E-3</v>
      </c>
      <c r="U1015" s="35"/>
      <c r="V1015" s="35"/>
      <c r="W1015" s="35"/>
      <c r="X1015" s="35"/>
    </row>
    <row r="1016" spans="4:24" x14ac:dyDescent="0.3">
      <c r="D1016" s="23">
        <v>41053</v>
      </c>
      <c r="E1016" s="5">
        <v>106.20586400000001</v>
      </c>
      <c r="F1016" s="28">
        <v>61.040680000000002</v>
      </c>
      <c r="G1016" s="28">
        <v>151.41</v>
      </c>
      <c r="H1016" s="28">
        <v>55.6526</v>
      </c>
      <c r="I1016" s="28">
        <v>54.657209999999999</v>
      </c>
      <c r="J1016" s="29"/>
      <c r="K1016" s="29"/>
      <c r="L1016" s="29"/>
      <c r="M1016" s="29"/>
      <c r="N1016" s="29"/>
      <c r="P1016" s="4">
        <f t="shared" si="65"/>
        <v>1.96347529709182E-3</v>
      </c>
      <c r="Q1016" s="4">
        <f t="shared" si="65"/>
        <v>-1.0719886266327223E-3</v>
      </c>
      <c r="R1016" s="4">
        <f t="shared" si="65"/>
        <v>-1.3860016078772516E-3</v>
      </c>
      <c r="S1016" s="4">
        <f t="shared" si="65"/>
        <v>-6.5756884333610897E-3</v>
      </c>
      <c r="T1016" s="4">
        <f t="shared" si="65"/>
        <v>1.9153959304971531E-3</v>
      </c>
      <c r="U1016" s="35"/>
      <c r="V1016" s="35"/>
      <c r="W1016" s="35"/>
      <c r="X1016" s="35"/>
    </row>
    <row r="1017" spans="4:24" x14ac:dyDescent="0.3">
      <c r="D1017" s="23">
        <v>41054</v>
      </c>
      <c r="E1017" s="5">
        <v>105.861259</v>
      </c>
      <c r="F1017" s="28">
        <v>61.113399999999999</v>
      </c>
      <c r="G1017" s="28">
        <v>152.68</v>
      </c>
      <c r="H1017" s="28">
        <v>55.580970000000001</v>
      </c>
      <c r="I1017" s="28">
        <v>54.528469999999999</v>
      </c>
      <c r="J1017" s="29"/>
      <c r="K1017" s="29"/>
      <c r="L1017" s="29"/>
      <c r="M1017" s="29"/>
      <c r="N1017" s="29"/>
      <c r="P1017" s="4">
        <f t="shared" si="65"/>
        <v>-3.249964430530764E-3</v>
      </c>
      <c r="Q1017" s="4">
        <f t="shared" si="65"/>
        <v>1.190627584287248E-3</v>
      </c>
      <c r="R1017" s="4">
        <f t="shared" si="65"/>
        <v>8.3528388567483836E-3</v>
      </c>
      <c r="S1017" s="4">
        <f t="shared" si="65"/>
        <v>-1.2879207221577395E-3</v>
      </c>
      <c r="T1017" s="4">
        <f t="shared" si="65"/>
        <v>-2.3581857925084704E-3</v>
      </c>
      <c r="U1017" s="35"/>
      <c r="V1017" s="35"/>
      <c r="W1017" s="35"/>
      <c r="X1017" s="35"/>
    </row>
    <row r="1018" spans="4:24" x14ac:dyDescent="0.3">
      <c r="D1018" s="23">
        <v>41058</v>
      </c>
      <c r="E1018" s="5">
        <v>107.143486</v>
      </c>
      <c r="F1018" s="28">
        <v>61.113399999999999</v>
      </c>
      <c r="G1018" s="28">
        <v>151.02000000000001</v>
      </c>
      <c r="H1018" s="28">
        <v>56.28837</v>
      </c>
      <c r="I1018" s="28">
        <v>55.188339999999997</v>
      </c>
      <c r="J1018" s="29"/>
      <c r="K1018" s="29"/>
      <c r="L1018" s="29"/>
      <c r="M1018" s="29"/>
      <c r="N1018" s="29"/>
      <c r="P1018" s="4">
        <f t="shared" si="65"/>
        <v>1.2039567365718139E-2</v>
      </c>
      <c r="Q1018" s="4">
        <f t="shared" si="65"/>
        <v>0</v>
      </c>
      <c r="R1018" s="4">
        <f t="shared" si="65"/>
        <v>-1.0931949501749505E-2</v>
      </c>
      <c r="S1018" s="4">
        <f t="shared" si="65"/>
        <v>1.2647065387620357E-2</v>
      </c>
      <c r="T1018" s="4">
        <f t="shared" si="65"/>
        <v>1.2028748491808851E-2</v>
      </c>
      <c r="U1018" s="35"/>
      <c r="V1018" s="35"/>
      <c r="W1018" s="35"/>
      <c r="X1018" s="35"/>
    </row>
    <row r="1019" spans="4:24" x14ac:dyDescent="0.3">
      <c r="D1019" s="23">
        <v>41059</v>
      </c>
      <c r="E1019" s="5">
        <v>105.588837</v>
      </c>
      <c r="F1019" s="28">
        <v>61.346159999999998</v>
      </c>
      <c r="G1019" s="28">
        <v>151.91</v>
      </c>
      <c r="H1019" s="28">
        <v>55.813800000000001</v>
      </c>
      <c r="I1019" s="28">
        <v>54.319229999999997</v>
      </c>
      <c r="J1019" s="29"/>
      <c r="K1019" s="29"/>
      <c r="L1019" s="29"/>
      <c r="M1019" s="29"/>
      <c r="N1019" s="29"/>
      <c r="P1019" s="4">
        <f t="shared" si="65"/>
        <v>-1.4616271333983195E-2</v>
      </c>
      <c r="Q1019" s="4">
        <f t="shared" si="65"/>
        <v>3.8014227765896156E-3</v>
      </c>
      <c r="R1019" s="4">
        <f t="shared" si="65"/>
        <v>5.875961844291672E-3</v>
      </c>
      <c r="S1019" s="4">
        <f t="shared" si="65"/>
        <v>-8.4667912319734903E-3</v>
      </c>
      <c r="T1019" s="4">
        <f t="shared" si="65"/>
        <v>-1.5873391194156265E-2</v>
      </c>
      <c r="U1019" s="35"/>
      <c r="V1019" s="35"/>
      <c r="W1019" s="35"/>
      <c r="X1019" s="35"/>
    </row>
    <row r="1020" spans="4:24" x14ac:dyDescent="0.3">
      <c r="D1020" s="23">
        <v>41060</v>
      </c>
      <c r="E1020" s="5">
        <v>105.356407</v>
      </c>
      <c r="F1020" s="28">
        <v>61.462499999999999</v>
      </c>
      <c r="G1020" s="28">
        <v>151.62</v>
      </c>
      <c r="H1020" s="28">
        <v>55.572009999999999</v>
      </c>
      <c r="I1020" s="28">
        <v>54.182429999999997</v>
      </c>
      <c r="J1020" s="29"/>
      <c r="K1020" s="29"/>
      <c r="L1020" s="29"/>
      <c r="M1020" s="29"/>
      <c r="N1020" s="29"/>
      <c r="P1020" s="4">
        <f t="shared" si="65"/>
        <v>-2.2037007296776602E-3</v>
      </c>
      <c r="Q1020" s="4">
        <f t="shared" si="65"/>
        <v>1.8946552271202895E-3</v>
      </c>
      <c r="R1020" s="4">
        <f t="shared" si="65"/>
        <v>-1.9108495914134207E-3</v>
      </c>
      <c r="S1020" s="4">
        <f t="shared" si="65"/>
        <v>-4.3414934053585645E-3</v>
      </c>
      <c r="T1020" s="4">
        <f t="shared" si="65"/>
        <v>-2.521621742704456E-3</v>
      </c>
      <c r="U1020" s="35"/>
      <c r="V1020" s="35"/>
      <c r="W1020" s="35"/>
      <c r="X1020" s="35"/>
    </row>
    <row r="1021" spans="4:24" x14ac:dyDescent="0.3">
      <c r="D1021" s="23">
        <v>41061</v>
      </c>
      <c r="E1021" s="5">
        <v>102.703896</v>
      </c>
      <c r="F1021" s="28">
        <v>61.678289999999997</v>
      </c>
      <c r="G1021" s="28">
        <v>157.5</v>
      </c>
      <c r="H1021" s="28">
        <v>54.094499999999996</v>
      </c>
      <c r="I1021" s="28">
        <v>52.790230000000001</v>
      </c>
      <c r="J1021" s="29"/>
      <c r="K1021" s="29"/>
      <c r="L1021" s="29"/>
      <c r="M1021" s="29"/>
      <c r="N1021" s="29"/>
      <c r="P1021" s="4">
        <f t="shared" si="65"/>
        <v>-2.549890277736918E-2</v>
      </c>
      <c r="Q1021" s="4">
        <f t="shared" si="65"/>
        <v>3.5047723972978771E-3</v>
      </c>
      <c r="R1021" s="4">
        <f t="shared" si="65"/>
        <v>3.8048067637529964E-2</v>
      </c>
      <c r="S1021" s="4">
        <f t="shared" si="65"/>
        <v>-2.6947140134943596E-2</v>
      </c>
      <c r="T1021" s="4">
        <f t="shared" si="65"/>
        <v>-2.6030550437726823E-2</v>
      </c>
      <c r="U1021" s="35"/>
      <c r="V1021" s="35"/>
      <c r="W1021" s="35"/>
      <c r="X1021" s="35"/>
    </row>
    <row r="1022" spans="4:24" x14ac:dyDescent="0.3">
      <c r="D1022" s="23">
        <v>41064</v>
      </c>
      <c r="E1022" s="5">
        <v>102.655815</v>
      </c>
      <c r="F1022" s="28">
        <v>61.525219999999997</v>
      </c>
      <c r="G1022" s="28">
        <v>157.32</v>
      </c>
      <c r="H1022" s="28">
        <v>54.506419999999999</v>
      </c>
      <c r="I1022" s="28">
        <v>52.741970000000002</v>
      </c>
      <c r="J1022" s="29"/>
      <c r="K1022" s="29"/>
      <c r="L1022" s="29"/>
      <c r="M1022" s="29"/>
      <c r="N1022" s="29"/>
      <c r="P1022" s="4">
        <f t="shared" si="65"/>
        <v>-4.6826128303768024E-4</v>
      </c>
      <c r="Q1022" s="4">
        <f t="shared" si="65"/>
        <v>-2.4848330824267738E-3</v>
      </c>
      <c r="R1022" s="4">
        <f t="shared" si="65"/>
        <v>-1.1435107020790491E-3</v>
      </c>
      <c r="S1022" s="4">
        <f t="shared" si="65"/>
        <v>7.5859757982858021E-3</v>
      </c>
      <c r="T1022" s="4">
        <f t="shared" si="65"/>
        <v>-9.1460243156330965E-4</v>
      </c>
      <c r="U1022" s="35"/>
      <c r="V1022" s="35"/>
      <c r="W1022" s="35"/>
      <c r="X1022" s="35"/>
    </row>
    <row r="1023" spans="4:24" x14ac:dyDescent="0.3">
      <c r="D1023" s="23">
        <v>41065</v>
      </c>
      <c r="E1023" s="5">
        <v>103.433136</v>
      </c>
      <c r="F1023" s="28">
        <v>61.40128</v>
      </c>
      <c r="G1023" s="28">
        <v>157.13999999999999</v>
      </c>
      <c r="H1023" s="28">
        <v>54.730289999999997</v>
      </c>
      <c r="I1023" s="28">
        <v>53.144309999999997</v>
      </c>
      <c r="J1023" s="29"/>
      <c r="K1023" s="29"/>
      <c r="L1023" s="29"/>
      <c r="M1023" s="29"/>
      <c r="N1023" s="29"/>
      <c r="P1023" s="4">
        <f t="shared" si="65"/>
        <v>7.5435842861896795E-3</v>
      </c>
      <c r="Q1023" s="4">
        <f t="shared" si="65"/>
        <v>-2.0164902115883117E-3</v>
      </c>
      <c r="R1023" s="4">
        <f t="shared" si="65"/>
        <v>-1.1448198159333073E-3</v>
      </c>
      <c r="S1023" s="4">
        <f t="shared" si="65"/>
        <v>4.0988109843770396E-3</v>
      </c>
      <c r="T1023" s="4">
        <f t="shared" si="65"/>
        <v>7.5995102735706196E-3</v>
      </c>
      <c r="U1023" s="35"/>
      <c r="V1023" s="35"/>
      <c r="W1023" s="35"/>
      <c r="X1023" s="35"/>
    </row>
    <row r="1024" spans="4:24" x14ac:dyDescent="0.3">
      <c r="D1024" s="23">
        <v>41066</v>
      </c>
      <c r="E1024" s="5">
        <v>105.757103</v>
      </c>
      <c r="F1024" s="28">
        <v>61.284619999999997</v>
      </c>
      <c r="G1024" s="28">
        <v>157.21</v>
      </c>
      <c r="H1024" s="28">
        <v>55.983930000000001</v>
      </c>
      <c r="I1024" s="28">
        <v>54.383620000000001</v>
      </c>
      <c r="J1024" s="29"/>
      <c r="K1024" s="29"/>
      <c r="L1024" s="29"/>
      <c r="M1024" s="29"/>
      <c r="N1024" s="29"/>
      <c r="P1024" s="4">
        <f t="shared" si="65"/>
        <v>2.2219608566154375E-2</v>
      </c>
      <c r="Q1024" s="4">
        <f t="shared" si="65"/>
        <v>-1.9017676059033452E-3</v>
      </c>
      <c r="R1024" s="4">
        <f t="shared" si="65"/>
        <v>4.453634557470402E-4</v>
      </c>
      <c r="S1024" s="4">
        <f t="shared" si="65"/>
        <v>2.2647381386251587E-2</v>
      </c>
      <c r="T1024" s="4">
        <f t="shared" si="65"/>
        <v>2.3051962026313273E-2</v>
      </c>
      <c r="U1024" s="35"/>
      <c r="V1024" s="35"/>
      <c r="W1024" s="35"/>
      <c r="X1024" s="35"/>
    </row>
    <row r="1025" spans="4:24" x14ac:dyDescent="0.3">
      <c r="D1025" s="23">
        <v>41067</v>
      </c>
      <c r="E1025" s="5">
        <v>105.821236</v>
      </c>
      <c r="F1025" s="28">
        <v>61.306530000000002</v>
      </c>
      <c r="G1025" s="28">
        <v>154.5</v>
      </c>
      <c r="H1025" s="28">
        <v>55.760060000000003</v>
      </c>
      <c r="I1025" s="28">
        <v>54.319229999999997</v>
      </c>
      <c r="J1025" s="29"/>
      <c r="K1025" s="29"/>
      <c r="L1025" s="29"/>
      <c r="M1025" s="29"/>
      <c r="N1025" s="29"/>
      <c r="P1025" s="4">
        <f t="shared" si="65"/>
        <v>6.0623410002447285E-4</v>
      </c>
      <c r="Q1025" s="4">
        <f t="shared" si="65"/>
        <v>3.5744831879448198E-4</v>
      </c>
      <c r="R1025" s="4">
        <f t="shared" si="65"/>
        <v>-1.7388394865622398E-2</v>
      </c>
      <c r="S1025" s="4">
        <f t="shared" si="65"/>
        <v>-4.0068427754438932E-3</v>
      </c>
      <c r="T1025" s="4">
        <f t="shared" si="65"/>
        <v>-1.1846976878894845E-3</v>
      </c>
      <c r="U1025" s="35"/>
      <c r="V1025" s="35"/>
      <c r="W1025" s="35"/>
      <c r="X1025" s="35"/>
    </row>
    <row r="1026" spans="4:24" x14ac:dyDescent="0.3">
      <c r="D1026" s="23">
        <v>41068</v>
      </c>
      <c r="E1026" s="5">
        <v>106.662659</v>
      </c>
      <c r="F1026" s="28">
        <v>61.342970000000001</v>
      </c>
      <c r="G1026" s="28">
        <v>154.72999999999999</v>
      </c>
      <c r="H1026" s="28">
        <v>56.297330000000002</v>
      </c>
      <c r="I1026" s="28">
        <v>54.79401</v>
      </c>
      <c r="J1026" s="29"/>
      <c r="K1026" s="29"/>
      <c r="L1026" s="29"/>
      <c r="M1026" s="29"/>
      <c r="N1026" s="29"/>
      <c r="P1026" s="4">
        <f t="shared" si="65"/>
        <v>7.9199169253693288E-3</v>
      </c>
      <c r="Q1026" s="4">
        <f t="shared" si="65"/>
        <v>5.9421360987552835E-4</v>
      </c>
      <c r="R1026" s="4">
        <f t="shared" si="65"/>
        <v>1.4875661637811016E-3</v>
      </c>
      <c r="S1026" s="4">
        <f t="shared" si="65"/>
        <v>9.5892670176599536E-3</v>
      </c>
      <c r="T1026" s="4">
        <f t="shared" si="65"/>
        <v>8.7025735179895869E-3</v>
      </c>
      <c r="U1026" s="35"/>
      <c r="V1026" s="35"/>
      <c r="W1026" s="35"/>
      <c r="X1026" s="35"/>
    </row>
    <row r="1027" spans="4:24" x14ac:dyDescent="0.3">
      <c r="D1027" s="23">
        <v>41071</v>
      </c>
      <c r="E1027" s="5">
        <v>105.30835</v>
      </c>
      <c r="F1027" s="28">
        <v>61.394030000000001</v>
      </c>
      <c r="G1027" s="28">
        <v>155.36000000000001</v>
      </c>
      <c r="H1027" s="28">
        <v>55.348149999999997</v>
      </c>
      <c r="I1027" s="28">
        <v>54.029519999999998</v>
      </c>
      <c r="J1027" s="29"/>
      <c r="K1027" s="29"/>
      <c r="L1027" s="29"/>
      <c r="M1027" s="29"/>
      <c r="N1027" s="29"/>
      <c r="P1027" s="4">
        <f t="shared" si="65"/>
        <v>-1.2778421302788692E-2</v>
      </c>
      <c r="Q1027" s="4">
        <f t="shared" si="65"/>
        <v>8.320229913649724E-4</v>
      </c>
      <c r="R1027" s="4">
        <f t="shared" si="65"/>
        <v>4.063342041433768E-3</v>
      </c>
      <c r="S1027" s="4">
        <f t="shared" si="65"/>
        <v>-1.7003874581029154E-2</v>
      </c>
      <c r="T1027" s="4">
        <f t="shared" si="65"/>
        <v>-1.4050317547075808E-2</v>
      </c>
      <c r="U1027" s="35"/>
      <c r="V1027" s="35"/>
      <c r="W1027" s="35"/>
      <c r="X1027" s="35"/>
    </row>
    <row r="1028" spans="4:24" x14ac:dyDescent="0.3">
      <c r="D1028" s="23">
        <v>41072</v>
      </c>
      <c r="E1028" s="5">
        <v>106.51842499999999</v>
      </c>
      <c r="F1028" s="28">
        <v>61.299239999999998</v>
      </c>
      <c r="G1028" s="28">
        <v>156.46</v>
      </c>
      <c r="H1028" s="28">
        <v>56.019759999999998</v>
      </c>
      <c r="I1028" s="28">
        <v>54.616979999999998</v>
      </c>
      <c r="J1028" s="29"/>
      <c r="K1028" s="29"/>
      <c r="L1028" s="29"/>
      <c r="M1028" s="29"/>
      <c r="N1028" s="29"/>
      <c r="P1028" s="4">
        <f t="shared" si="65"/>
        <v>1.1425261638695585E-2</v>
      </c>
      <c r="Q1028" s="4">
        <f t="shared" si="65"/>
        <v>-1.545154332577149E-3</v>
      </c>
      <c r="R1028" s="4">
        <f t="shared" si="65"/>
        <v>7.0553817139197596E-3</v>
      </c>
      <c r="S1028" s="4">
        <f t="shared" si="65"/>
        <v>1.2061250710072826E-2</v>
      </c>
      <c r="T1028" s="4">
        <f t="shared" si="65"/>
        <v>1.0814259551636647E-2</v>
      </c>
      <c r="U1028" s="35"/>
      <c r="V1028" s="35"/>
      <c r="W1028" s="35"/>
      <c r="X1028" s="35"/>
    </row>
    <row r="1029" spans="4:24" x14ac:dyDescent="0.3">
      <c r="D1029" s="23">
        <v>41073</v>
      </c>
      <c r="E1029" s="5">
        <v>105.83725</v>
      </c>
      <c r="F1029" s="28">
        <v>61.430430000000001</v>
      </c>
      <c r="G1029" s="28">
        <v>157.12</v>
      </c>
      <c r="H1029" s="28">
        <v>55.634700000000002</v>
      </c>
      <c r="I1029" s="28">
        <v>54.21461</v>
      </c>
      <c r="J1029" s="29"/>
      <c r="K1029" s="29"/>
      <c r="L1029" s="29"/>
      <c r="M1029" s="29"/>
      <c r="N1029" s="29"/>
      <c r="P1029" s="4">
        <f t="shared" ref="P1029:T1044" si="66">LN(E1029/E1028)</f>
        <v>-6.4154380268510872E-3</v>
      </c>
      <c r="Q1029" s="4">
        <f t="shared" si="66"/>
        <v>2.1378701656554742E-3</v>
      </c>
      <c r="R1029" s="4">
        <f t="shared" si="66"/>
        <v>4.2094583492210576E-3</v>
      </c>
      <c r="S1029" s="4">
        <f t="shared" si="66"/>
        <v>-6.8973783324666801E-3</v>
      </c>
      <c r="T1029" s="4">
        <f t="shared" si="66"/>
        <v>-7.394394097630058E-3</v>
      </c>
      <c r="U1029" s="35"/>
      <c r="V1029" s="35"/>
      <c r="W1029" s="35"/>
      <c r="X1029" s="35"/>
    </row>
    <row r="1030" spans="4:24" x14ac:dyDescent="0.3">
      <c r="D1030" s="23">
        <v>41074</v>
      </c>
      <c r="E1030" s="5">
        <v>106.959175</v>
      </c>
      <c r="F1030" s="28">
        <v>61.394030000000001</v>
      </c>
      <c r="G1030" s="28">
        <v>157.75</v>
      </c>
      <c r="H1030" s="28">
        <v>55.84066</v>
      </c>
      <c r="I1030" s="28">
        <v>54.777909999999999</v>
      </c>
      <c r="J1030" s="29"/>
      <c r="K1030" s="29"/>
      <c r="L1030" s="29"/>
      <c r="M1030" s="29"/>
      <c r="N1030" s="29"/>
      <c r="P1030" s="4">
        <f t="shared" si="66"/>
        <v>1.0544682746263715E-2</v>
      </c>
      <c r="Q1030" s="4">
        <f t="shared" si="66"/>
        <v>-5.9271583307831191E-4</v>
      </c>
      <c r="R1030" s="4">
        <f t="shared" si="66"/>
        <v>4.0016568151667788E-3</v>
      </c>
      <c r="S1030" s="4">
        <f t="shared" si="66"/>
        <v>3.6951705624094916E-3</v>
      </c>
      <c r="T1030" s="4">
        <f t="shared" si="66"/>
        <v>1.0336581179501833E-2</v>
      </c>
      <c r="U1030" s="35"/>
      <c r="V1030" s="35"/>
      <c r="W1030" s="35"/>
      <c r="X1030" s="35"/>
    </row>
    <row r="1031" spans="4:24" x14ac:dyDescent="0.3">
      <c r="D1031" s="23">
        <v>41075</v>
      </c>
      <c r="E1031" s="5">
        <v>108.053078</v>
      </c>
      <c r="F1031" s="28">
        <v>61.53248</v>
      </c>
      <c r="G1031" s="28">
        <v>157.84</v>
      </c>
      <c r="H1031" s="28">
        <v>56.53443</v>
      </c>
      <c r="I1031" s="28">
        <v>55.341239999999999</v>
      </c>
      <c r="J1031" s="29"/>
      <c r="K1031" s="29"/>
      <c r="L1031" s="29"/>
      <c r="M1031" s="29"/>
      <c r="N1031" s="29"/>
      <c r="P1031" s="4">
        <f t="shared" si="66"/>
        <v>1.0175349758673053E-2</v>
      </c>
      <c r="Q1031" s="4">
        <f t="shared" si="66"/>
        <v>2.2525663266924111E-3</v>
      </c>
      <c r="R1031" s="4">
        <f t="shared" si="66"/>
        <v>5.7036029303733388E-4</v>
      </c>
      <c r="S1031" s="4">
        <f t="shared" si="66"/>
        <v>1.2347555217940492E-2</v>
      </c>
      <c r="T1031" s="4">
        <f t="shared" si="66"/>
        <v>1.0231370550010227E-2</v>
      </c>
      <c r="U1031" s="35"/>
      <c r="V1031" s="35"/>
      <c r="W1031" s="35"/>
      <c r="X1031" s="35"/>
    </row>
    <row r="1032" spans="4:24" x14ac:dyDescent="0.3">
      <c r="D1032" s="23">
        <v>41078</v>
      </c>
      <c r="E1032" s="5">
        <v>108.262497</v>
      </c>
      <c r="F1032" s="28">
        <v>61.539769999999997</v>
      </c>
      <c r="G1032" s="28">
        <v>157.93</v>
      </c>
      <c r="H1032" s="28">
        <v>57.063969999999998</v>
      </c>
      <c r="I1032" s="28">
        <v>55.502180000000003</v>
      </c>
      <c r="J1032" s="29"/>
      <c r="K1032" s="29"/>
      <c r="L1032" s="29"/>
      <c r="M1032" s="29"/>
      <c r="N1032" s="29"/>
      <c r="P1032" s="4">
        <f t="shared" si="66"/>
        <v>1.9362365879219752E-3</v>
      </c>
      <c r="Q1032" s="4">
        <f t="shared" si="66"/>
        <v>1.1846699818239007E-4</v>
      </c>
      <c r="R1032" s="4">
        <f t="shared" si="66"/>
        <v>5.7003516760329765E-4</v>
      </c>
      <c r="S1032" s="4">
        <f t="shared" si="66"/>
        <v>9.3230861636490643E-3</v>
      </c>
      <c r="T1032" s="4">
        <f t="shared" si="66"/>
        <v>2.9039182135862695E-3</v>
      </c>
      <c r="U1032" s="35"/>
      <c r="V1032" s="35"/>
      <c r="W1032" s="35"/>
      <c r="X1032" s="35"/>
    </row>
    <row r="1033" spans="4:24" x14ac:dyDescent="0.3">
      <c r="D1033" s="23">
        <v>41079</v>
      </c>
      <c r="E1033" s="5">
        <v>109.309692</v>
      </c>
      <c r="F1033" s="28">
        <v>61.459560000000003</v>
      </c>
      <c r="G1033" s="28">
        <v>157.16</v>
      </c>
      <c r="H1033" s="28">
        <v>57.656320000000001</v>
      </c>
      <c r="I1033" s="28">
        <v>56.08963</v>
      </c>
      <c r="J1033" s="29"/>
      <c r="K1033" s="29"/>
      <c r="L1033" s="29"/>
      <c r="M1033" s="29"/>
      <c r="N1033" s="29"/>
      <c r="P1033" s="4">
        <f t="shared" si="66"/>
        <v>9.6262586805339473E-3</v>
      </c>
      <c r="Q1033" s="4">
        <f t="shared" si="66"/>
        <v>-1.3042349315228049E-3</v>
      </c>
      <c r="R1033" s="4">
        <f t="shared" si="66"/>
        <v>-4.8875021917042681E-3</v>
      </c>
      <c r="S1033" s="4">
        <f t="shared" si="66"/>
        <v>1.0326948516207272E-2</v>
      </c>
      <c r="T1033" s="4">
        <f t="shared" si="66"/>
        <v>1.0528647696957827E-2</v>
      </c>
      <c r="U1033" s="35"/>
      <c r="V1033" s="35"/>
      <c r="W1033" s="35"/>
      <c r="X1033" s="35"/>
    </row>
    <row r="1034" spans="4:24" x14ac:dyDescent="0.3">
      <c r="D1034" s="23">
        <v>41080</v>
      </c>
      <c r="E1034" s="5">
        <v>109.13249999999999</v>
      </c>
      <c r="F1034" s="28">
        <v>61.342970000000001</v>
      </c>
      <c r="G1034" s="28">
        <v>155.97</v>
      </c>
      <c r="H1034" s="28">
        <v>57.7012</v>
      </c>
      <c r="I1034" s="28">
        <v>55.985019999999999</v>
      </c>
      <c r="J1034" s="29"/>
      <c r="K1034" s="29"/>
      <c r="L1034" s="29"/>
      <c r="M1034" s="29"/>
      <c r="N1034" s="29"/>
      <c r="P1034" s="4">
        <f t="shared" si="66"/>
        <v>-1.6223243068644775E-3</v>
      </c>
      <c r="Q1034" s="4">
        <f t="shared" si="66"/>
        <v>-1.8988213847167354E-3</v>
      </c>
      <c r="R1034" s="4">
        <f t="shared" si="66"/>
        <v>-7.6007136265249364E-3</v>
      </c>
      <c r="S1034" s="4">
        <f t="shared" si="66"/>
        <v>7.7810275852603725E-4</v>
      </c>
      <c r="T1034" s="4">
        <f t="shared" si="66"/>
        <v>-1.8667920065728605E-3</v>
      </c>
      <c r="U1034" s="35"/>
      <c r="V1034" s="35"/>
      <c r="W1034" s="35"/>
      <c r="X1034" s="35"/>
    </row>
    <row r="1035" spans="4:24" x14ac:dyDescent="0.3">
      <c r="D1035" s="23">
        <v>41081</v>
      </c>
      <c r="E1035" s="5">
        <v>106.68367000000001</v>
      </c>
      <c r="F1035" s="28">
        <v>61.445010000000003</v>
      </c>
      <c r="G1035" s="28">
        <v>152.02000000000001</v>
      </c>
      <c r="H1035" s="28">
        <v>56.265169999999998</v>
      </c>
      <c r="I1035" s="28">
        <v>54.721589999999999</v>
      </c>
      <c r="J1035" s="29"/>
      <c r="K1035" s="29"/>
      <c r="L1035" s="29"/>
      <c r="M1035" s="29"/>
      <c r="N1035" s="29"/>
      <c r="P1035" s="4">
        <f t="shared" si="66"/>
        <v>-2.2694639648569936E-2</v>
      </c>
      <c r="Q1035" s="4">
        <f t="shared" si="66"/>
        <v>1.6620523196123973E-3</v>
      </c>
      <c r="R1035" s="4">
        <f t="shared" si="66"/>
        <v>-2.5651589925839623E-2</v>
      </c>
      <c r="S1035" s="4">
        <f t="shared" si="66"/>
        <v>-2.5202276910923978E-2</v>
      </c>
      <c r="T1035" s="4">
        <f t="shared" si="66"/>
        <v>-2.2825825040950567E-2</v>
      </c>
      <c r="U1035" s="35"/>
      <c r="V1035" s="35"/>
      <c r="W1035" s="35"/>
      <c r="X1035" s="35"/>
    </row>
    <row r="1036" spans="4:24" x14ac:dyDescent="0.3">
      <c r="D1036" s="23">
        <v>41082</v>
      </c>
      <c r="E1036" s="5">
        <v>107.50530999999999</v>
      </c>
      <c r="F1036" s="28">
        <v>61.321100000000001</v>
      </c>
      <c r="G1036" s="28">
        <v>152.63999999999999</v>
      </c>
      <c r="H1036" s="28">
        <v>56.857550000000003</v>
      </c>
      <c r="I1036" s="28">
        <v>55.164200000000001</v>
      </c>
      <c r="J1036" s="29"/>
      <c r="K1036" s="29"/>
      <c r="L1036" s="29"/>
      <c r="M1036" s="29"/>
      <c r="N1036" s="29"/>
      <c r="P1036" s="4">
        <f t="shared" si="66"/>
        <v>7.6721410248081906E-3</v>
      </c>
      <c r="Q1036" s="4">
        <f t="shared" si="66"/>
        <v>-2.0186359586802311E-3</v>
      </c>
      <c r="R1036" s="4">
        <f t="shared" si="66"/>
        <v>4.0701165620819378E-3</v>
      </c>
      <c r="S1036" s="4">
        <f t="shared" si="66"/>
        <v>1.0473323393599189E-2</v>
      </c>
      <c r="T1036" s="4">
        <f t="shared" si="66"/>
        <v>8.0558622487239776E-3</v>
      </c>
      <c r="U1036" s="35"/>
      <c r="V1036" s="35"/>
      <c r="W1036" s="35"/>
      <c r="X1036" s="35"/>
    </row>
    <row r="1037" spans="4:24" x14ac:dyDescent="0.3">
      <c r="D1037" s="23">
        <v>41085</v>
      </c>
      <c r="E1037" s="5">
        <v>105.781509</v>
      </c>
      <c r="F1037" s="28">
        <v>61.481439999999999</v>
      </c>
      <c r="G1037" s="28">
        <v>153.76</v>
      </c>
      <c r="H1037" s="28">
        <v>55.762569999999997</v>
      </c>
      <c r="I1037" s="28">
        <v>54.263179999999998</v>
      </c>
      <c r="J1037" s="29"/>
      <c r="K1037" s="29"/>
      <c r="L1037" s="29"/>
      <c r="M1037" s="29"/>
      <c r="N1037" s="29"/>
      <c r="P1037" s="4">
        <f t="shared" si="66"/>
        <v>-1.6164510703953291E-2</v>
      </c>
      <c r="Q1037" s="4">
        <f t="shared" si="66"/>
        <v>2.6113481221976226E-3</v>
      </c>
      <c r="R1037" s="4">
        <f t="shared" si="66"/>
        <v>7.3107375220059275E-3</v>
      </c>
      <c r="S1037" s="4">
        <f t="shared" si="66"/>
        <v>-1.9446161229992577E-2</v>
      </c>
      <c r="T1037" s="4">
        <f t="shared" si="66"/>
        <v>-1.6468279936495342E-2</v>
      </c>
      <c r="U1037" s="35"/>
      <c r="V1037" s="35"/>
      <c r="W1037" s="35"/>
      <c r="X1037" s="35"/>
    </row>
    <row r="1038" spans="4:24" x14ac:dyDescent="0.3">
      <c r="D1038" s="23">
        <v>41086</v>
      </c>
      <c r="E1038" s="5">
        <v>106.313126</v>
      </c>
      <c r="F1038" s="28">
        <v>61.415840000000003</v>
      </c>
      <c r="G1038" s="28">
        <v>152.62</v>
      </c>
      <c r="H1038" s="28">
        <v>56.1126</v>
      </c>
      <c r="I1038" s="28">
        <v>54.521999999999998</v>
      </c>
      <c r="J1038" s="29"/>
      <c r="K1038" s="29"/>
      <c r="L1038" s="29"/>
      <c r="M1038" s="29"/>
      <c r="N1038" s="29"/>
      <c r="P1038" s="4">
        <f t="shared" si="66"/>
        <v>5.0130274470526941E-3</v>
      </c>
      <c r="Q1038" s="4">
        <f t="shared" si="66"/>
        <v>-1.0675583093499486E-3</v>
      </c>
      <c r="R1038" s="4">
        <f t="shared" si="66"/>
        <v>-7.4417733604951854E-3</v>
      </c>
      <c r="S1038" s="4">
        <f t="shared" si="66"/>
        <v>6.2575304630545208E-3</v>
      </c>
      <c r="T1038" s="4">
        <f t="shared" si="66"/>
        <v>4.7583777193443873E-3</v>
      </c>
      <c r="U1038" s="35"/>
      <c r="V1038" s="35"/>
      <c r="W1038" s="35"/>
      <c r="X1038" s="35"/>
    </row>
    <row r="1039" spans="4:24" x14ac:dyDescent="0.3">
      <c r="D1039" s="23">
        <v>41087</v>
      </c>
      <c r="E1039" s="5">
        <v>107.271698</v>
      </c>
      <c r="F1039" s="28">
        <v>61.481439999999999</v>
      </c>
      <c r="G1039" s="28">
        <v>152.83000000000001</v>
      </c>
      <c r="H1039" s="28">
        <v>56.45364</v>
      </c>
      <c r="I1039" s="28">
        <v>55.047739999999997</v>
      </c>
      <c r="J1039" s="29"/>
      <c r="K1039" s="29"/>
      <c r="L1039" s="29"/>
      <c r="M1039" s="29"/>
      <c r="N1039" s="29"/>
      <c r="P1039" s="4">
        <f t="shared" si="66"/>
        <v>8.9760912603101782E-3</v>
      </c>
      <c r="Q1039" s="4">
        <f t="shared" si="66"/>
        <v>1.0675583093499828E-3</v>
      </c>
      <c r="R1039" s="4">
        <f t="shared" si="66"/>
        <v>1.3750206782578052E-3</v>
      </c>
      <c r="S1039" s="4">
        <f t="shared" si="66"/>
        <v>6.0593841185766512E-3</v>
      </c>
      <c r="T1039" s="4">
        <f t="shared" si="66"/>
        <v>9.5965187970548892E-3</v>
      </c>
      <c r="U1039" s="35"/>
      <c r="V1039" s="35"/>
      <c r="W1039" s="35"/>
      <c r="X1039" s="35"/>
    </row>
    <row r="1040" spans="4:24" x14ac:dyDescent="0.3">
      <c r="D1040" s="23">
        <v>41088</v>
      </c>
      <c r="E1040" s="5">
        <v>106.965614</v>
      </c>
      <c r="F1040" s="28">
        <v>61.547049999999999</v>
      </c>
      <c r="G1040" s="28">
        <v>151.05000000000001</v>
      </c>
      <c r="H1040" s="28">
        <v>55.825389999999999</v>
      </c>
      <c r="I1040" s="28">
        <v>54.934489999999997</v>
      </c>
      <c r="J1040" s="29"/>
      <c r="K1040" s="29"/>
      <c r="L1040" s="29"/>
      <c r="M1040" s="29"/>
      <c r="N1040" s="29"/>
      <c r="P1040" s="4">
        <f t="shared" si="66"/>
        <v>-2.8574313727613323E-3</v>
      </c>
      <c r="Q1040" s="4">
        <f t="shared" si="66"/>
        <v>1.066582321213894E-3</v>
      </c>
      <c r="R1040" s="4">
        <f t="shared" si="66"/>
        <v>-1.1715284707064001E-2</v>
      </c>
      <c r="S1040" s="4">
        <f t="shared" si="66"/>
        <v>-1.1190986539995083E-2</v>
      </c>
      <c r="T1040" s="4">
        <f t="shared" si="66"/>
        <v>-2.0594243274862042E-3</v>
      </c>
      <c r="U1040" s="35"/>
      <c r="V1040" s="35"/>
      <c r="W1040" s="35"/>
      <c r="X1040" s="35"/>
    </row>
    <row r="1041" spans="4:24" x14ac:dyDescent="0.3">
      <c r="D1041" s="23">
        <v>41089</v>
      </c>
      <c r="E1041" s="5">
        <v>109.631905</v>
      </c>
      <c r="F1041" s="28">
        <v>61.503340000000001</v>
      </c>
      <c r="G1041" s="28">
        <v>155.19</v>
      </c>
      <c r="H1041" s="28">
        <v>57.584519999999998</v>
      </c>
      <c r="I1041" s="28">
        <v>56.374180000000003</v>
      </c>
      <c r="J1041" s="29"/>
      <c r="K1041" s="29"/>
      <c r="L1041" s="29"/>
      <c r="M1041" s="29"/>
      <c r="N1041" s="29"/>
      <c r="P1041" s="4">
        <f t="shared" si="66"/>
        <v>2.4621017838668418E-2</v>
      </c>
      <c r="Q1041" s="4">
        <f t="shared" si="66"/>
        <v>-7.1044068756647588E-4</v>
      </c>
      <c r="R1041" s="4">
        <f t="shared" si="66"/>
        <v>2.7039264850852417E-2</v>
      </c>
      <c r="S1041" s="4">
        <f t="shared" si="66"/>
        <v>3.1024997762942971E-2</v>
      </c>
      <c r="T1041" s="4">
        <f t="shared" si="66"/>
        <v>2.5869867851677365E-2</v>
      </c>
      <c r="U1041" s="35"/>
      <c r="V1041" s="35"/>
      <c r="W1041" s="35"/>
      <c r="X1041" s="35"/>
    </row>
    <row r="1042" spans="4:24" x14ac:dyDescent="0.3">
      <c r="D1042" s="23">
        <v>41092</v>
      </c>
      <c r="E1042" s="5">
        <v>109.962181</v>
      </c>
      <c r="F1042" s="28">
        <v>61.63261</v>
      </c>
      <c r="G1042" s="28">
        <v>155.09</v>
      </c>
      <c r="H1042" s="28">
        <v>57.755040000000001</v>
      </c>
      <c r="I1042" s="28">
        <v>56.527839999999998</v>
      </c>
      <c r="J1042" s="29"/>
      <c r="K1042" s="29"/>
      <c r="L1042" s="29"/>
      <c r="M1042" s="29"/>
      <c r="N1042" s="29"/>
      <c r="P1042" s="4">
        <f t="shared" si="66"/>
        <v>3.0080614196503074E-3</v>
      </c>
      <c r="Q1042" s="4">
        <f t="shared" si="66"/>
        <v>2.0996313016634974E-3</v>
      </c>
      <c r="R1042" s="4">
        <f t="shared" si="66"/>
        <v>-6.4457911217188544E-4</v>
      </c>
      <c r="S1042" s="4">
        <f t="shared" si="66"/>
        <v>2.9568367390400189E-3</v>
      </c>
      <c r="T1042" s="4">
        <f t="shared" si="66"/>
        <v>2.7220078945694118E-3</v>
      </c>
      <c r="U1042" s="35"/>
      <c r="V1042" s="35"/>
      <c r="W1042" s="35"/>
      <c r="X1042" s="35"/>
    </row>
    <row r="1043" spans="4:24" x14ac:dyDescent="0.3">
      <c r="D1043" s="23">
        <v>41093</v>
      </c>
      <c r="E1043" s="5">
        <v>110.687157</v>
      </c>
      <c r="F1043" s="28">
        <v>61.544969999999999</v>
      </c>
      <c r="G1043" s="28">
        <v>157.46</v>
      </c>
      <c r="H1043" s="28">
        <v>58.239710000000002</v>
      </c>
      <c r="I1043" s="28">
        <v>56.988880000000002</v>
      </c>
      <c r="J1043" s="29"/>
      <c r="K1043" s="29"/>
      <c r="L1043" s="29"/>
      <c r="M1043" s="29"/>
      <c r="N1043" s="29"/>
      <c r="P1043" s="4">
        <f t="shared" si="66"/>
        <v>6.5713191384102277E-3</v>
      </c>
      <c r="Q1043" s="4">
        <f t="shared" si="66"/>
        <v>-1.422986468616274E-3</v>
      </c>
      <c r="R1043" s="4">
        <f t="shared" si="66"/>
        <v>1.5165864184959674E-2</v>
      </c>
      <c r="S1043" s="4">
        <f t="shared" si="66"/>
        <v>8.3568061592961228E-3</v>
      </c>
      <c r="T1043" s="4">
        <f t="shared" si="66"/>
        <v>8.1229009260873012E-3</v>
      </c>
      <c r="U1043" s="35"/>
      <c r="V1043" s="35"/>
      <c r="W1043" s="35"/>
      <c r="X1043" s="35"/>
    </row>
    <row r="1044" spans="4:24" x14ac:dyDescent="0.3">
      <c r="D1044" s="23">
        <v>41095</v>
      </c>
      <c r="E1044" s="5">
        <v>110.187737</v>
      </c>
      <c r="F1044" s="28">
        <v>61.720329999999997</v>
      </c>
      <c r="G1044" s="28">
        <v>155.68</v>
      </c>
      <c r="H1044" s="28">
        <v>58.27561</v>
      </c>
      <c r="I1044" s="28">
        <v>56.75432</v>
      </c>
      <c r="J1044" s="29"/>
      <c r="K1044" s="29"/>
      <c r="L1044" s="29"/>
      <c r="M1044" s="29"/>
      <c r="N1044" s="29"/>
      <c r="P1044" s="4">
        <f t="shared" si="66"/>
        <v>-4.5222056890626373E-3</v>
      </c>
      <c r="Q1044" s="4">
        <f t="shared" si="66"/>
        <v>2.8452470938895263E-3</v>
      </c>
      <c r="R1044" s="4">
        <f t="shared" si="66"/>
        <v>-1.136883931862622E-2</v>
      </c>
      <c r="S1044" s="4">
        <f t="shared" si="66"/>
        <v>6.1622799707440254E-4</v>
      </c>
      <c r="T1044" s="4">
        <f t="shared" si="66"/>
        <v>-4.1243842708728598E-3</v>
      </c>
      <c r="U1044" s="35"/>
      <c r="V1044" s="35"/>
      <c r="W1044" s="35"/>
      <c r="X1044" s="35"/>
    </row>
    <row r="1045" spans="4:24" x14ac:dyDescent="0.3">
      <c r="D1045" s="23">
        <v>41096</v>
      </c>
      <c r="E1045" s="5">
        <v>109.14054899999999</v>
      </c>
      <c r="F1045" s="28">
        <v>61.778730000000003</v>
      </c>
      <c r="G1045" s="28">
        <v>153.71</v>
      </c>
      <c r="H1045" s="28">
        <v>57.54862</v>
      </c>
      <c r="I1045" s="28">
        <v>56.220509999999997</v>
      </c>
      <c r="J1045" s="29"/>
      <c r="K1045" s="29"/>
      <c r="L1045" s="29"/>
      <c r="M1045" s="29"/>
      <c r="N1045" s="29"/>
      <c r="P1045" s="4">
        <f t="shared" ref="P1045:T1060" si="67">LN(E1045/E1044)</f>
        <v>-9.5491190531311488E-3</v>
      </c>
      <c r="Q1045" s="4">
        <f t="shared" si="67"/>
        <v>9.4575625681714E-4</v>
      </c>
      <c r="R1045" s="4">
        <f t="shared" si="67"/>
        <v>-1.2734908200854159E-2</v>
      </c>
      <c r="S1045" s="4">
        <f t="shared" si="67"/>
        <v>-1.2553496745682544E-2</v>
      </c>
      <c r="T1045" s="4">
        <f t="shared" si="67"/>
        <v>-9.4501398702521375E-3</v>
      </c>
      <c r="U1045" s="35"/>
      <c r="V1045" s="35"/>
      <c r="W1045" s="35"/>
      <c r="X1045" s="35"/>
    </row>
    <row r="1046" spans="4:24" x14ac:dyDescent="0.3">
      <c r="D1046" s="23">
        <v>41099</v>
      </c>
      <c r="E1046" s="5">
        <v>109.003593</v>
      </c>
      <c r="F1046" s="28">
        <v>61.895589999999999</v>
      </c>
      <c r="G1046" s="28">
        <v>154.04</v>
      </c>
      <c r="H1046" s="28">
        <v>57.440919999999998</v>
      </c>
      <c r="I1046" s="28">
        <v>56.082990000000002</v>
      </c>
      <c r="J1046" s="29"/>
      <c r="K1046" s="29"/>
      <c r="L1046" s="29"/>
      <c r="M1046" s="29"/>
      <c r="N1046" s="29"/>
      <c r="P1046" s="4">
        <f t="shared" si="67"/>
        <v>-1.2556469932096753E-3</v>
      </c>
      <c r="Q1046" s="4">
        <f t="shared" si="67"/>
        <v>1.8898027461001551E-3</v>
      </c>
      <c r="R1046" s="4">
        <f t="shared" si="67"/>
        <v>2.14459870986735E-3</v>
      </c>
      <c r="S1046" s="4">
        <f t="shared" si="67"/>
        <v>-1.8732144070263035E-3</v>
      </c>
      <c r="T1046" s="4">
        <f t="shared" si="67"/>
        <v>-2.4490789465497812E-3</v>
      </c>
      <c r="U1046" s="35"/>
      <c r="V1046" s="35"/>
      <c r="W1046" s="35"/>
      <c r="X1046" s="35"/>
    </row>
    <row r="1047" spans="4:24" x14ac:dyDescent="0.3">
      <c r="D1047" s="23">
        <v>41100</v>
      </c>
      <c r="E1047" s="5">
        <v>108.053078</v>
      </c>
      <c r="F1047" s="28">
        <v>61.954039999999999</v>
      </c>
      <c r="G1047" s="28">
        <v>152.15</v>
      </c>
      <c r="H1047" s="28">
        <v>56.875500000000002</v>
      </c>
      <c r="I1047" s="28">
        <v>55.581530000000001</v>
      </c>
      <c r="J1047" s="29"/>
      <c r="K1047" s="29"/>
      <c r="L1047" s="29"/>
      <c r="M1047" s="29"/>
      <c r="N1047" s="29"/>
      <c r="P1047" s="4">
        <f t="shared" si="67"/>
        <v>-8.7582756298035316E-3</v>
      </c>
      <c r="Q1047" s="4">
        <f t="shared" si="67"/>
        <v>9.4388662024320609E-4</v>
      </c>
      <c r="R1047" s="4">
        <f t="shared" si="67"/>
        <v>-1.2345432603727953E-2</v>
      </c>
      <c r="S1047" s="4">
        <f t="shared" si="67"/>
        <v>-9.8922728835312192E-3</v>
      </c>
      <c r="T1047" s="4">
        <f t="shared" si="67"/>
        <v>-8.9816061722909329E-3</v>
      </c>
      <c r="U1047" s="35"/>
      <c r="V1047" s="35"/>
      <c r="W1047" s="35"/>
      <c r="X1047" s="35"/>
    </row>
    <row r="1048" spans="4:24" x14ac:dyDescent="0.3">
      <c r="D1048" s="23">
        <v>41101</v>
      </c>
      <c r="E1048" s="5">
        <v>108.069244</v>
      </c>
      <c r="F1048" s="28">
        <v>61.866390000000003</v>
      </c>
      <c r="G1048" s="28">
        <v>152.99</v>
      </c>
      <c r="H1048" s="28">
        <v>56.561369999999997</v>
      </c>
      <c r="I1048" s="28">
        <v>55.5411</v>
      </c>
      <c r="J1048" s="29"/>
      <c r="K1048" s="29"/>
      <c r="L1048" s="29"/>
      <c r="M1048" s="29"/>
      <c r="N1048" s="29"/>
      <c r="P1048" s="4">
        <f t="shared" si="67"/>
        <v>1.4960046588936873E-4</v>
      </c>
      <c r="Q1048" s="4">
        <f t="shared" si="67"/>
        <v>-1.4157601397491656E-3</v>
      </c>
      <c r="R1048" s="4">
        <f t="shared" si="67"/>
        <v>5.5056834363074406E-3</v>
      </c>
      <c r="S1048" s="4">
        <f t="shared" si="67"/>
        <v>-5.5384250812318845E-3</v>
      </c>
      <c r="T1048" s="4">
        <f t="shared" si="67"/>
        <v>-7.2766459512272773E-4</v>
      </c>
      <c r="U1048" s="35"/>
      <c r="V1048" s="35"/>
      <c r="W1048" s="35"/>
      <c r="X1048" s="35"/>
    </row>
    <row r="1049" spans="4:24" x14ac:dyDescent="0.3">
      <c r="D1049" s="23">
        <v>41102</v>
      </c>
      <c r="E1049" s="5">
        <v>107.545593</v>
      </c>
      <c r="F1049" s="28">
        <v>61.983260000000001</v>
      </c>
      <c r="G1049" s="28">
        <v>152.59</v>
      </c>
      <c r="H1049" s="28">
        <v>56.031820000000003</v>
      </c>
      <c r="I1049" s="28">
        <v>55.322719999999997</v>
      </c>
      <c r="J1049" s="29"/>
      <c r="K1049" s="29"/>
      <c r="L1049" s="29"/>
      <c r="M1049" s="29"/>
      <c r="N1049" s="29"/>
      <c r="P1049" s="4">
        <f t="shared" si="67"/>
        <v>-4.8572912406137907E-3</v>
      </c>
      <c r="Q1049" s="4">
        <f t="shared" si="67"/>
        <v>1.8872888972966762E-3</v>
      </c>
      <c r="R1049" s="4">
        <f t="shared" si="67"/>
        <v>-2.6179738756433382E-3</v>
      </c>
      <c r="S1049" s="4">
        <f t="shared" si="67"/>
        <v>-9.4064997117785498E-3</v>
      </c>
      <c r="T1049" s="4">
        <f t="shared" si="67"/>
        <v>-3.9396131659202816E-3</v>
      </c>
      <c r="U1049" s="35"/>
      <c r="V1049" s="35"/>
      <c r="W1049" s="35"/>
      <c r="X1049" s="35"/>
    </row>
    <row r="1050" spans="4:24" x14ac:dyDescent="0.3">
      <c r="D1050" s="23">
        <v>41103</v>
      </c>
      <c r="E1050" s="5">
        <v>109.349968</v>
      </c>
      <c r="F1050" s="28">
        <v>61.990580000000001</v>
      </c>
      <c r="G1050" s="28">
        <v>154.13999999999999</v>
      </c>
      <c r="H1050" s="28">
        <v>56.884459999999997</v>
      </c>
      <c r="I1050" s="28">
        <v>56.18815</v>
      </c>
      <c r="J1050" s="29"/>
      <c r="K1050" s="29"/>
      <c r="L1050" s="29"/>
      <c r="M1050" s="29"/>
      <c r="N1050" s="29"/>
      <c r="P1050" s="4">
        <f t="shared" si="67"/>
        <v>1.6638575900326504E-2</v>
      </c>
      <c r="Q1050" s="4">
        <f t="shared" si="67"/>
        <v>1.1808942932652331E-4</v>
      </c>
      <c r="R1050" s="4">
        <f t="shared" si="67"/>
        <v>1.0106694446202815E-2</v>
      </c>
      <c r="S1050" s="4">
        <f t="shared" si="67"/>
        <v>1.5102449461945259E-2</v>
      </c>
      <c r="T1050" s="4">
        <f t="shared" si="67"/>
        <v>1.5522206512110431E-2</v>
      </c>
      <c r="U1050" s="35"/>
      <c r="V1050" s="35"/>
      <c r="W1050" s="35"/>
      <c r="X1050" s="35"/>
    </row>
    <row r="1051" spans="4:24" x14ac:dyDescent="0.3">
      <c r="D1051" s="23">
        <v>41106</v>
      </c>
      <c r="E1051" s="5">
        <v>109.09215500000001</v>
      </c>
      <c r="F1051" s="28">
        <v>62.027140000000003</v>
      </c>
      <c r="G1051" s="28">
        <v>154.21</v>
      </c>
      <c r="H1051" s="28">
        <v>56.722900000000003</v>
      </c>
      <c r="I1051" s="28">
        <v>56.05068</v>
      </c>
      <c r="J1051" s="29"/>
      <c r="K1051" s="29"/>
      <c r="L1051" s="29"/>
      <c r="M1051" s="29"/>
      <c r="N1051" s="29"/>
      <c r="P1051" s="4">
        <f t="shared" si="67"/>
        <v>-2.3604707385793951E-3</v>
      </c>
      <c r="Q1051" s="4">
        <f t="shared" si="67"/>
        <v>5.8959318166937086E-4</v>
      </c>
      <c r="R1051" s="4">
        <f t="shared" si="67"/>
        <v>4.5402951971802426E-4</v>
      </c>
      <c r="S1051" s="4">
        <f t="shared" si="67"/>
        <v>-2.8441838435472057E-3</v>
      </c>
      <c r="T1051" s="4">
        <f t="shared" si="67"/>
        <v>-2.4495991047149995E-3</v>
      </c>
      <c r="U1051" s="35"/>
      <c r="V1051" s="35"/>
      <c r="W1051" s="35"/>
      <c r="X1051" s="35"/>
    </row>
    <row r="1052" spans="4:24" x14ac:dyDescent="0.3">
      <c r="D1052" s="23">
        <v>41107</v>
      </c>
      <c r="E1052" s="5">
        <v>109.84137699999999</v>
      </c>
      <c r="F1052" s="28">
        <v>62.00517</v>
      </c>
      <c r="G1052" s="28">
        <v>153.47</v>
      </c>
      <c r="H1052" s="28">
        <v>57.019089999999998</v>
      </c>
      <c r="I1052" s="28">
        <v>56.422699999999999</v>
      </c>
      <c r="J1052" s="29"/>
      <c r="K1052" s="29"/>
      <c r="L1052" s="29"/>
      <c r="M1052" s="29"/>
      <c r="N1052" s="29"/>
      <c r="P1052" s="4">
        <f t="shared" si="67"/>
        <v>6.8443140519039809E-3</v>
      </c>
      <c r="Q1052" s="4">
        <f t="shared" si="67"/>
        <v>-3.5426253416990936E-4</v>
      </c>
      <c r="R1052" s="4">
        <f t="shared" si="67"/>
        <v>-4.8102016825615473E-3</v>
      </c>
      <c r="S1052" s="4">
        <f t="shared" si="67"/>
        <v>5.2081147780017037E-3</v>
      </c>
      <c r="T1052" s="4">
        <f t="shared" si="67"/>
        <v>6.6152783297003734E-3</v>
      </c>
      <c r="U1052" s="35"/>
      <c r="V1052" s="35"/>
      <c r="W1052" s="35"/>
      <c r="X1052" s="35"/>
    </row>
    <row r="1053" spans="4:24" x14ac:dyDescent="0.3">
      <c r="D1053" s="23">
        <v>41108</v>
      </c>
      <c r="E1053" s="5">
        <v>110.6549</v>
      </c>
      <c r="F1053" s="28">
        <v>62.107460000000003</v>
      </c>
      <c r="G1053" s="28">
        <v>153.05000000000001</v>
      </c>
      <c r="H1053" s="28">
        <v>57.790950000000002</v>
      </c>
      <c r="I1053" s="28">
        <v>56.827129999999997</v>
      </c>
      <c r="J1053" s="29"/>
      <c r="K1053" s="29"/>
      <c r="L1053" s="29"/>
      <c r="M1053" s="29"/>
      <c r="N1053" s="29"/>
      <c r="P1053" s="4">
        <f t="shared" si="67"/>
        <v>7.3790514964972471E-3</v>
      </c>
      <c r="Q1053" s="4">
        <f t="shared" si="67"/>
        <v>1.6483418836653965E-3</v>
      </c>
      <c r="R1053" s="4">
        <f t="shared" si="67"/>
        <v>-2.7404427955819736E-3</v>
      </c>
      <c r="S1053" s="4">
        <f t="shared" si="67"/>
        <v>1.3446064980165109E-2</v>
      </c>
      <c r="T1053" s="4">
        <f t="shared" si="67"/>
        <v>7.1422927388431687E-3</v>
      </c>
      <c r="U1053" s="35"/>
      <c r="V1053" s="35"/>
      <c r="W1053" s="35"/>
      <c r="X1053" s="35"/>
    </row>
    <row r="1054" spans="4:24" x14ac:dyDescent="0.3">
      <c r="D1054" s="23">
        <v>41109</v>
      </c>
      <c r="E1054" s="5">
        <v>110.944908</v>
      </c>
      <c r="F1054" s="28">
        <v>62.092849999999999</v>
      </c>
      <c r="G1054" s="28">
        <v>153.38</v>
      </c>
      <c r="H1054" s="28">
        <v>58.428190000000001</v>
      </c>
      <c r="I1054" s="28">
        <v>56.92418</v>
      </c>
      <c r="J1054" s="29"/>
      <c r="K1054" s="29"/>
      <c r="L1054" s="29"/>
      <c r="M1054" s="29"/>
      <c r="N1054" s="29"/>
      <c r="P1054" s="4">
        <f t="shared" si="67"/>
        <v>2.6174044840842421E-3</v>
      </c>
      <c r="Q1054" s="4">
        <f t="shared" si="67"/>
        <v>-2.3526511435268926E-4</v>
      </c>
      <c r="R1054" s="4">
        <f t="shared" si="67"/>
        <v>2.1538369452915318E-3</v>
      </c>
      <c r="S1054" s="4">
        <f t="shared" si="67"/>
        <v>1.0966289824002825E-2</v>
      </c>
      <c r="T1054" s="4">
        <f t="shared" si="67"/>
        <v>1.7063543892009386E-3</v>
      </c>
      <c r="U1054" s="35"/>
      <c r="V1054" s="35"/>
      <c r="W1054" s="35"/>
      <c r="X1054" s="35"/>
    </row>
    <row r="1055" spans="4:24" x14ac:dyDescent="0.3">
      <c r="D1055" s="23">
        <v>41110</v>
      </c>
      <c r="E1055" s="5">
        <v>109.929924</v>
      </c>
      <c r="F1055" s="28">
        <v>62.209719999999997</v>
      </c>
      <c r="G1055" s="28">
        <v>153.66999999999999</v>
      </c>
      <c r="H1055" s="28">
        <v>57.656320000000001</v>
      </c>
      <c r="I1055" s="28">
        <v>56.40654</v>
      </c>
      <c r="J1055" s="29"/>
      <c r="K1055" s="29"/>
      <c r="L1055" s="29"/>
      <c r="M1055" s="29"/>
      <c r="N1055" s="29"/>
      <c r="P1055" s="4">
        <f t="shared" si="67"/>
        <v>-9.1906455368295729E-3</v>
      </c>
      <c r="Q1055" s="4">
        <f t="shared" si="67"/>
        <v>1.8804121980294491E-3</v>
      </c>
      <c r="R1055" s="4">
        <f t="shared" si="67"/>
        <v>1.8889437305277573E-3</v>
      </c>
      <c r="S1055" s="4">
        <f t="shared" si="67"/>
        <v>-1.3298611082515796E-2</v>
      </c>
      <c r="T1055" s="4">
        <f t="shared" si="67"/>
        <v>-9.1350976990221076E-3</v>
      </c>
      <c r="U1055" s="35"/>
      <c r="V1055" s="35"/>
      <c r="W1055" s="35"/>
      <c r="X1055" s="35"/>
    </row>
    <row r="1056" spans="4:24" x14ac:dyDescent="0.3">
      <c r="D1056" s="23">
        <v>41113</v>
      </c>
      <c r="E1056" s="5">
        <v>108.81830600000001</v>
      </c>
      <c r="F1056" s="28">
        <v>62.238909999999997</v>
      </c>
      <c r="G1056" s="28">
        <v>153.03</v>
      </c>
      <c r="H1056" s="28">
        <v>56.95626</v>
      </c>
      <c r="I1056" s="28">
        <v>55.783760000000001</v>
      </c>
      <c r="J1056" s="29"/>
      <c r="K1056" s="29"/>
      <c r="L1056" s="29"/>
      <c r="M1056" s="29"/>
      <c r="N1056" s="29"/>
      <c r="P1056" s="4">
        <f t="shared" si="67"/>
        <v>-1.0163534296242473E-2</v>
      </c>
      <c r="Q1056" s="4">
        <f t="shared" si="67"/>
        <v>4.6910923061667473E-4</v>
      </c>
      <c r="R1056" s="4">
        <f t="shared" si="67"/>
        <v>-4.1734654642960082E-3</v>
      </c>
      <c r="S1056" s="4">
        <f t="shared" si="67"/>
        <v>-1.2216262930663658E-2</v>
      </c>
      <c r="T1056" s="4">
        <f t="shared" si="67"/>
        <v>-1.1102321627727769E-2</v>
      </c>
      <c r="U1056" s="35"/>
      <c r="V1056" s="35"/>
      <c r="W1056" s="35"/>
      <c r="X1056" s="35"/>
    </row>
    <row r="1057" spans="4:24" x14ac:dyDescent="0.3">
      <c r="D1057" s="23">
        <v>41114</v>
      </c>
      <c r="E1057" s="5">
        <v>107.883888</v>
      </c>
      <c r="F1057" s="28">
        <v>62.311950000000003</v>
      </c>
      <c r="G1057" s="28">
        <v>153.52000000000001</v>
      </c>
      <c r="H1057" s="28">
        <v>56.507510000000003</v>
      </c>
      <c r="I1057" s="28">
        <v>55.282299999999999</v>
      </c>
      <c r="J1057" s="29"/>
      <c r="K1057" s="29"/>
      <c r="L1057" s="29"/>
      <c r="M1057" s="29"/>
      <c r="N1057" s="29"/>
      <c r="P1057" s="4">
        <f t="shared" si="67"/>
        <v>-8.6240362786543356E-3</v>
      </c>
      <c r="Q1057" s="4">
        <f t="shared" si="67"/>
        <v>1.1728543403513323E-3</v>
      </c>
      <c r="R1057" s="4">
        <f t="shared" si="67"/>
        <v>3.1968710964996642E-3</v>
      </c>
      <c r="S1057" s="4">
        <f t="shared" si="67"/>
        <v>-7.9100551623910997E-3</v>
      </c>
      <c r="T1057" s="4">
        <f t="shared" si="67"/>
        <v>-9.030002639072169E-3</v>
      </c>
      <c r="U1057" s="35"/>
      <c r="V1057" s="35"/>
      <c r="W1057" s="35"/>
      <c r="X1057" s="35"/>
    </row>
    <row r="1058" spans="4:24" x14ac:dyDescent="0.3">
      <c r="D1058" s="23">
        <v>41115</v>
      </c>
      <c r="E1058" s="5">
        <v>107.908112</v>
      </c>
      <c r="F1058" s="28">
        <v>62.35586</v>
      </c>
      <c r="G1058" s="28">
        <v>155.66999999999999</v>
      </c>
      <c r="H1058" s="28">
        <v>56.130540000000003</v>
      </c>
      <c r="I1058" s="28">
        <v>55.29036</v>
      </c>
      <c r="J1058" s="29"/>
      <c r="K1058" s="29"/>
      <c r="L1058" s="29"/>
      <c r="M1058" s="29"/>
      <c r="N1058" s="29"/>
      <c r="P1058" s="4">
        <f t="shared" si="67"/>
        <v>2.2451249445546283E-4</v>
      </c>
      <c r="Q1058" s="4">
        <f t="shared" si="67"/>
        <v>7.044320713704631E-4</v>
      </c>
      <c r="R1058" s="4">
        <f t="shared" si="67"/>
        <v>1.3907530348313239E-2</v>
      </c>
      <c r="S1058" s="4">
        <f t="shared" si="67"/>
        <v>-6.6935002416349983E-3</v>
      </c>
      <c r="T1058" s="4">
        <f t="shared" si="67"/>
        <v>1.457864903364209E-4</v>
      </c>
      <c r="U1058" s="35"/>
      <c r="V1058" s="35"/>
      <c r="W1058" s="35"/>
      <c r="X1058" s="35"/>
    </row>
    <row r="1059" spans="4:24" x14ac:dyDescent="0.3">
      <c r="D1059" s="23">
        <v>41116</v>
      </c>
      <c r="E1059" s="5">
        <v>109.688248</v>
      </c>
      <c r="F1059" s="28">
        <v>62.311950000000003</v>
      </c>
      <c r="G1059" s="28">
        <v>156.77000000000001</v>
      </c>
      <c r="H1059" s="28">
        <v>56.875500000000002</v>
      </c>
      <c r="I1059" s="28">
        <v>56.131529999999998</v>
      </c>
      <c r="J1059" s="29"/>
      <c r="K1059" s="29"/>
      <c r="L1059" s="29"/>
      <c r="M1059" s="29"/>
      <c r="N1059" s="29"/>
      <c r="P1059" s="4">
        <f t="shared" si="67"/>
        <v>1.6362182849100911E-2</v>
      </c>
      <c r="Q1059" s="4">
        <f t="shared" si="67"/>
        <v>-7.0443207137049638E-4</v>
      </c>
      <c r="R1059" s="4">
        <f t="shared" si="67"/>
        <v>7.0413810326819606E-3</v>
      </c>
      <c r="S1059" s="4">
        <f t="shared" si="67"/>
        <v>1.3184619009648261E-2</v>
      </c>
      <c r="T1059" s="4">
        <f t="shared" si="67"/>
        <v>1.5099115281519691E-2</v>
      </c>
      <c r="U1059" s="35"/>
      <c r="V1059" s="35"/>
      <c r="W1059" s="35"/>
      <c r="X1059" s="35"/>
    </row>
    <row r="1060" spans="4:24" x14ac:dyDescent="0.3">
      <c r="D1060" s="23">
        <v>41117</v>
      </c>
      <c r="E1060" s="5">
        <v>111.71015199999999</v>
      </c>
      <c r="F1060" s="28">
        <v>62.078220000000002</v>
      </c>
      <c r="G1060" s="28">
        <v>157.54</v>
      </c>
      <c r="H1060" s="28">
        <v>58.22175</v>
      </c>
      <c r="I1060" s="28">
        <v>57.239609999999999</v>
      </c>
      <c r="J1060" s="29"/>
      <c r="K1060" s="29"/>
      <c r="L1060" s="29"/>
      <c r="M1060" s="29"/>
      <c r="N1060" s="29"/>
      <c r="P1060" s="4">
        <f t="shared" si="67"/>
        <v>1.8265355237688879E-2</v>
      </c>
      <c r="Q1060" s="4">
        <f t="shared" si="67"/>
        <v>-3.7580184201834736E-3</v>
      </c>
      <c r="R1060" s="4">
        <f t="shared" si="67"/>
        <v>4.8996311947385402E-3</v>
      </c>
      <c r="S1060" s="4">
        <f t="shared" si="67"/>
        <v>2.3394327823644725E-2</v>
      </c>
      <c r="T1060" s="4">
        <f t="shared" si="67"/>
        <v>1.9548454514515166E-2</v>
      </c>
      <c r="U1060" s="35"/>
      <c r="V1060" s="35"/>
      <c r="W1060" s="35"/>
      <c r="X1060" s="35"/>
    </row>
    <row r="1061" spans="4:24" x14ac:dyDescent="0.3">
      <c r="D1061" s="23">
        <v>41120</v>
      </c>
      <c r="E1061" s="5">
        <v>111.71015199999999</v>
      </c>
      <c r="F1061" s="28">
        <v>62.19509</v>
      </c>
      <c r="G1061" s="28">
        <v>157.43</v>
      </c>
      <c r="H1061" s="28">
        <v>58.176859999999998</v>
      </c>
      <c r="I1061" s="28">
        <v>57.183</v>
      </c>
      <c r="J1061" s="29"/>
      <c r="K1061" s="29"/>
      <c r="L1061" s="29"/>
      <c r="M1061" s="29"/>
      <c r="N1061" s="29"/>
      <c r="P1061" s="4">
        <f t="shared" ref="P1061:T1076" si="68">LN(E1061/E1060)</f>
        <v>0</v>
      </c>
      <c r="Q1061" s="4">
        <f t="shared" si="68"/>
        <v>1.8808549390599916E-3</v>
      </c>
      <c r="R1061" s="4">
        <f t="shared" si="68"/>
        <v>-6.9847924864051248E-4</v>
      </c>
      <c r="S1061" s="4">
        <f t="shared" si="68"/>
        <v>-7.7131509088510723E-4</v>
      </c>
      <c r="T1061" s="4">
        <f t="shared" si="68"/>
        <v>-9.8948983280242389E-4</v>
      </c>
      <c r="U1061" s="35"/>
      <c r="V1061" s="35"/>
      <c r="W1061" s="35"/>
      <c r="X1061" s="35"/>
    </row>
    <row r="1062" spans="4:24" x14ac:dyDescent="0.3">
      <c r="D1062" s="23">
        <v>41121</v>
      </c>
      <c r="E1062" s="5">
        <v>110.928833</v>
      </c>
      <c r="F1062" s="28">
        <v>62.260840000000002</v>
      </c>
      <c r="G1062" s="28">
        <v>156.49</v>
      </c>
      <c r="H1062" s="28">
        <v>58.158940000000001</v>
      </c>
      <c r="I1062" s="28">
        <v>56.867579999999997</v>
      </c>
      <c r="J1062" s="29"/>
      <c r="K1062" s="29"/>
      <c r="L1062" s="29"/>
      <c r="M1062" s="29"/>
      <c r="N1062" s="29"/>
      <c r="P1062" s="4">
        <f t="shared" si="68"/>
        <v>-7.0187367004513734E-3</v>
      </c>
      <c r="Q1062" s="4">
        <f t="shared" si="68"/>
        <v>1.0565990084514002E-3</v>
      </c>
      <c r="R1062" s="4">
        <f t="shared" si="68"/>
        <v>-5.9888048514570398E-3</v>
      </c>
      <c r="S1062" s="4">
        <f t="shared" si="68"/>
        <v>-3.0807369944124062E-4</v>
      </c>
      <c r="T1062" s="4">
        <f t="shared" si="68"/>
        <v>-5.5312441932393814E-3</v>
      </c>
      <c r="U1062" s="35"/>
      <c r="V1062" s="35"/>
      <c r="W1062" s="35"/>
      <c r="X1062" s="35"/>
    </row>
    <row r="1063" spans="4:24" x14ac:dyDescent="0.3">
      <c r="D1063" s="23">
        <v>41122</v>
      </c>
      <c r="E1063" s="5">
        <v>110.83215300000001</v>
      </c>
      <c r="F1063" s="28">
        <v>62.185459999999999</v>
      </c>
      <c r="G1063" s="28">
        <v>155.13999999999999</v>
      </c>
      <c r="H1063" s="28">
        <v>57.988419999999998</v>
      </c>
      <c r="I1063" s="28">
        <v>56.641089999999998</v>
      </c>
      <c r="J1063" s="29"/>
      <c r="K1063" s="29"/>
      <c r="L1063" s="29"/>
      <c r="M1063" s="29"/>
      <c r="N1063" s="29"/>
      <c r="P1063" s="4">
        <f t="shared" si="68"/>
        <v>-8.7192980035868148E-4</v>
      </c>
      <c r="Q1063" s="4">
        <f t="shared" si="68"/>
        <v>-1.2114463703459895E-3</v>
      </c>
      <c r="R1063" s="4">
        <f t="shared" si="68"/>
        <v>-8.6641751123551925E-3</v>
      </c>
      <c r="S1063" s="4">
        <f t="shared" si="68"/>
        <v>-2.9362720343234553E-3</v>
      </c>
      <c r="T1063" s="4">
        <f t="shared" si="68"/>
        <v>-3.9907136712295536E-3</v>
      </c>
      <c r="U1063" s="35"/>
      <c r="V1063" s="35"/>
      <c r="W1063" s="35"/>
      <c r="X1063" s="35"/>
    </row>
    <row r="1064" spans="4:24" x14ac:dyDescent="0.3">
      <c r="D1064" s="23">
        <v>41123</v>
      </c>
      <c r="E1064" s="5">
        <v>110.066879</v>
      </c>
      <c r="F1064" s="28">
        <v>62.302630000000001</v>
      </c>
      <c r="G1064" s="28">
        <v>154.13</v>
      </c>
      <c r="H1064" s="28">
        <v>57.781959999999998</v>
      </c>
      <c r="I1064" s="28">
        <v>56.252870000000001</v>
      </c>
      <c r="J1064" s="29"/>
      <c r="K1064" s="29"/>
      <c r="L1064" s="29"/>
      <c r="M1064" s="29"/>
      <c r="N1064" s="29"/>
      <c r="P1064" s="4">
        <f t="shared" si="68"/>
        <v>-6.9287497971159883E-3</v>
      </c>
      <c r="Q1064" s="4">
        <f t="shared" si="68"/>
        <v>1.8824296300107505E-3</v>
      </c>
      <c r="R1064" s="4">
        <f t="shared" si="68"/>
        <v>-6.5315329040970121E-3</v>
      </c>
      <c r="S1064" s="4">
        <f t="shared" si="68"/>
        <v>-3.5667192052599383E-3</v>
      </c>
      <c r="T1064" s="4">
        <f t="shared" si="68"/>
        <v>-6.8776315454141777E-3</v>
      </c>
      <c r="U1064" s="35"/>
      <c r="V1064" s="35"/>
      <c r="W1064" s="35"/>
      <c r="X1064" s="35"/>
    </row>
    <row r="1065" spans="4:24" x14ac:dyDescent="0.3">
      <c r="D1065" s="23">
        <v>41124</v>
      </c>
      <c r="E1065" s="5">
        <v>112.24987</v>
      </c>
      <c r="F1065" s="28">
        <v>62.07564</v>
      </c>
      <c r="G1065" s="28">
        <v>155.55000000000001</v>
      </c>
      <c r="H1065" s="28">
        <v>58.876919999999998</v>
      </c>
      <c r="I1065" s="28">
        <v>57.39329</v>
      </c>
      <c r="J1065" s="29"/>
      <c r="K1065" s="29"/>
      <c r="L1065" s="29"/>
      <c r="M1065" s="29"/>
      <c r="N1065" s="29"/>
      <c r="P1065" s="4">
        <f t="shared" si="68"/>
        <v>1.9639196542601607E-2</v>
      </c>
      <c r="Q1065" s="4">
        <f t="shared" si="68"/>
        <v>-3.6499985408372814E-3</v>
      </c>
      <c r="R1065" s="4">
        <f t="shared" si="68"/>
        <v>9.1708211850177052E-3</v>
      </c>
      <c r="S1065" s="4">
        <f t="shared" si="68"/>
        <v>1.8772547034809333E-2</v>
      </c>
      <c r="T1065" s="4">
        <f t="shared" si="68"/>
        <v>2.0070335532439053E-2</v>
      </c>
      <c r="U1065" s="35"/>
      <c r="V1065" s="35"/>
      <c r="W1065" s="35"/>
      <c r="X1065" s="35"/>
    </row>
    <row r="1066" spans="4:24" x14ac:dyDescent="0.3">
      <c r="D1066" s="23">
        <v>41127</v>
      </c>
      <c r="E1066" s="5">
        <v>112.467361</v>
      </c>
      <c r="F1066" s="28">
        <v>62.134180000000001</v>
      </c>
      <c r="G1066" s="28">
        <v>156.30000000000001</v>
      </c>
      <c r="H1066" s="28">
        <v>59.325699999999998</v>
      </c>
      <c r="I1066" s="28">
        <v>57.53886</v>
      </c>
      <c r="J1066" s="29"/>
      <c r="K1066" s="29"/>
      <c r="L1066" s="29"/>
      <c r="M1066" s="29"/>
      <c r="N1066" s="29"/>
      <c r="P1066" s="4">
        <f t="shared" si="68"/>
        <v>1.9356866132746631E-3</v>
      </c>
      <c r="Q1066" s="4">
        <f t="shared" si="68"/>
        <v>9.4259865016097118E-4</v>
      </c>
      <c r="R1066" s="4">
        <f t="shared" si="68"/>
        <v>4.810014083784878E-3</v>
      </c>
      <c r="S1066" s="4">
        <f t="shared" si="68"/>
        <v>7.5934383924364723E-3</v>
      </c>
      <c r="T1066" s="4">
        <f t="shared" si="68"/>
        <v>2.5331480850500632E-3</v>
      </c>
      <c r="U1066" s="35"/>
      <c r="V1066" s="35"/>
      <c r="W1066" s="35"/>
      <c r="X1066" s="35"/>
    </row>
    <row r="1067" spans="4:24" x14ac:dyDescent="0.3">
      <c r="D1067" s="23">
        <v>41128</v>
      </c>
      <c r="E1067" s="5">
        <v>113.031227</v>
      </c>
      <c r="F1067" s="28">
        <v>61.973149999999997</v>
      </c>
      <c r="G1067" s="28">
        <v>156.28</v>
      </c>
      <c r="H1067" s="28">
        <v>59.819339999999997</v>
      </c>
      <c r="I1067" s="28">
        <v>57.886629999999997</v>
      </c>
      <c r="J1067" s="29"/>
      <c r="K1067" s="29"/>
      <c r="L1067" s="29"/>
      <c r="M1067" s="29"/>
      <c r="N1067" s="29"/>
      <c r="P1067" s="4">
        <f t="shared" si="68"/>
        <v>5.0010705630089188E-3</v>
      </c>
      <c r="Q1067" s="4">
        <f t="shared" si="68"/>
        <v>-2.5950133705387036E-3</v>
      </c>
      <c r="R1067" s="4">
        <f t="shared" si="68"/>
        <v>-1.2796724056111534E-4</v>
      </c>
      <c r="S1067" s="4">
        <f t="shared" si="68"/>
        <v>8.2864183793946063E-3</v>
      </c>
      <c r="T1067" s="4">
        <f t="shared" si="68"/>
        <v>6.0258969199084604E-3</v>
      </c>
      <c r="U1067" s="35"/>
      <c r="V1067" s="35"/>
      <c r="W1067" s="35"/>
      <c r="X1067" s="35"/>
    </row>
    <row r="1068" spans="4:24" x14ac:dyDescent="0.3">
      <c r="D1068" s="23">
        <v>41129</v>
      </c>
      <c r="E1068" s="5">
        <v>113.168182</v>
      </c>
      <c r="F1068" s="28">
        <v>61.958489999999998</v>
      </c>
      <c r="G1068" s="28">
        <v>156.47999999999999</v>
      </c>
      <c r="H1068" s="28">
        <v>59.792430000000003</v>
      </c>
      <c r="I1068" s="28">
        <v>57.959449999999997</v>
      </c>
      <c r="J1068" s="29"/>
      <c r="K1068" s="29"/>
      <c r="L1068" s="29"/>
      <c r="M1068" s="29"/>
      <c r="N1068" s="29"/>
      <c r="P1068" s="4">
        <f t="shared" si="68"/>
        <v>1.2109228520145834E-3</v>
      </c>
      <c r="Q1068" s="4">
        <f t="shared" si="68"/>
        <v>-2.3658203939489131E-4</v>
      </c>
      <c r="R1068" s="4">
        <f t="shared" si="68"/>
        <v>1.2789360996372553E-3</v>
      </c>
      <c r="S1068" s="4">
        <f t="shared" si="68"/>
        <v>-4.4995572683209921E-4</v>
      </c>
      <c r="T1068" s="4">
        <f t="shared" si="68"/>
        <v>1.257185561930116E-3</v>
      </c>
      <c r="U1068" s="35"/>
      <c r="V1068" s="35"/>
      <c r="W1068" s="35"/>
      <c r="X1068" s="35"/>
    </row>
    <row r="1069" spans="4:24" x14ac:dyDescent="0.3">
      <c r="D1069" s="23">
        <v>41130</v>
      </c>
      <c r="E1069" s="5">
        <v>113.26483899999999</v>
      </c>
      <c r="F1069" s="28">
        <v>61.92192</v>
      </c>
      <c r="G1069" s="28">
        <v>156.99</v>
      </c>
      <c r="H1069" s="28">
        <v>59.971919999999997</v>
      </c>
      <c r="I1069" s="28">
        <v>58.007989999999999</v>
      </c>
      <c r="J1069" s="29"/>
      <c r="K1069" s="29"/>
      <c r="L1069" s="29"/>
      <c r="M1069" s="29"/>
      <c r="N1069" s="29"/>
      <c r="P1069" s="4">
        <f t="shared" si="68"/>
        <v>8.5373595638973552E-4</v>
      </c>
      <c r="Q1069" s="4">
        <f t="shared" si="68"/>
        <v>-5.9040813736897888E-4</v>
      </c>
      <c r="R1069" s="4">
        <f t="shared" si="68"/>
        <v>3.2539027657191217E-3</v>
      </c>
      <c r="S1069" s="4">
        <f t="shared" si="68"/>
        <v>2.9973883611139731E-3</v>
      </c>
      <c r="T1069" s="4">
        <f t="shared" si="68"/>
        <v>8.3713157477123263E-4</v>
      </c>
      <c r="U1069" s="35"/>
      <c r="V1069" s="35"/>
      <c r="W1069" s="35"/>
      <c r="X1069" s="35"/>
    </row>
    <row r="1070" spans="4:24" x14ac:dyDescent="0.3">
      <c r="D1070" s="23">
        <v>41131</v>
      </c>
      <c r="E1070" s="5">
        <v>113.45008900000001</v>
      </c>
      <c r="F1070" s="28">
        <v>61.995060000000002</v>
      </c>
      <c r="G1070" s="28">
        <v>157.18</v>
      </c>
      <c r="H1070" s="28">
        <v>60.007820000000002</v>
      </c>
      <c r="I1070" s="28">
        <v>58.121220000000001</v>
      </c>
      <c r="J1070" s="29"/>
      <c r="K1070" s="29"/>
      <c r="L1070" s="29"/>
      <c r="M1070" s="29"/>
      <c r="N1070" s="29"/>
      <c r="P1070" s="4">
        <f t="shared" si="68"/>
        <v>1.6342112348959636E-3</v>
      </c>
      <c r="Q1070" s="4">
        <f t="shared" si="68"/>
        <v>1.1804678986432095E-3</v>
      </c>
      <c r="R1070" s="4">
        <f t="shared" si="68"/>
        <v>1.2095363858026715E-3</v>
      </c>
      <c r="S1070" s="4">
        <f t="shared" si="68"/>
        <v>5.9843438686227411E-4</v>
      </c>
      <c r="T1070" s="4">
        <f t="shared" si="68"/>
        <v>1.9500698555053935E-3</v>
      </c>
      <c r="U1070" s="35"/>
      <c r="V1070" s="35"/>
      <c r="W1070" s="35"/>
      <c r="X1070" s="35"/>
    </row>
    <row r="1071" spans="4:24" x14ac:dyDescent="0.3">
      <c r="D1071" s="23">
        <v>41134</v>
      </c>
      <c r="E1071" s="5">
        <v>113.39372299999999</v>
      </c>
      <c r="F1071" s="28">
        <v>62.002409999999998</v>
      </c>
      <c r="G1071" s="28">
        <v>155.99</v>
      </c>
      <c r="H1071" s="28">
        <v>60.151400000000002</v>
      </c>
      <c r="I1071" s="28">
        <v>58.072690000000001</v>
      </c>
      <c r="J1071" s="29"/>
      <c r="K1071" s="29"/>
      <c r="L1071" s="29"/>
      <c r="M1071" s="29"/>
      <c r="N1071" s="29"/>
      <c r="P1071" s="4">
        <f t="shared" si="68"/>
        <v>-4.9695868415453297E-4</v>
      </c>
      <c r="Q1071" s="4">
        <f t="shared" si="68"/>
        <v>1.1855080605429751E-4</v>
      </c>
      <c r="R1071" s="4">
        <f t="shared" si="68"/>
        <v>-7.5997428072515326E-3</v>
      </c>
      <c r="S1071" s="4">
        <f t="shared" si="68"/>
        <v>2.3898302325125543E-3</v>
      </c>
      <c r="T1071" s="4">
        <f t="shared" si="68"/>
        <v>-8.3532782091434168E-4</v>
      </c>
      <c r="U1071" s="35"/>
      <c r="V1071" s="35"/>
      <c r="W1071" s="35"/>
      <c r="X1071" s="35"/>
    </row>
    <row r="1072" spans="4:24" x14ac:dyDescent="0.3">
      <c r="D1072" s="23">
        <v>41135</v>
      </c>
      <c r="E1072" s="5">
        <v>113.40978200000001</v>
      </c>
      <c r="F1072" s="28">
        <v>61.84863</v>
      </c>
      <c r="G1072" s="28">
        <v>155.13</v>
      </c>
      <c r="H1072" s="28">
        <v>60.178350000000002</v>
      </c>
      <c r="I1072" s="28">
        <v>58.056519999999999</v>
      </c>
      <c r="J1072" s="29"/>
      <c r="K1072" s="29"/>
      <c r="L1072" s="29"/>
      <c r="M1072" s="29"/>
      <c r="N1072" s="29"/>
      <c r="P1072" s="4">
        <f t="shared" si="68"/>
        <v>1.4161156836489601E-4</v>
      </c>
      <c r="Q1072" s="4">
        <f t="shared" si="68"/>
        <v>-2.4833070279863464E-3</v>
      </c>
      <c r="R1072" s="4">
        <f t="shared" si="68"/>
        <v>-5.5284275545375624E-3</v>
      </c>
      <c r="S1072" s="4">
        <f t="shared" si="68"/>
        <v>4.4793578397061119E-4</v>
      </c>
      <c r="T1072" s="4">
        <f t="shared" si="68"/>
        <v>-2.7848290889954453E-4</v>
      </c>
      <c r="U1072" s="35"/>
      <c r="V1072" s="35"/>
      <c r="W1072" s="35"/>
      <c r="X1072" s="35"/>
    </row>
    <row r="1073" spans="4:24" x14ac:dyDescent="0.3">
      <c r="D1073" s="23">
        <v>41136</v>
      </c>
      <c r="E1073" s="5">
        <v>113.538712</v>
      </c>
      <c r="F1073" s="28">
        <v>61.629049999999999</v>
      </c>
      <c r="G1073" s="28">
        <v>155.63</v>
      </c>
      <c r="H1073" s="28">
        <v>60.330919999999999</v>
      </c>
      <c r="I1073" s="28">
        <v>58.185920000000003</v>
      </c>
      <c r="J1073" s="29"/>
      <c r="K1073" s="29"/>
      <c r="L1073" s="29"/>
      <c r="M1073" s="29"/>
      <c r="N1073" s="29"/>
      <c r="P1073" s="4">
        <f t="shared" si="68"/>
        <v>1.1362050621962609E-3</v>
      </c>
      <c r="Q1073" s="4">
        <f t="shared" si="68"/>
        <v>-3.5565979448705242E-3</v>
      </c>
      <c r="R1073" s="4">
        <f t="shared" si="68"/>
        <v>3.2179201406788683E-3</v>
      </c>
      <c r="S1073" s="4">
        <f t="shared" si="68"/>
        <v>2.5320887184284765E-3</v>
      </c>
      <c r="T1073" s="4">
        <f t="shared" si="68"/>
        <v>2.2263822653857952E-3</v>
      </c>
      <c r="U1073" s="35"/>
      <c r="V1073" s="35"/>
      <c r="W1073" s="35"/>
      <c r="X1073" s="35"/>
    </row>
    <row r="1074" spans="4:24" x14ac:dyDescent="0.3">
      <c r="D1074" s="23">
        <v>41137</v>
      </c>
      <c r="E1074" s="5">
        <v>114.37645000000001</v>
      </c>
      <c r="F1074" s="28">
        <v>61.563189999999999</v>
      </c>
      <c r="G1074" s="28">
        <v>156.56</v>
      </c>
      <c r="H1074" s="28">
        <v>61.048920000000003</v>
      </c>
      <c r="I1074" s="28">
        <v>58.630749999999999</v>
      </c>
      <c r="J1074" s="29"/>
      <c r="K1074" s="29"/>
      <c r="L1074" s="29"/>
      <c r="M1074" s="29"/>
      <c r="N1074" s="29"/>
      <c r="P1074" s="4">
        <f t="shared" si="68"/>
        <v>7.3513474524461945E-3</v>
      </c>
      <c r="Q1074" s="4">
        <f t="shared" si="68"/>
        <v>-1.0692232931956492E-3</v>
      </c>
      <c r="R1074" s="4">
        <f t="shared" si="68"/>
        <v>5.9579278709021273E-3</v>
      </c>
      <c r="S1074" s="4">
        <f t="shared" si="68"/>
        <v>1.1830768184851428E-2</v>
      </c>
      <c r="T1074" s="4">
        <f t="shared" si="68"/>
        <v>7.6159019099295896E-3</v>
      </c>
      <c r="U1074" s="35"/>
      <c r="V1074" s="35"/>
      <c r="W1074" s="35"/>
      <c r="X1074" s="35"/>
    </row>
    <row r="1075" spans="4:24" x14ac:dyDescent="0.3">
      <c r="D1075" s="23">
        <v>41138</v>
      </c>
      <c r="E1075" s="5">
        <v>114.52951</v>
      </c>
      <c r="F1075" s="28">
        <v>61.665669999999999</v>
      </c>
      <c r="G1075" s="28">
        <v>156.72</v>
      </c>
      <c r="H1075" s="28">
        <v>61.318179999999998</v>
      </c>
      <c r="I1075" s="28">
        <v>58.743969999999997</v>
      </c>
      <c r="J1075" s="29"/>
      <c r="K1075" s="29"/>
      <c r="L1075" s="29"/>
      <c r="M1075" s="29"/>
      <c r="N1075" s="29"/>
      <c r="P1075" s="4">
        <f t="shared" si="68"/>
        <v>1.337317934502669E-3</v>
      </c>
      <c r="Q1075" s="4">
        <f t="shared" si="68"/>
        <v>1.663247126119316E-3</v>
      </c>
      <c r="R1075" s="4">
        <f t="shared" si="68"/>
        <v>1.0214505484645682E-3</v>
      </c>
      <c r="S1075" s="4">
        <f t="shared" si="68"/>
        <v>4.4008632152998306E-3</v>
      </c>
      <c r="T1075" s="4">
        <f t="shared" si="68"/>
        <v>1.9292064784569667E-3</v>
      </c>
      <c r="U1075" s="35"/>
      <c r="V1075" s="35"/>
      <c r="W1075" s="35"/>
      <c r="X1075" s="35"/>
    </row>
    <row r="1076" spans="4:24" x14ac:dyDescent="0.3">
      <c r="D1076" s="23">
        <v>41141</v>
      </c>
      <c r="E1076" s="5">
        <v>114.53756</v>
      </c>
      <c r="F1076" s="28">
        <v>61.63635</v>
      </c>
      <c r="G1076" s="28">
        <v>157.26</v>
      </c>
      <c r="H1076" s="28">
        <v>61.407910000000001</v>
      </c>
      <c r="I1076" s="28">
        <v>58.73592</v>
      </c>
      <c r="J1076" s="29"/>
      <c r="K1076" s="29"/>
      <c r="L1076" s="29"/>
      <c r="M1076" s="29"/>
      <c r="N1076" s="29"/>
      <c r="P1076" s="4">
        <f t="shared" si="68"/>
        <v>7.0285091639770556E-5</v>
      </c>
      <c r="Q1076" s="4">
        <f t="shared" si="68"/>
        <v>-4.7558021438133985E-4</v>
      </c>
      <c r="R1076" s="4">
        <f t="shared" si="68"/>
        <v>3.4397129270846505E-3</v>
      </c>
      <c r="S1076" s="4">
        <f t="shared" si="68"/>
        <v>1.4622810192826451E-3</v>
      </c>
      <c r="T1076" s="4">
        <f t="shared" si="68"/>
        <v>-1.3704473187016927E-4</v>
      </c>
      <c r="U1076" s="35"/>
      <c r="V1076" s="35"/>
      <c r="W1076" s="35"/>
      <c r="X1076" s="35"/>
    </row>
    <row r="1077" spans="4:24" x14ac:dyDescent="0.3">
      <c r="D1077" s="23">
        <v>41142</v>
      </c>
      <c r="E1077" s="5">
        <v>114.19116200000001</v>
      </c>
      <c r="F1077" s="28">
        <v>61.746189999999999</v>
      </c>
      <c r="G1077" s="28">
        <v>158.83000000000001</v>
      </c>
      <c r="H1077" s="28">
        <v>61.165590000000002</v>
      </c>
      <c r="I1077" s="28">
        <v>58.61459</v>
      </c>
      <c r="J1077" s="29"/>
      <c r="K1077" s="29"/>
      <c r="L1077" s="29"/>
      <c r="M1077" s="29"/>
      <c r="N1077" s="29"/>
      <c r="P1077" s="4">
        <f t="shared" ref="P1077:T1092" si="69">LN(E1077/E1076)</f>
        <v>-3.0289004528963261E-3</v>
      </c>
      <c r="Q1077" s="4">
        <f t="shared" si="69"/>
        <v>1.7804792966175356E-3</v>
      </c>
      <c r="R1077" s="4">
        <f t="shared" si="69"/>
        <v>9.9339612836938495E-3</v>
      </c>
      <c r="S1077" s="4">
        <f t="shared" si="69"/>
        <v>-3.9538777253697735E-3</v>
      </c>
      <c r="T1077" s="4">
        <f t="shared" si="69"/>
        <v>-2.0678230240811475E-3</v>
      </c>
      <c r="U1077" s="35"/>
      <c r="V1077" s="35"/>
      <c r="W1077" s="35"/>
      <c r="X1077" s="35"/>
    </row>
    <row r="1078" spans="4:24" x14ac:dyDescent="0.3">
      <c r="D1078" s="23">
        <v>41143</v>
      </c>
      <c r="E1078" s="5">
        <v>114.239502</v>
      </c>
      <c r="F1078" s="28">
        <v>61.995060000000002</v>
      </c>
      <c r="G1078" s="28">
        <v>160.54</v>
      </c>
      <c r="H1078" s="28">
        <v>61.416890000000002</v>
      </c>
      <c r="I1078" s="28">
        <v>58.541789999999999</v>
      </c>
      <c r="J1078" s="29"/>
      <c r="K1078" s="29"/>
      <c r="L1078" s="29"/>
      <c r="M1078" s="29"/>
      <c r="N1078" s="29"/>
      <c r="P1078" s="4">
        <f t="shared" si="69"/>
        <v>4.2323565387502384E-4</v>
      </c>
      <c r="Q1078" s="4">
        <f t="shared" si="69"/>
        <v>4.0224312516425305E-3</v>
      </c>
      <c r="R1078" s="4">
        <f t="shared" si="69"/>
        <v>1.0708684856367013E-2</v>
      </c>
      <c r="S1078" s="4">
        <f t="shared" si="69"/>
        <v>4.1001022666026423E-3</v>
      </c>
      <c r="T1078" s="4">
        <f t="shared" si="69"/>
        <v>-1.2427835235270383E-3</v>
      </c>
      <c r="U1078" s="35"/>
      <c r="V1078" s="35"/>
      <c r="W1078" s="35"/>
      <c r="X1078" s="35"/>
    </row>
    <row r="1079" spans="4:24" x14ac:dyDescent="0.3">
      <c r="D1079" s="23">
        <v>41144</v>
      </c>
      <c r="E1079" s="5">
        <v>113.305092</v>
      </c>
      <c r="F1079" s="28">
        <v>62.024380000000001</v>
      </c>
      <c r="G1079" s="28">
        <v>161.88999999999999</v>
      </c>
      <c r="H1079" s="28">
        <v>60.914299999999997</v>
      </c>
      <c r="I1079" s="28">
        <v>58.105040000000002</v>
      </c>
      <c r="J1079" s="29"/>
      <c r="K1079" s="29"/>
      <c r="L1079" s="29"/>
      <c r="M1079" s="29"/>
      <c r="N1079" s="29"/>
      <c r="P1079" s="4">
        <f t="shared" si="69"/>
        <v>-8.2130296838189877E-3</v>
      </c>
      <c r="Q1079" s="4">
        <f t="shared" si="69"/>
        <v>4.7282910721498122E-4</v>
      </c>
      <c r="R1079" s="4">
        <f t="shared" si="69"/>
        <v>8.3739595499836804E-3</v>
      </c>
      <c r="S1079" s="4">
        <f t="shared" si="69"/>
        <v>-8.2169204404912276E-3</v>
      </c>
      <c r="T1079" s="4">
        <f t="shared" si="69"/>
        <v>-7.48845109573205E-3</v>
      </c>
      <c r="U1079" s="35"/>
      <c r="V1079" s="35"/>
      <c r="W1079" s="35"/>
      <c r="X1079" s="35"/>
    </row>
    <row r="1080" spans="4:24" x14ac:dyDescent="0.3">
      <c r="D1080" s="23">
        <v>41145</v>
      </c>
      <c r="E1080" s="5">
        <v>113.989784</v>
      </c>
      <c r="F1080" s="28">
        <v>62.024380000000001</v>
      </c>
      <c r="G1080" s="28">
        <v>161.97</v>
      </c>
      <c r="H1080" s="28">
        <v>61.291260000000001</v>
      </c>
      <c r="I1080" s="28">
        <v>58.43665</v>
      </c>
      <c r="J1080" s="29"/>
      <c r="K1080" s="29"/>
      <c r="L1080" s="29"/>
      <c r="M1080" s="29"/>
      <c r="N1080" s="29"/>
      <c r="P1080" s="4">
        <f t="shared" si="69"/>
        <v>6.0247206895739838E-3</v>
      </c>
      <c r="Q1080" s="4">
        <f t="shared" si="69"/>
        <v>0</v>
      </c>
      <c r="R1080" s="4">
        <f t="shared" si="69"/>
        <v>4.9404064489098052E-4</v>
      </c>
      <c r="S1080" s="4">
        <f t="shared" si="69"/>
        <v>6.1692969713945103E-3</v>
      </c>
      <c r="T1080" s="4">
        <f t="shared" si="69"/>
        <v>5.6908544050591169E-3</v>
      </c>
      <c r="U1080" s="35"/>
      <c r="V1080" s="35"/>
      <c r="W1080" s="35"/>
      <c r="X1080" s="35"/>
    </row>
    <row r="1081" spans="4:24" x14ac:dyDescent="0.3">
      <c r="D1081" s="23">
        <v>41148</v>
      </c>
      <c r="E1081" s="5">
        <v>114.013931</v>
      </c>
      <c r="F1081" s="28">
        <v>62.119579999999999</v>
      </c>
      <c r="G1081" s="28">
        <v>161.36000000000001</v>
      </c>
      <c r="H1081" s="28">
        <v>61.389980000000001</v>
      </c>
      <c r="I1081" s="28">
        <v>58.428559999999997</v>
      </c>
      <c r="J1081" s="29"/>
      <c r="K1081" s="29"/>
      <c r="L1081" s="29"/>
      <c r="M1081" s="29"/>
      <c r="N1081" s="29"/>
      <c r="P1081" s="4">
        <f t="shared" si="69"/>
        <v>2.1181233902499408E-4</v>
      </c>
      <c r="Q1081" s="4">
        <f t="shared" si="69"/>
        <v>1.5337035915585987E-3</v>
      </c>
      <c r="R1081" s="4">
        <f t="shared" si="69"/>
        <v>-3.7732392523489324E-3</v>
      </c>
      <c r="S1081" s="4">
        <f t="shared" si="69"/>
        <v>1.6093743641289722E-3</v>
      </c>
      <c r="T1081" s="4">
        <f t="shared" si="69"/>
        <v>-1.3845010012684858E-4</v>
      </c>
      <c r="U1081" s="35"/>
      <c r="V1081" s="35"/>
      <c r="W1081" s="35"/>
      <c r="X1081" s="35"/>
    </row>
    <row r="1082" spans="4:24" x14ac:dyDescent="0.3">
      <c r="D1082" s="23">
        <v>41149</v>
      </c>
      <c r="E1082" s="5">
        <v>113.90119900000001</v>
      </c>
      <c r="F1082" s="28">
        <v>62.141509999999997</v>
      </c>
      <c r="G1082" s="28">
        <v>161.63999999999999</v>
      </c>
      <c r="H1082" s="28">
        <v>61.389980000000001</v>
      </c>
      <c r="I1082" s="28">
        <v>58.420490000000001</v>
      </c>
      <c r="J1082" s="29"/>
      <c r="K1082" s="29"/>
      <c r="L1082" s="29"/>
      <c r="M1082" s="29"/>
      <c r="N1082" s="29"/>
      <c r="P1082" s="4">
        <f t="shared" si="69"/>
        <v>-9.8924550724954871E-4</v>
      </c>
      <c r="Q1082" s="4">
        <f t="shared" si="69"/>
        <v>3.5296648738042049E-4</v>
      </c>
      <c r="R1082" s="4">
        <f t="shared" si="69"/>
        <v>1.7337465643165321E-3</v>
      </c>
      <c r="S1082" s="4">
        <f t="shared" si="69"/>
        <v>0</v>
      </c>
      <c r="T1082" s="4">
        <f t="shared" si="69"/>
        <v>-1.3812692551334039E-4</v>
      </c>
      <c r="U1082" s="35"/>
      <c r="V1082" s="35"/>
      <c r="W1082" s="35"/>
      <c r="X1082" s="35"/>
    </row>
    <row r="1083" spans="4:24" x14ac:dyDescent="0.3">
      <c r="D1083" s="23">
        <v>41150</v>
      </c>
      <c r="E1083" s="5">
        <v>113.989784</v>
      </c>
      <c r="F1083" s="28">
        <v>62.090240000000001</v>
      </c>
      <c r="G1083" s="28">
        <v>160.59</v>
      </c>
      <c r="H1083" s="28">
        <v>61.389980000000001</v>
      </c>
      <c r="I1083" s="28">
        <v>58.493279999999999</v>
      </c>
      <c r="J1083" s="29"/>
      <c r="K1083" s="29"/>
      <c r="L1083" s="29"/>
      <c r="M1083" s="29"/>
      <c r="N1083" s="29"/>
      <c r="P1083" s="4">
        <f t="shared" si="69"/>
        <v>7.7743316822448708E-4</v>
      </c>
      <c r="Q1083" s="4">
        <f t="shared" si="69"/>
        <v>-8.2539291140532067E-4</v>
      </c>
      <c r="R1083" s="4">
        <f t="shared" si="69"/>
        <v>-6.517107136873165E-3</v>
      </c>
      <c r="S1083" s="4">
        <f t="shared" si="69"/>
        <v>0</v>
      </c>
      <c r="T1083" s="4">
        <f t="shared" si="69"/>
        <v>1.2451913817351874E-3</v>
      </c>
      <c r="U1083" s="35"/>
      <c r="V1083" s="35"/>
      <c r="W1083" s="35"/>
      <c r="X1083" s="35"/>
    </row>
    <row r="1084" spans="4:24" x14ac:dyDescent="0.3">
      <c r="D1084" s="23">
        <v>41151</v>
      </c>
      <c r="E1084" s="5">
        <v>113.168182</v>
      </c>
      <c r="F1084" s="28">
        <v>62.141509999999997</v>
      </c>
      <c r="G1084" s="28">
        <v>160.52000000000001</v>
      </c>
      <c r="H1084" s="28">
        <v>60.770679999999999</v>
      </c>
      <c r="I1084" s="28">
        <v>58.056519999999999</v>
      </c>
      <c r="J1084" s="29"/>
      <c r="K1084" s="29"/>
      <c r="L1084" s="29"/>
      <c r="M1084" s="29"/>
      <c r="N1084" s="29"/>
      <c r="P1084" s="4">
        <f t="shared" si="69"/>
        <v>-7.2337818230147335E-3</v>
      </c>
      <c r="Q1084" s="4">
        <f t="shared" si="69"/>
        <v>8.2539291140517257E-4</v>
      </c>
      <c r="R1084" s="4">
        <f t="shared" si="69"/>
        <v>-4.3598767468356876E-4</v>
      </c>
      <c r="S1084" s="4">
        <f t="shared" si="69"/>
        <v>-1.0139193836958452E-2</v>
      </c>
      <c r="T1084" s="4">
        <f t="shared" si="69"/>
        <v>-7.49485703971608E-3</v>
      </c>
      <c r="U1084" s="35"/>
      <c r="V1084" s="35"/>
      <c r="W1084" s="35"/>
      <c r="X1084" s="35"/>
    </row>
    <row r="1085" spans="4:24" x14ac:dyDescent="0.3">
      <c r="D1085" s="23">
        <v>41152</v>
      </c>
      <c r="E1085" s="5">
        <v>113.707863</v>
      </c>
      <c r="F1085" s="28">
        <v>62.36112</v>
      </c>
      <c r="G1085" s="28">
        <v>164.22</v>
      </c>
      <c r="H1085" s="28">
        <v>61.174590000000002</v>
      </c>
      <c r="I1085" s="28">
        <v>58.404290000000003</v>
      </c>
      <c r="J1085" s="29"/>
      <c r="K1085" s="29"/>
      <c r="L1085" s="29"/>
      <c r="M1085" s="29"/>
      <c r="N1085" s="29"/>
      <c r="P1085" s="4">
        <f t="shared" si="69"/>
        <v>4.7575055173548434E-3</v>
      </c>
      <c r="Q1085" s="4">
        <f t="shared" si="69"/>
        <v>3.5278006217334635E-3</v>
      </c>
      <c r="R1085" s="4">
        <f t="shared" si="69"/>
        <v>2.278844688192673E-2</v>
      </c>
      <c r="S1085" s="4">
        <f t="shared" si="69"/>
        <v>6.6244714056568248E-3</v>
      </c>
      <c r="T1085" s="4">
        <f t="shared" si="69"/>
        <v>5.9723272353647879E-3</v>
      </c>
      <c r="U1085" s="35"/>
      <c r="V1085" s="35"/>
      <c r="W1085" s="35"/>
      <c r="X1085" s="35"/>
    </row>
    <row r="1086" spans="4:24" x14ac:dyDescent="0.3">
      <c r="D1086" s="23">
        <v>41156</v>
      </c>
      <c r="E1086" s="5">
        <v>113.603157</v>
      </c>
      <c r="F1086" s="28">
        <v>62.320079999999997</v>
      </c>
      <c r="G1086" s="28">
        <v>164.48</v>
      </c>
      <c r="H1086" s="28">
        <v>61.111739999999998</v>
      </c>
      <c r="I1086" s="28">
        <v>58.363869999999999</v>
      </c>
      <c r="J1086" s="29"/>
      <c r="K1086" s="29"/>
      <c r="L1086" s="29"/>
      <c r="M1086" s="29"/>
      <c r="N1086" s="29"/>
      <c r="P1086" s="4">
        <f t="shared" si="69"/>
        <v>-9.2125764431016119E-4</v>
      </c>
      <c r="Q1086" s="4">
        <f t="shared" si="69"/>
        <v>-6.5831900049365458E-4</v>
      </c>
      <c r="R1086" s="4">
        <f t="shared" si="69"/>
        <v>1.5819899861575048E-3</v>
      </c>
      <c r="S1086" s="4">
        <f t="shared" si="69"/>
        <v>-1.0279154756545844E-3</v>
      </c>
      <c r="T1086" s="4">
        <f t="shared" si="69"/>
        <v>-6.9231204147489009E-4</v>
      </c>
      <c r="U1086" s="35"/>
      <c r="V1086" s="35"/>
      <c r="W1086" s="35"/>
      <c r="X1086" s="35"/>
    </row>
    <row r="1087" spans="4:24" x14ac:dyDescent="0.3">
      <c r="D1087" s="23">
        <v>41157</v>
      </c>
      <c r="E1087" s="5">
        <v>113.50644699999999</v>
      </c>
      <c r="F1087" s="28">
        <v>62.320079999999997</v>
      </c>
      <c r="G1087" s="28">
        <v>164.31</v>
      </c>
      <c r="H1087" s="28">
        <v>61.048920000000003</v>
      </c>
      <c r="I1087" s="28">
        <v>58.363869999999999</v>
      </c>
      <c r="J1087" s="29"/>
      <c r="K1087" s="29"/>
      <c r="L1087" s="29"/>
      <c r="M1087" s="29"/>
      <c r="N1087" s="29"/>
      <c r="P1087" s="4">
        <f t="shared" si="69"/>
        <v>-8.5165932344726902E-4</v>
      </c>
      <c r="Q1087" s="4">
        <f t="shared" si="69"/>
        <v>0</v>
      </c>
      <c r="R1087" s="4">
        <f t="shared" si="69"/>
        <v>-1.0340948030605809E-3</v>
      </c>
      <c r="S1087" s="4">
        <f t="shared" si="69"/>
        <v>-1.0284817638910645E-3</v>
      </c>
      <c r="T1087" s="4">
        <f t="shared" si="69"/>
        <v>0</v>
      </c>
      <c r="U1087" s="35"/>
      <c r="V1087" s="35"/>
      <c r="W1087" s="35"/>
      <c r="X1087" s="35"/>
    </row>
    <row r="1088" spans="4:24" x14ac:dyDescent="0.3">
      <c r="D1088" s="23">
        <v>41158</v>
      </c>
      <c r="E1088" s="5">
        <v>115.81028000000001</v>
      </c>
      <c r="F1088" s="28">
        <v>62.173310000000001</v>
      </c>
      <c r="G1088" s="28">
        <v>164.89</v>
      </c>
      <c r="H1088" s="28">
        <v>62.404170000000001</v>
      </c>
      <c r="I1088" s="28">
        <v>59.528570000000002</v>
      </c>
      <c r="J1088" s="29"/>
      <c r="K1088" s="29"/>
      <c r="L1088" s="29"/>
      <c r="M1088" s="29"/>
      <c r="N1088" s="29"/>
      <c r="P1088" s="4">
        <f t="shared" si="69"/>
        <v>2.0093697876167202E-2</v>
      </c>
      <c r="Q1088" s="4">
        <f t="shared" si="69"/>
        <v>-2.3578772816508537E-3</v>
      </c>
      <c r="R1088" s="4">
        <f t="shared" si="69"/>
        <v>3.5236974491371941E-3</v>
      </c>
      <c r="S1088" s="4">
        <f t="shared" si="69"/>
        <v>2.1956590083093599E-2</v>
      </c>
      <c r="T1088" s="4">
        <f t="shared" si="69"/>
        <v>1.9759331376171106E-2</v>
      </c>
      <c r="U1088" s="35"/>
      <c r="V1088" s="35"/>
      <c r="W1088" s="35"/>
      <c r="X1088" s="35"/>
    </row>
    <row r="1089" spans="4:24" x14ac:dyDescent="0.3">
      <c r="D1089" s="23">
        <v>41159</v>
      </c>
      <c r="E1089" s="5">
        <v>116.261375</v>
      </c>
      <c r="F1089" s="28">
        <v>62.173310000000001</v>
      </c>
      <c r="G1089" s="28">
        <v>168.44</v>
      </c>
      <c r="H1089" s="28">
        <v>62.314430000000002</v>
      </c>
      <c r="I1089" s="28">
        <v>59.81973</v>
      </c>
      <c r="J1089" s="29"/>
      <c r="K1089" s="29"/>
      <c r="L1089" s="29"/>
      <c r="M1089" s="29"/>
      <c r="N1089" s="29"/>
      <c r="P1089" s="4">
        <f t="shared" si="69"/>
        <v>3.8875541963049125E-3</v>
      </c>
      <c r="Q1089" s="4">
        <f t="shared" si="69"/>
        <v>0</v>
      </c>
      <c r="R1089" s="4">
        <f t="shared" si="69"/>
        <v>2.130101838085012E-2</v>
      </c>
      <c r="S1089" s="4">
        <f t="shared" si="69"/>
        <v>-1.4390799044770824E-3</v>
      </c>
      <c r="T1089" s="4">
        <f t="shared" si="69"/>
        <v>4.8791742759799047E-3</v>
      </c>
      <c r="U1089" s="35"/>
      <c r="V1089" s="35"/>
      <c r="W1089" s="35"/>
      <c r="X1089" s="35"/>
    </row>
    <row r="1090" spans="4:24" x14ac:dyDescent="0.3">
      <c r="D1090" s="23">
        <v>41162</v>
      </c>
      <c r="E1090" s="5">
        <v>115.60086800000001</v>
      </c>
      <c r="F1090" s="28">
        <v>62.188000000000002</v>
      </c>
      <c r="G1090" s="28">
        <v>167.29</v>
      </c>
      <c r="H1090" s="28">
        <v>61.515619999999998</v>
      </c>
      <c r="I1090" s="28">
        <v>59.463839999999998</v>
      </c>
      <c r="J1090" s="29"/>
      <c r="K1090" s="29"/>
      <c r="L1090" s="29"/>
      <c r="M1090" s="29"/>
      <c r="N1090" s="29"/>
      <c r="P1090" s="4">
        <f t="shared" si="69"/>
        <v>-5.6974242822784901E-3</v>
      </c>
      <c r="Q1090" s="4">
        <f t="shared" si="69"/>
        <v>2.3624711042895293E-4</v>
      </c>
      <c r="R1090" s="4">
        <f t="shared" si="69"/>
        <v>-6.8507699505376768E-3</v>
      </c>
      <c r="S1090" s="4">
        <f t="shared" si="69"/>
        <v>-1.2901893857262618E-2</v>
      </c>
      <c r="T1090" s="4">
        <f t="shared" si="69"/>
        <v>-5.9671429352407043E-3</v>
      </c>
      <c r="U1090" s="35"/>
      <c r="V1090" s="35"/>
      <c r="W1090" s="35"/>
      <c r="X1090" s="35"/>
    </row>
    <row r="1091" spans="4:24" x14ac:dyDescent="0.3">
      <c r="D1091" s="23">
        <v>41163</v>
      </c>
      <c r="E1091" s="5">
        <v>115.92306499999999</v>
      </c>
      <c r="F1091" s="28">
        <v>62.10727</v>
      </c>
      <c r="G1091" s="28">
        <v>167.9</v>
      </c>
      <c r="H1091" s="28">
        <v>61.416890000000002</v>
      </c>
      <c r="I1091" s="28">
        <v>59.593249999999998</v>
      </c>
      <c r="J1091" s="29"/>
      <c r="K1091" s="29"/>
      <c r="L1091" s="29"/>
      <c r="M1091" s="29"/>
      <c r="N1091" s="29"/>
      <c r="P1091" s="4">
        <f t="shared" si="69"/>
        <v>2.7832734509959157E-3</v>
      </c>
      <c r="Q1091" s="4">
        <f t="shared" si="69"/>
        <v>-1.2990037569741925E-3</v>
      </c>
      <c r="R1091" s="4">
        <f t="shared" si="69"/>
        <v>3.639730740305846E-3</v>
      </c>
      <c r="S1091" s="4">
        <f t="shared" si="69"/>
        <v>-1.6062475455386872E-3</v>
      </c>
      <c r="T1091" s="4">
        <f t="shared" si="69"/>
        <v>2.1739159081579991E-3</v>
      </c>
      <c r="U1091" s="35"/>
      <c r="V1091" s="35"/>
      <c r="W1091" s="35"/>
      <c r="X1091" s="35"/>
    </row>
    <row r="1092" spans="4:24" x14ac:dyDescent="0.3">
      <c r="D1092" s="23">
        <v>41164</v>
      </c>
      <c r="E1092" s="5">
        <v>116.309738</v>
      </c>
      <c r="F1092" s="28">
        <v>62.01925</v>
      </c>
      <c r="G1092" s="28">
        <v>167.92</v>
      </c>
      <c r="H1092" s="28">
        <v>61.596380000000003</v>
      </c>
      <c r="I1092" s="28">
        <v>59.843980000000002</v>
      </c>
      <c r="J1092" s="29"/>
      <c r="K1092" s="29"/>
      <c r="L1092" s="29"/>
      <c r="M1092" s="29"/>
      <c r="N1092" s="29"/>
      <c r="P1092" s="4">
        <f t="shared" si="69"/>
        <v>3.3300494359998134E-3</v>
      </c>
      <c r="Q1092" s="4">
        <f t="shared" si="69"/>
        <v>-1.4182306046034436E-3</v>
      </c>
      <c r="R1092" s="4">
        <f t="shared" si="69"/>
        <v>1.1911142888221416E-4</v>
      </c>
      <c r="S1092" s="4">
        <f t="shared" si="69"/>
        <v>2.9182238205440322E-3</v>
      </c>
      <c r="T1092" s="4">
        <f t="shared" si="69"/>
        <v>4.19852952575936E-3</v>
      </c>
      <c r="U1092" s="35"/>
      <c r="V1092" s="35"/>
      <c r="W1092" s="35"/>
      <c r="X1092" s="35"/>
    </row>
    <row r="1093" spans="4:24" x14ac:dyDescent="0.3">
      <c r="D1093" s="23">
        <v>41165</v>
      </c>
      <c r="E1093" s="5">
        <v>118.081879</v>
      </c>
      <c r="F1093" s="28">
        <v>62.143970000000003</v>
      </c>
      <c r="G1093" s="28">
        <v>171.31</v>
      </c>
      <c r="H1093" s="28">
        <v>62.431109999999997</v>
      </c>
      <c r="I1093" s="28">
        <v>60.741759999999999</v>
      </c>
      <c r="J1093" s="29"/>
      <c r="K1093" s="29"/>
      <c r="L1093" s="29"/>
      <c r="M1093" s="29"/>
      <c r="N1093" s="29"/>
      <c r="P1093" s="4">
        <f t="shared" ref="P1093:T1108" si="70">LN(E1093/E1092)</f>
        <v>1.5121485918330207E-2</v>
      </c>
      <c r="Q1093" s="4">
        <f t="shared" si="70"/>
        <v>2.0089691930838542E-3</v>
      </c>
      <c r="R1093" s="4">
        <f t="shared" si="70"/>
        <v>1.9987105229989633E-2</v>
      </c>
      <c r="S1093" s="4">
        <f t="shared" si="70"/>
        <v>1.346060625018994E-2</v>
      </c>
      <c r="T1093" s="4">
        <f t="shared" si="70"/>
        <v>1.4890593011258392E-2</v>
      </c>
      <c r="U1093" s="35"/>
      <c r="V1093" s="35"/>
      <c r="W1093" s="35"/>
      <c r="X1093" s="35"/>
    </row>
    <row r="1094" spans="4:24" x14ac:dyDescent="0.3">
      <c r="D1094" s="23">
        <v>41166</v>
      </c>
      <c r="E1094" s="5">
        <v>118.605453</v>
      </c>
      <c r="F1094" s="28">
        <v>61.835859999999997</v>
      </c>
      <c r="G1094" s="28">
        <v>171.8</v>
      </c>
      <c r="H1094" s="28">
        <v>62.987589999999997</v>
      </c>
      <c r="I1094" s="28">
        <v>61.065280000000001</v>
      </c>
      <c r="J1094" s="29"/>
      <c r="K1094" s="29"/>
      <c r="L1094" s="29"/>
      <c r="M1094" s="29"/>
      <c r="N1094" s="29"/>
      <c r="P1094" s="4">
        <f t="shared" si="70"/>
        <v>4.4241899183051128E-3</v>
      </c>
      <c r="Q1094" s="4">
        <f t="shared" si="70"/>
        <v>-4.9703348407785152E-3</v>
      </c>
      <c r="R1094" s="4">
        <f t="shared" si="70"/>
        <v>2.8562288077879677E-3</v>
      </c>
      <c r="S1094" s="4">
        <f t="shared" si="70"/>
        <v>8.874014031532115E-3</v>
      </c>
      <c r="T1094" s="4">
        <f t="shared" si="70"/>
        <v>5.312020729592983E-3</v>
      </c>
      <c r="U1094" s="35"/>
      <c r="V1094" s="35"/>
      <c r="W1094" s="35"/>
      <c r="X1094" s="35"/>
    </row>
    <row r="1095" spans="4:24" x14ac:dyDescent="0.3">
      <c r="D1095" s="23">
        <v>41169</v>
      </c>
      <c r="E1095" s="5">
        <v>118.202675</v>
      </c>
      <c r="F1095" s="28">
        <v>61.923830000000002</v>
      </c>
      <c r="G1095" s="28">
        <v>170.4</v>
      </c>
      <c r="H1095" s="28">
        <v>63.014499999999998</v>
      </c>
      <c r="I1095" s="28">
        <v>60.81456</v>
      </c>
      <c r="J1095" s="29"/>
      <c r="K1095" s="29"/>
      <c r="L1095" s="29"/>
      <c r="M1095" s="29"/>
      <c r="N1095" s="29"/>
      <c r="P1095" s="4">
        <f t="shared" si="70"/>
        <v>-3.4017277346479738E-3</v>
      </c>
      <c r="Q1095" s="4">
        <f t="shared" si="70"/>
        <v>1.421626295537463E-3</v>
      </c>
      <c r="R1095" s="4">
        <f t="shared" si="70"/>
        <v>-8.1823951549396673E-3</v>
      </c>
      <c r="S1095" s="4">
        <f t="shared" si="70"/>
        <v>4.2713577860706509E-4</v>
      </c>
      <c r="T1095" s="4">
        <f t="shared" si="70"/>
        <v>-4.1142219034358976E-3</v>
      </c>
      <c r="U1095" s="35"/>
      <c r="V1095" s="35"/>
      <c r="W1095" s="35"/>
      <c r="X1095" s="35"/>
    </row>
    <row r="1096" spans="4:24" x14ac:dyDescent="0.3">
      <c r="D1096" s="23">
        <v>41170</v>
      </c>
      <c r="E1096" s="5">
        <v>118.106041</v>
      </c>
      <c r="F1096" s="28">
        <v>61.99727</v>
      </c>
      <c r="G1096" s="28">
        <v>171.72</v>
      </c>
      <c r="H1096" s="28">
        <v>63.068330000000003</v>
      </c>
      <c r="I1096" s="28">
        <v>60.709409999999998</v>
      </c>
      <c r="J1096" s="29"/>
      <c r="K1096" s="29"/>
      <c r="L1096" s="29"/>
      <c r="M1096" s="29"/>
      <c r="N1096" s="29"/>
      <c r="P1096" s="4">
        <f t="shared" si="70"/>
        <v>-8.1786238800030456E-4</v>
      </c>
      <c r="Q1096" s="4">
        <f t="shared" si="70"/>
        <v>1.1852704438192444E-3</v>
      </c>
      <c r="R1096" s="4">
        <f t="shared" si="70"/>
        <v>7.716628961144373E-3</v>
      </c>
      <c r="S1096" s="4">
        <f t="shared" si="70"/>
        <v>8.5388316982889427E-4</v>
      </c>
      <c r="T1096" s="4">
        <f t="shared" si="70"/>
        <v>-1.7305232250255235E-3</v>
      </c>
      <c r="U1096" s="35"/>
      <c r="V1096" s="35"/>
      <c r="W1096" s="35"/>
      <c r="X1096" s="35"/>
    </row>
    <row r="1097" spans="4:24" x14ac:dyDescent="0.3">
      <c r="D1097" s="23">
        <v>41171</v>
      </c>
      <c r="E1097" s="5">
        <v>118.170479</v>
      </c>
      <c r="F1097" s="28">
        <v>62.077939999999998</v>
      </c>
      <c r="G1097" s="28">
        <v>171.74</v>
      </c>
      <c r="H1097" s="28">
        <v>63.185009999999998</v>
      </c>
      <c r="I1097" s="28">
        <v>60.757959999999997</v>
      </c>
      <c r="J1097" s="29"/>
      <c r="K1097" s="29"/>
      <c r="L1097" s="29"/>
      <c r="M1097" s="29"/>
      <c r="N1097" s="29"/>
      <c r="P1097" s="4">
        <f t="shared" si="70"/>
        <v>5.4544566339116642E-4</v>
      </c>
      <c r="Q1097" s="4">
        <f t="shared" si="70"/>
        <v>1.3003405171261805E-3</v>
      </c>
      <c r="R1097" s="4">
        <f t="shared" si="70"/>
        <v>1.1646188797880784E-4</v>
      </c>
      <c r="S1097" s="4">
        <f t="shared" si="70"/>
        <v>1.8483476669795104E-3</v>
      </c>
      <c r="T1097" s="4">
        <f t="shared" si="70"/>
        <v>7.9939168165731847E-4</v>
      </c>
      <c r="U1097" s="35"/>
      <c r="V1097" s="35"/>
      <c r="W1097" s="35"/>
      <c r="X1097" s="35"/>
    </row>
    <row r="1098" spans="4:24" x14ac:dyDescent="0.3">
      <c r="D1098" s="23">
        <v>41172</v>
      </c>
      <c r="E1098" s="5">
        <v>118.178558</v>
      </c>
      <c r="F1098" s="28">
        <v>62.092590000000001</v>
      </c>
      <c r="G1098" s="28">
        <v>171.47</v>
      </c>
      <c r="H1098" s="28">
        <v>63.12218</v>
      </c>
      <c r="I1098" s="28">
        <v>60.677059999999997</v>
      </c>
      <c r="J1098" s="29"/>
      <c r="K1098" s="29"/>
      <c r="L1098" s="29"/>
      <c r="M1098" s="29"/>
      <c r="N1098" s="29"/>
      <c r="P1098" s="4">
        <f t="shared" si="70"/>
        <v>6.8364991926188836E-5</v>
      </c>
      <c r="Q1098" s="4">
        <f t="shared" si="70"/>
        <v>2.3596581359499081E-4</v>
      </c>
      <c r="R1098" s="4">
        <f t="shared" si="70"/>
        <v>-1.5733810535788111E-3</v>
      </c>
      <c r="S1098" s="4">
        <f t="shared" si="70"/>
        <v>-9.9487614572562233E-4</v>
      </c>
      <c r="T1098" s="4">
        <f t="shared" si="70"/>
        <v>-1.3324000270829724E-3</v>
      </c>
      <c r="U1098" s="35"/>
      <c r="V1098" s="35"/>
      <c r="W1098" s="35"/>
      <c r="X1098" s="35"/>
    </row>
    <row r="1099" spans="4:24" x14ac:dyDescent="0.3">
      <c r="D1099" s="23">
        <v>41173</v>
      </c>
      <c r="E1099" s="5">
        <v>118.12911200000001</v>
      </c>
      <c r="F1099" s="28">
        <v>62.158639999999998</v>
      </c>
      <c r="G1099" s="28">
        <v>171.96</v>
      </c>
      <c r="H1099" s="28">
        <v>63.140189999999997</v>
      </c>
      <c r="I1099" s="28">
        <v>60.693240000000003</v>
      </c>
      <c r="J1099" s="29"/>
      <c r="K1099" s="29"/>
      <c r="L1099" s="29"/>
      <c r="M1099" s="29"/>
      <c r="N1099" s="29"/>
      <c r="P1099" s="4">
        <f t="shared" si="70"/>
        <v>-4.1848832686326818E-4</v>
      </c>
      <c r="Q1099" s="4">
        <f t="shared" si="70"/>
        <v>1.0631686498638747E-3</v>
      </c>
      <c r="R1099" s="4">
        <f t="shared" si="70"/>
        <v>2.8535674373208132E-3</v>
      </c>
      <c r="S1099" s="4">
        <f t="shared" si="70"/>
        <v>2.8527898093701318E-4</v>
      </c>
      <c r="T1099" s="4">
        <f t="shared" si="70"/>
        <v>2.6662206645054683E-4</v>
      </c>
      <c r="U1099" s="35"/>
      <c r="V1099" s="35"/>
      <c r="W1099" s="35"/>
      <c r="X1099" s="35"/>
    </row>
    <row r="1100" spans="4:24" x14ac:dyDescent="0.3">
      <c r="D1100" s="23">
        <v>41176</v>
      </c>
      <c r="E1100" s="5">
        <v>117.950943</v>
      </c>
      <c r="F1100" s="28">
        <v>62.22466</v>
      </c>
      <c r="G1100" s="28">
        <v>171.05</v>
      </c>
      <c r="H1100" s="28">
        <v>62.771149999999999</v>
      </c>
      <c r="I1100" s="28">
        <v>60.558320000000002</v>
      </c>
      <c r="J1100" s="29"/>
      <c r="K1100" s="29"/>
      <c r="L1100" s="29"/>
      <c r="M1100" s="29"/>
      <c r="N1100" s="29"/>
      <c r="P1100" s="4">
        <f t="shared" si="70"/>
        <v>-1.5093950552196244E-3</v>
      </c>
      <c r="Q1100" s="4">
        <f t="shared" si="70"/>
        <v>1.0615573987802075E-3</v>
      </c>
      <c r="R1100" s="4">
        <f t="shared" si="70"/>
        <v>-5.3059802044670753E-3</v>
      </c>
      <c r="S1100" s="4">
        <f t="shared" si="70"/>
        <v>-5.8619192957273386E-3</v>
      </c>
      <c r="T1100" s="4">
        <f t="shared" si="70"/>
        <v>-2.225456821906213E-3</v>
      </c>
      <c r="U1100" s="35"/>
      <c r="V1100" s="35"/>
      <c r="W1100" s="35"/>
      <c r="X1100" s="35"/>
    </row>
    <row r="1101" spans="4:24" x14ac:dyDescent="0.3">
      <c r="D1101" s="23">
        <v>41177</v>
      </c>
      <c r="E1101" s="5">
        <v>116.69573200000001</v>
      </c>
      <c r="F1101" s="28">
        <v>62.34939</v>
      </c>
      <c r="G1101" s="28">
        <v>170.77</v>
      </c>
      <c r="H1101" s="28">
        <v>61.889099999999999</v>
      </c>
      <c r="I1101" s="28">
        <v>59.94061</v>
      </c>
      <c r="J1101" s="29"/>
      <c r="K1101" s="29"/>
      <c r="L1101" s="29"/>
      <c r="M1101" s="29"/>
      <c r="N1101" s="29"/>
      <c r="P1101" s="4">
        <f t="shared" si="70"/>
        <v>-1.0698834518983551E-2</v>
      </c>
      <c r="Q1101" s="4">
        <f t="shared" si="70"/>
        <v>2.0025044008902281E-3</v>
      </c>
      <c r="R1101" s="4">
        <f t="shared" si="70"/>
        <v>-1.6382895244660188E-3</v>
      </c>
      <c r="S1101" s="4">
        <f t="shared" si="70"/>
        <v>-1.4151499299220698E-2</v>
      </c>
      <c r="T1101" s="4">
        <f t="shared" si="70"/>
        <v>-1.0252628980935503E-2</v>
      </c>
      <c r="U1101" s="35"/>
      <c r="V1101" s="35"/>
      <c r="W1101" s="35"/>
      <c r="X1101" s="35"/>
    </row>
    <row r="1102" spans="4:24" x14ac:dyDescent="0.3">
      <c r="D1102" s="23">
        <v>41178</v>
      </c>
      <c r="E1102" s="5">
        <v>116.03976400000001</v>
      </c>
      <c r="F1102" s="28">
        <v>62.452159999999999</v>
      </c>
      <c r="G1102" s="28">
        <v>169.81</v>
      </c>
      <c r="H1102" s="28">
        <v>61.385039999999996</v>
      </c>
      <c r="I1102" s="28">
        <v>59.542360000000002</v>
      </c>
      <c r="J1102" s="29"/>
      <c r="K1102" s="29"/>
      <c r="L1102" s="29"/>
      <c r="M1102" s="29"/>
      <c r="N1102" s="29"/>
      <c r="P1102" s="4">
        <f t="shared" si="70"/>
        <v>-5.637040746159617E-3</v>
      </c>
      <c r="Q1102" s="4">
        <f t="shared" si="70"/>
        <v>1.6469350457491659E-3</v>
      </c>
      <c r="R1102" s="4">
        <f t="shared" si="70"/>
        <v>-5.6374569409379759E-3</v>
      </c>
      <c r="S1102" s="4">
        <f t="shared" si="70"/>
        <v>-8.1779164587252456E-3</v>
      </c>
      <c r="T1102" s="4">
        <f t="shared" si="70"/>
        <v>-6.6662466594705422E-3</v>
      </c>
      <c r="U1102" s="35"/>
      <c r="V1102" s="35"/>
      <c r="W1102" s="35"/>
      <c r="X1102" s="35"/>
    </row>
    <row r="1103" spans="4:24" x14ac:dyDescent="0.3">
      <c r="D1103" s="23">
        <v>41179</v>
      </c>
      <c r="E1103" s="5">
        <v>117.13305699999999</v>
      </c>
      <c r="F1103" s="28">
        <v>62.415439999999997</v>
      </c>
      <c r="G1103" s="28">
        <v>172.34</v>
      </c>
      <c r="H1103" s="28">
        <v>62.23113</v>
      </c>
      <c r="I1103" s="28">
        <v>60.135680000000001</v>
      </c>
      <c r="J1103" s="29"/>
      <c r="K1103" s="29"/>
      <c r="L1103" s="29"/>
      <c r="M1103" s="29"/>
      <c r="N1103" s="29"/>
      <c r="P1103" s="4">
        <f t="shared" si="70"/>
        <v>9.3776024775348438E-3</v>
      </c>
      <c r="Q1103" s="4">
        <f t="shared" si="70"/>
        <v>-5.8814297797820303E-4</v>
      </c>
      <c r="R1103" s="4">
        <f t="shared" si="70"/>
        <v>1.4789104853410933E-2</v>
      </c>
      <c r="S1103" s="4">
        <f t="shared" si="70"/>
        <v>1.3689199603163496E-2</v>
      </c>
      <c r="T1103" s="4">
        <f t="shared" si="70"/>
        <v>9.9153505684526147E-3</v>
      </c>
      <c r="U1103" s="35"/>
      <c r="V1103" s="35"/>
      <c r="W1103" s="35"/>
      <c r="X1103" s="35"/>
    </row>
    <row r="1104" spans="4:24" x14ac:dyDescent="0.3">
      <c r="D1104" s="23">
        <v>41180</v>
      </c>
      <c r="E1104" s="5">
        <v>116.59050000000001</v>
      </c>
      <c r="F1104" s="28">
        <v>62.47419</v>
      </c>
      <c r="G1104" s="28">
        <v>171.89</v>
      </c>
      <c r="H1104" s="28">
        <v>61.718060000000001</v>
      </c>
      <c r="I1104" s="28">
        <v>59.859340000000003</v>
      </c>
      <c r="J1104" s="29"/>
      <c r="K1104" s="29"/>
      <c r="L1104" s="29"/>
      <c r="M1104" s="29"/>
      <c r="N1104" s="29"/>
      <c r="P1104" s="4">
        <f t="shared" si="70"/>
        <v>-4.6427324787467169E-3</v>
      </c>
      <c r="Q1104" s="4">
        <f t="shared" si="70"/>
        <v>9.4083078528800533E-4</v>
      </c>
      <c r="R1104" s="4">
        <f t="shared" si="70"/>
        <v>-2.6145324715553496E-3</v>
      </c>
      <c r="S1104" s="4">
        <f t="shared" si="70"/>
        <v>-8.278762134577719E-3</v>
      </c>
      <c r="T1104" s="4">
        <f t="shared" si="70"/>
        <v>-4.6058659521522691E-3</v>
      </c>
      <c r="U1104" s="35"/>
      <c r="V1104" s="35"/>
      <c r="W1104" s="35"/>
      <c r="X1104" s="35"/>
    </row>
    <row r="1105" spans="4:24" x14ac:dyDescent="0.3">
      <c r="D1105" s="23">
        <v>41183</v>
      </c>
      <c r="E1105" s="5">
        <v>116.89816999999999</v>
      </c>
      <c r="F1105" s="28">
        <v>62.5212</v>
      </c>
      <c r="G1105" s="28">
        <v>172.29</v>
      </c>
      <c r="H1105" s="28">
        <v>61.628059999999998</v>
      </c>
      <c r="I1105" s="28">
        <v>59.965009999999999</v>
      </c>
      <c r="J1105" s="29"/>
      <c r="K1105" s="29"/>
      <c r="L1105" s="29"/>
      <c r="M1105" s="29"/>
      <c r="N1105" s="29"/>
      <c r="P1105" s="4">
        <f t="shared" si="70"/>
        <v>2.6354184815479773E-3</v>
      </c>
      <c r="Q1105" s="4">
        <f t="shared" si="70"/>
        <v>7.5218777614879234E-4</v>
      </c>
      <c r="R1105" s="4">
        <f t="shared" si="70"/>
        <v>2.3243662042493978E-3</v>
      </c>
      <c r="S1105" s="4">
        <f t="shared" si="70"/>
        <v>-1.4593084236758018E-3</v>
      </c>
      <c r="T1105" s="4">
        <f t="shared" si="70"/>
        <v>1.763748810542675E-3</v>
      </c>
      <c r="U1105" s="35"/>
      <c r="V1105" s="35"/>
      <c r="W1105" s="35"/>
      <c r="X1105" s="35"/>
    </row>
    <row r="1106" spans="4:24" x14ac:dyDescent="0.3">
      <c r="D1106" s="23">
        <v>41184</v>
      </c>
      <c r="E1106" s="5">
        <v>117.01966899999999</v>
      </c>
      <c r="F1106" s="28">
        <v>62.5212</v>
      </c>
      <c r="G1106" s="28">
        <v>172.1</v>
      </c>
      <c r="H1106" s="28">
        <v>61.808059999999998</v>
      </c>
      <c r="I1106" s="28">
        <v>60.054409999999997</v>
      </c>
      <c r="J1106" s="29"/>
      <c r="K1106" s="29"/>
      <c r="L1106" s="29"/>
      <c r="M1106" s="29"/>
      <c r="N1106" s="29"/>
      <c r="P1106" s="4">
        <f t="shared" si="70"/>
        <v>1.0388178297614315E-3</v>
      </c>
      <c r="Q1106" s="4">
        <f t="shared" si="70"/>
        <v>0</v>
      </c>
      <c r="R1106" s="4">
        <f t="shared" si="70"/>
        <v>-1.1034003268211342E-3</v>
      </c>
      <c r="S1106" s="4">
        <f t="shared" si="70"/>
        <v>2.9164903690869198E-3</v>
      </c>
      <c r="T1106" s="4">
        <f t="shared" si="70"/>
        <v>1.489759182878918E-3</v>
      </c>
      <c r="U1106" s="35"/>
      <c r="V1106" s="35"/>
      <c r="W1106" s="35"/>
      <c r="X1106" s="35"/>
    </row>
    <row r="1107" spans="4:24" x14ac:dyDescent="0.3">
      <c r="D1107" s="23">
        <v>41185</v>
      </c>
      <c r="E1107" s="5">
        <v>117.49745900000001</v>
      </c>
      <c r="F1107" s="28">
        <v>62.499110000000002</v>
      </c>
      <c r="G1107" s="28">
        <v>172.41</v>
      </c>
      <c r="H1107" s="28">
        <v>62.204099999999997</v>
      </c>
      <c r="I1107" s="28">
        <v>60.273850000000003</v>
      </c>
      <c r="J1107" s="29"/>
      <c r="K1107" s="29"/>
      <c r="L1107" s="29"/>
      <c r="M1107" s="29"/>
      <c r="N1107" s="29"/>
      <c r="P1107" s="4">
        <f t="shared" si="70"/>
        <v>4.074676038685914E-3</v>
      </c>
      <c r="Q1107" s="4">
        <f t="shared" si="70"/>
        <v>-3.5338258607554379E-4</v>
      </c>
      <c r="R1107" s="4">
        <f t="shared" si="70"/>
        <v>1.7996579702661984E-3</v>
      </c>
      <c r="S1107" s="4">
        <f t="shared" si="70"/>
        <v>6.3871372998796109E-3</v>
      </c>
      <c r="T1107" s="4">
        <f t="shared" si="70"/>
        <v>3.647360034488705E-3</v>
      </c>
      <c r="U1107" s="35"/>
      <c r="V1107" s="35"/>
      <c r="W1107" s="35"/>
      <c r="X1107" s="35"/>
    </row>
    <row r="1108" spans="4:24" x14ac:dyDescent="0.3">
      <c r="D1108" s="23">
        <v>41186</v>
      </c>
      <c r="E1108" s="5">
        <v>118.339699</v>
      </c>
      <c r="F1108" s="28">
        <v>62.396189999999997</v>
      </c>
      <c r="G1108" s="28">
        <v>173.61</v>
      </c>
      <c r="H1108" s="28">
        <v>62.420140000000004</v>
      </c>
      <c r="I1108" s="28">
        <v>60.729010000000002</v>
      </c>
      <c r="J1108" s="29"/>
      <c r="K1108" s="29"/>
      <c r="L1108" s="29"/>
      <c r="M1108" s="29"/>
      <c r="N1108" s="29"/>
      <c r="P1108" s="4">
        <f t="shared" si="70"/>
        <v>7.1425859081746257E-3</v>
      </c>
      <c r="Q1108" s="4">
        <f t="shared" si="70"/>
        <v>-1.6481008219886004E-3</v>
      </c>
      <c r="R1108" s="4">
        <f t="shared" si="70"/>
        <v>6.9360430660972581E-3</v>
      </c>
      <c r="S1108" s="4">
        <f t="shared" si="70"/>
        <v>3.4670657395357829E-3</v>
      </c>
      <c r="T1108" s="4">
        <f t="shared" si="70"/>
        <v>7.5231634485279659E-3</v>
      </c>
      <c r="U1108" s="35"/>
      <c r="V1108" s="35"/>
      <c r="W1108" s="35"/>
      <c r="X1108" s="35"/>
    </row>
    <row r="1109" spans="4:24" x14ac:dyDescent="0.3">
      <c r="D1109" s="23">
        <v>41187</v>
      </c>
      <c r="E1109" s="5">
        <v>118.347824</v>
      </c>
      <c r="F1109" s="28">
        <v>62.330060000000003</v>
      </c>
      <c r="G1109" s="28">
        <v>172.62</v>
      </c>
      <c r="H1109" s="28">
        <v>62.0871</v>
      </c>
      <c r="I1109" s="28">
        <v>60.712719999999997</v>
      </c>
      <c r="J1109" s="29"/>
      <c r="K1109" s="29"/>
      <c r="L1109" s="29"/>
      <c r="M1109" s="29"/>
      <c r="N1109" s="29"/>
      <c r="P1109" s="4">
        <f t="shared" ref="P1109:T1124" si="71">LN(E1109/E1108)</f>
        <v>6.8655921530693414E-5</v>
      </c>
      <c r="Q1109" s="4">
        <f t="shared" si="71"/>
        <v>-1.0604023803596719E-3</v>
      </c>
      <c r="R1109" s="4">
        <f t="shared" si="71"/>
        <v>-5.7187574623456319E-3</v>
      </c>
      <c r="S1109" s="4">
        <f t="shared" si="71"/>
        <v>-5.3497418189133337E-3</v>
      </c>
      <c r="T1109" s="4">
        <f t="shared" si="71"/>
        <v>-2.6827681222439496E-4</v>
      </c>
      <c r="U1109" s="35"/>
      <c r="V1109" s="35"/>
      <c r="W1109" s="35"/>
      <c r="X1109" s="35"/>
    </row>
    <row r="1110" spans="4:24" x14ac:dyDescent="0.3">
      <c r="D1110" s="23">
        <v>41190</v>
      </c>
      <c r="E1110" s="5">
        <v>117.942902</v>
      </c>
      <c r="F1110" s="28">
        <v>62.410899999999998</v>
      </c>
      <c r="G1110" s="28">
        <v>172.05</v>
      </c>
      <c r="H1110" s="28">
        <v>61.520040000000002</v>
      </c>
      <c r="I1110" s="28">
        <v>60.477040000000002</v>
      </c>
      <c r="J1110" s="29"/>
      <c r="K1110" s="29"/>
      <c r="L1110" s="29"/>
      <c r="M1110" s="29"/>
      <c r="N1110" s="29"/>
      <c r="P1110" s="4">
        <f t="shared" si="71"/>
        <v>-3.4273236467989299E-3</v>
      </c>
      <c r="Q1110" s="4">
        <f t="shared" si="71"/>
        <v>1.296126169258545E-3</v>
      </c>
      <c r="R1110" s="4">
        <f t="shared" si="71"/>
        <v>-3.3075145480220966E-3</v>
      </c>
      <c r="S1110" s="4">
        <f t="shared" si="71"/>
        <v>-9.1752624998438954E-3</v>
      </c>
      <c r="T1110" s="4">
        <f t="shared" si="71"/>
        <v>-3.8894424266402773E-3</v>
      </c>
      <c r="U1110" s="35"/>
      <c r="V1110" s="35"/>
      <c r="W1110" s="35"/>
      <c r="X1110" s="35"/>
    </row>
    <row r="1111" spans="4:24" x14ac:dyDescent="0.3">
      <c r="D1111" s="23">
        <v>41191</v>
      </c>
      <c r="E1111" s="5">
        <v>116.776726</v>
      </c>
      <c r="F1111" s="28">
        <v>62.300609999999999</v>
      </c>
      <c r="G1111" s="28">
        <v>170.99</v>
      </c>
      <c r="H1111" s="28">
        <v>60.538989999999998</v>
      </c>
      <c r="I1111" s="28">
        <v>59.867489999999997</v>
      </c>
      <c r="J1111" s="29"/>
      <c r="K1111" s="29"/>
      <c r="L1111" s="29"/>
      <c r="M1111" s="29"/>
      <c r="N1111" s="29"/>
      <c r="P1111" s="4">
        <f t="shared" si="71"/>
        <v>-9.9368391615219983E-3</v>
      </c>
      <c r="Q1111" s="4">
        <f t="shared" si="71"/>
        <v>-1.7687225301403436E-3</v>
      </c>
      <c r="R1111" s="4">
        <f t="shared" si="71"/>
        <v>-6.1800569829877612E-3</v>
      </c>
      <c r="S1111" s="4">
        <f t="shared" si="71"/>
        <v>-1.6075355122500298E-2</v>
      </c>
      <c r="T1111" s="4">
        <f t="shared" si="71"/>
        <v>-1.0130168985261676E-2</v>
      </c>
      <c r="U1111" s="35"/>
      <c r="V1111" s="35"/>
      <c r="W1111" s="35"/>
      <c r="X1111" s="35"/>
    </row>
    <row r="1112" spans="4:24" x14ac:dyDescent="0.3">
      <c r="D1112" s="23">
        <v>41192</v>
      </c>
      <c r="E1112" s="5">
        <v>116.031693</v>
      </c>
      <c r="F1112" s="28">
        <v>62.396189999999997</v>
      </c>
      <c r="G1112" s="28">
        <v>170.84</v>
      </c>
      <c r="H1112" s="28">
        <v>60.232950000000002</v>
      </c>
      <c r="I1112" s="28">
        <v>59.518009999999997</v>
      </c>
      <c r="J1112" s="29"/>
      <c r="K1112" s="29"/>
      <c r="L1112" s="29"/>
      <c r="M1112" s="29"/>
      <c r="N1112" s="29"/>
      <c r="P1112" s="4">
        <f t="shared" si="71"/>
        <v>-6.4004175328045204E-3</v>
      </c>
      <c r="Q1112" s="4">
        <f t="shared" si="71"/>
        <v>1.5329987412415534E-3</v>
      </c>
      <c r="R1112" s="4">
        <f t="shared" si="71"/>
        <v>-8.7762928723592514E-4</v>
      </c>
      <c r="S1112" s="4">
        <f t="shared" si="71"/>
        <v>-5.0680754993711686E-3</v>
      </c>
      <c r="T1112" s="4">
        <f t="shared" si="71"/>
        <v>-5.8546640632670633E-3</v>
      </c>
      <c r="U1112" s="35"/>
      <c r="V1112" s="35"/>
      <c r="W1112" s="35"/>
      <c r="X1112" s="35"/>
    </row>
    <row r="1113" spans="4:24" x14ac:dyDescent="0.3">
      <c r="D1113" s="23">
        <v>41193</v>
      </c>
      <c r="E1113" s="5">
        <v>116.096428</v>
      </c>
      <c r="F1113" s="28">
        <v>62.447690000000001</v>
      </c>
      <c r="G1113" s="28">
        <v>171.32</v>
      </c>
      <c r="H1113" s="28">
        <v>60.04392</v>
      </c>
      <c r="I1113" s="28">
        <v>59.607370000000003</v>
      </c>
      <c r="J1113" s="29"/>
      <c r="K1113" s="29"/>
      <c r="L1113" s="29"/>
      <c r="M1113" s="29"/>
      <c r="N1113" s="29"/>
      <c r="P1113" s="4">
        <f t="shared" si="71"/>
        <v>5.5775234296746206E-4</v>
      </c>
      <c r="Q1113" s="4">
        <f t="shared" si="71"/>
        <v>8.250304768040043E-4</v>
      </c>
      <c r="R1113" s="4">
        <f t="shared" si="71"/>
        <v>2.8057067739044633E-3</v>
      </c>
      <c r="S1113" s="4">
        <f t="shared" si="71"/>
        <v>-3.1432503295942544E-3</v>
      </c>
      <c r="T1113" s="4">
        <f t="shared" si="71"/>
        <v>1.5002683183214464E-3</v>
      </c>
      <c r="U1113" s="35"/>
      <c r="V1113" s="35"/>
      <c r="W1113" s="35"/>
      <c r="X1113" s="35"/>
    </row>
    <row r="1114" spans="4:24" x14ac:dyDescent="0.3">
      <c r="D1114" s="23">
        <v>41194</v>
      </c>
      <c r="E1114" s="5">
        <v>115.715874</v>
      </c>
      <c r="F1114" s="28">
        <v>62.491779999999999</v>
      </c>
      <c r="G1114" s="28">
        <v>170.06</v>
      </c>
      <c r="H1114" s="28">
        <v>60.016930000000002</v>
      </c>
      <c r="I1114" s="28">
        <v>59.347320000000003</v>
      </c>
      <c r="J1114" s="29"/>
      <c r="K1114" s="29"/>
      <c r="L1114" s="29"/>
      <c r="M1114" s="29"/>
      <c r="N1114" s="29"/>
      <c r="P1114" s="4">
        <f t="shared" si="71"/>
        <v>-3.2832972071134853E-3</v>
      </c>
      <c r="Q1114" s="4">
        <f t="shared" si="71"/>
        <v>7.0578179706068985E-4</v>
      </c>
      <c r="R1114" s="4">
        <f t="shared" si="71"/>
        <v>-7.3818367895237417E-3</v>
      </c>
      <c r="S1114" s="4">
        <f t="shared" si="71"/>
        <v>-4.4960535352959422E-4</v>
      </c>
      <c r="T1114" s="4">
        <f t="shared" si="71"/>
        <v>-4.3722599634155911E-3</v>
      </c>
      <c r="U1114" s="35"/>
      <c r="V1114" s="35"/>
      <c r="W1114" s="35"/>
      <c r="X1114" s="35"/>
    </row>
    <row r="1115" spans="4:24" x14ac:dyDescent="0.3">
      <c r="D1115" s="23">
        <v>41197</v>
      </c>
      <c r="E1115" s="5">
        <v>116.679543</v>
      </c>
      <c r="F1115" s="28">
        <v>62.469720000000002</v>
      </c>
      <c r="G1115" s="28">
        <v>168.35</v>
      </c>
      <c r="H1115" s="28">
        <v>60.457970000000003</v>
      </c>
      <c r="I1115" s="28">
        <v>59.834960000000002</v>
      </c>
      <c r="J1115" s="29"/>
      <c r="K1115" s="29"/>
      <c r="L1115" s="29"/>
      <c r="M1115" s="29"/>
      <c r="N1115" s="29"/>
      <c r="P1115" s="4">
        <f t="shared" si="71"/>
        <v>8.2934038537180281E-3</v>
      </c>
      <c r="Q1115" s="4">
        <f t="shared" si="71"/>
        <v>-3.5306874884122693E-4</v>
      </c>
      <c r="R1115" s="4">
        <f t="shared" si="71"/>
        <v>-1.0106170350563019E-2</v>
      </c>
      <c r="S1115" s="4">
        <f t="shared" si="71"/>
        <v>7.3217237824256256E-3</v>
      </c>
      <c r="T1115" s="4">
        <f t="shared" si="71"/>
        <v>8.183141339176761E-3</v>
      </c>
      <c r="U1115" s="35"/>
      <c r="V1115" s="35"/>
      <c r="W1115" s="35"/>
      <c r="X1115" s="35"/>
    </row>
    <row r="1116" spans="4:24" x14ac:dyDescent="0.3">
      <c r="D1116" s="23">
        <v>41198</v>
      </c>
      <c r="E1116" s="5">
        <v>117.86187700000001</v>
      </c>
      <c r="F1116" s="28">
        <v>62.344769999999997</v>
      </c>
      <c r="G1116" s="28">
        <v>169.42</v>
      </c>
      <c r="H1116" s="28">
        <v>61.313049999999997</v>
      </c>
      <c r="I1116" s="28">
        <v>60.452680000000001</v>
      </c>
      <c r="J1116" s="29"/>
      <c r="K1116" s="29"/>
      <c r="L1116" s="29"/>
      <c r="M1116" s="29"/>
      <c r="N1116" s="29"/>
      <c r="P1116" s="4">
        <f t="shared" si="71"/>
        <v>1.0082176660868655E-2</v>
      </c>
      <c r="Q1116" s="4">
        <f t="shared" si="71"/>
        <v>-2.0021720513462215E-3</v>
      </c>
      <c r="R1116" s="4">
        <f t="shared" si="71"/>
        <v>6.3356933963212613E-3</v>
      </c>
      <c r="S1116" s="4">
        <f t="shared" si="71"/>
        <v>1.4044294854009943E-2</v>
      </c>
      <c r="T1116" s="4">
        <f t="shared" si="71"/>
        <v>1.0270804718334406E-2</v>
      </c>
      <c r="U1116" s="35"/>
      <c r="V1116" s="35"/>
      <c r="W1116" s="35"/>
      <c r="X1116" s="35"/>
    </row>
    <row r="1117" spans="4:24" x14ac:dyDescent="0.3">
      <c r="D1117" s="23">
        <v>41199</v>
      </c>
      <c r="E1117" s="5">
        <v>118.396355</v>
      </c>
      <c r="F1117" s="28">
        <v>62.190370000000001</v>
      </c>
      <c r="G1117" s="28">
        <v>169.54</v>
      </c>
      <c r="H1117" s="28">
        <v>61.27704</v>
      </c>
      <c r="I1117" s="28">
        <v>60.737130000000001</v>
      </c>
      <c r="J1117" s="29"/>
      <c r="K1117" s="29"/>
      <c r="L1117" s="29"/>
      <c r="M1117" s="29"/>
      <c r="N1117" s="29"/>
      <c r="P1117" s="4">
        <f t="shared" si="71"/>
        <v>4.5245315455655945E-3</v>
      </c>
      <c r="Q1117" s="4">
        <f t="shared" si="71"/>
        <v>-2.4796226849876394E-3</v>
      </c>
      <c r="R1117" s="4">
        <f t="shared" si="71"/>
        <v>7.080481768546754E-4</v>
      </c>
      <c r="S1117" s="4">
        <f t="shared" si="71"/>
        <v>-5.8748633002399014E-4</v>
      </c>
      <c r="T1117" s="4">
        <f t="shared" si="71"/>
        <v>4.694297686497516E-3</v>
      </c>
      <c r="U1117" s="35"/>
      <c r="V1117" s="35"/>
      <c r="W1117" s="35"/>
      <c r="X1117" s="35"/>
    </row>
    <row r="1118" spans="4:24" x14ac:dyDescent="0.3">
      <c r="D1118" s="23">
        <v>41200</v>
      </c>
      <c r="E1118" s="5">
        <v>118.088661</v>
      </c>
      <c r="F1118" s="28">
        <v>62.16095</v>
      </c>
      <c r="G1118" s="28">
        <v>168.79</v>
      </c>
      <c r="H1118" s="28">
        <v>60.565959999999997</v>
      </c>
      <c r="I1118" s="28">
        <v>60.615209999999998</v>
      </c>
      <c r="J1118" s="29"/>
      <c r="K1118" s="29"/>
      <c r="L1118" s="29"/>
      <c r="M1118" s="29"/>
      <c r="N1118" s="29"/>
      <c r="P1118" s="4">
        <f t="shared" si="71"/>
        <v>-2.6022297635271935E-3</v>
      </c>
      <c r="Q1118" s="4">
        <f t="shared" si="71"/>
        <v>-4.7317552477795308E-4</v>
      </c>
      <c r="R1118" s="4">
        <f t="shared" si="71"/>
        <v>-4.4335484794230367E-3</v>
      </c>
      <c r="S1118" s="4">
        <f t="shared" si="71"/>
        <v>-1.167220231163252E-2</v>
      </c>
      <c r="T1118" s="4">
        <f t="shared" si="71"/>
        <v>-2.0093562434992979E-3</v>
      </c>
      <c r="U1118" s="35"/>
      <c r="V1118" s="35"/>
      <c r="W1118" s="35"/>
      <c r="X1118" s="35"/>
    </row>
    <row r="1119" spans="4:24" x14ac:dyDescent="0.3">
      <c r="D1119" s="23">
        <v>41201</v>
      </c>
      <c r="E1119" s="5">
        <v>116.120743</v>
      </c>
      <c r="F1119" s="28">
        <v>62.256549999999997</v>
      </c>
      <c r="G1119" s="28">
        <v>166.97</v>
      </c>
      <c r="H1119" s="28">
        <v>59.116849999999999</v>
      </c>
      <c r="I1119" s="28">
        <v>59.566780000000001</v>
      </c>
      <c r="J1119" s="29"/>
      <c r="K1119" s="29"/>
      <c r="L1119" s="29"/>
      <c r="M1119" s="29"/>
      <c r="N1119" s="29"/>
      <c r="P1119" s="4">
        <f t="shared" si="71"/>
        <v>-1.6805169050343422E-2</v>
      </c>
      <c r="Q1119" s="4">
        <f t="shared" si="71"/>
        <v>1.5367616101329923E-3</v>
      </c>
      <c r="R1119" s="4">
        <f t="shared" si="71"/>
        <v>-1.0841183139970716E-2</v>
      </c>
      <c r="S1119" s="4">
        <f t="shared" si="71"/>
        <v>-2.4217025323014989E-2</v>
      </c>
      <c r="T1119" s="4">
        <f t="shared" si="71"/>
        <v>-1.7447815555964138E-2</v>
      </c>
      <c r="U1119" s="35"/>
      <c r="V1119" s="35"/>
      <c r="W1119" s="35"/>
      <c r="X1119" s="35"/>
    </row>
    <row r="1120" spans="4:24" x14ac:dyDescent="0.3">
      <c r="D1120" s="23">
        <v>41204</v>
      </c>
      <c r="E1120" s="5">
        <v>116.136993</v>
      </c>
      <c r="F1120" s="28">
        <v>62.16825</v>
      </c>
      <c r="G1120" s="28">
        <v>167.58</v>
      </c>
      <c r="H1120" s="28">
        <v>59.422899999999998</v>
      </c>
      <c r="I1120" s="28">
        <v>59.566780000000001</v>
      </c>
      <c r="J1120" s="29"/>
      <c r="K1120" s="29"/>
      <c r="L1120" s="29"/>
      <c r="M1120" s="29"/>
      <c r="N1120" s="29"/>
      <c r="P1120" s="4">
        <f t="shared" si="71"/>
        <v>1.3993075370805102E-4</v>
      </c>
      <c r="Q1120" s="4">
        <f t="shared" si="71"/>
        <v>-1.419331432694597E-3</v>
      </c>
      <c r="R1120" s="4">
        <f t="shared" si="71"/>
        <v>3.6466936242748145E-3</v>
      </c>
      <c r="S1120" s="4">
        <f t="shared" si="71"/>
        <v>5.1636802006487324E-3</v>
      </c>
      <c r="T1120" s="4">
        <f t="shared" si="71"/>
        <v>0</v>
      </c>
      <c r="U1120" s="35"/>
      <c r="V1120" s="35"/>
      <c r="W1120" s="35"/>
      <c r="X1120" s="35"/>
    </row>
    <row r="1121" spans="4:24" x14ac:dyDescent="0.3">
      <c r="D1121" s="23">
        <v>41205</v>
      </c>
      <c r="E1121" s="5">
        <v>114.525406</v>
      </c>
      <c r="F1121" s="28">
        <v>62.307989999999997</v>
      </c>
      <c r="G1121" s="28">
        <v>165.43</v>
      </c>
      <c r="H1121" s="28">
        <v>58.855820000000001</v>
      </c>
      <c r="I1121" s="28">
        <v>58.810899999999997</v>
      </c>
      <c r="J1121" s="29"/>
      <c r="K1121" s="29"/>
      <c r="L1121" s="29"/>
      <c r="M1121" s="29"/>
      <c r="N1121" s="29"/>
      <c r="P1121" s="4">
        <f t="shared" si="71"/>
        <v>-1.3973783598871456E-2</v>
      </c>
      <c r="Q1121" s="4">
        <f t="shared" si="71"/>
        <v>2.2452487109842971E-3</v>
      </c>
      <c r="R1121" s="4">
        <f t="shared" si="71"/>
        <v>-1.2912704566215851E-2</v>
      </c>
      <c r="S1121" s="4">
        <f t="shared" si="71"/>
        <v>-9.5889496461783429E-3</v>
      </c>
      <c r="T1121" s="4">
        <f t="shared" si="71"/>
        <v>-1.2770824250992583E-2</v>
      </c>
      <c r="U1121" s="35"/>
      <c r="V1121" s="35"/>
      <c r="W1121" s="35"/>
      <c r="X1121" s="35"/>
    </row>
    <row r="1122" spans="4:24" x14ac:dyDescent="0.3">
      <c r="D1122" s="23">
        <v>41206</v>
      </c>
      <c r="E1122" s="5">
        <v>114.201477</v>
      </c>
      <c r="F1122" s="28">
        <v>62.278599999999997</v>
      </c>
      <c r="G1122" s="28">
        <v>164.86</v>
      </c>
      <c r="H1122" s="28">
        <v>58.648820000000001</v>
      </c>
      <c r="I1122" s="28">
        <v>58.648359999999997</v>
      </c>
      <c r="J1122" s="29"/>
      <c r="K1122" s="29"/>
      <c r="L1122" s="29"/>
      <c r="M1122" s="29"/>
      <c r="N1122" s="29"/>
      <c r="P1122" s="4">
        <f t="shared" si="71"/>
        <v>-2.8324542556550842E-3</v>
      </c>
      <c r="Q1122" s="4">
        <f t="shared" si="71"/>
        <v>-4.7180038469910377E-4</v>
      </c>
      <c r="R1122" s="4">
        <f t="shared" si="71"/>
        <v>-3.4515157338431304E-3</v>
      </c>
      <c r="S1122" s="4">
        <f t="shared" si="71"/>
        <v>-3.5232687684758758E-3</v>
      </c>
      <c r="T1122" s="4">
        <f t="shared" si="71"/>
        <v>-2.767599655393312E-3</v>
      </c>
      <c r="U1122" s="35"/>
      <c r="V1122" s="35"/>
      <c r="W1122" s="35"/>
      <c r="X1122" s="35"/>
    </row>
    <row r="1123" spans="4:24" x14ac:dyDescent="0.3">
      <c r="D1123" s="23">
        <v>41207</v>
      </c>
      <c r="E1123" s="5">
        <v>114.533501</v>
      </c>
      <c r="F1123" s="28">
        <v>62.175669999999997</v>
      </c>
      <c r="G1123" s="28">
        <v>166.02</v>
      </c>
      <c r="H1123" s="28">
        <v>58.648820000000001</v>
      </c>
      <c r="I1123" s="28">
        <v>58.810899999999997</v>
      </c>
      <c r="J1123" s="29"/>
      <c r="K1123" s="29"/>
      <c r="L1123" s="29"/>
      <c r="M1123" s="29"/>
      <c r="N1123" s="29"/>
      <c r="P1123" s="4">
        <f t="shared" si="71"/>
        <v>2.9031347640830502E-3</v>
      </c>
      <c r="Q1123" s="4">
        <f t="shared" si="71"/>
        <v>-1.6541019198215317E-3</v>
      </c>
      <c r="R1123" s="4">
        <f t="shared" si="71"/>
        <v>7.0116341418081226E-3</v>
      </c>
      <c r="S1123" s="4">
        <f t="shared" si="71"/>
        <v>0</v>
      </c>
      <c r="T1123" s="4">
        <f t="shared" si="71"/>
        <v>2.767599655393384E-3</v>
      </c>
      <c r="U1123" s="35"/>
      <c r="V1123" s="35"/>
      <c r="W1123" s="35"/>
      <c r="X1123" s="35"/>
    </row>
    <row r="1124" spans="4:24" x14ac:dyDescent="0.3">
      <c r="D1124" s="23">
        <v>41208</v>
      </c>
      <c r="E1124" s="5">
        <v>114.468735</v>
      </c>
      <c r="F1124" s="28">
        <v>62.307989999999997</v>
      </c>
      <c r="G1124" s="28">
        <v>165.93</v>
      </c>
      <c r="H1124" s="28">
        <v>58.819839999999999</v>
      </c>
      <c r="I1124" s="28">
        <v>58.745890000000003</v>
      </c>
      <c r="J1124" s="29"/>
      <c r="K1124" s="29"/>
      <c r="L1124" s="29"/>
      <c r="M1124" s="29"/>
      <c r="N1124" s="29"/>
      <c r="P1124" s="4">
        <f t="shared" si="71"/>
        <v>-5.6563641349596566E-4</v>
      </c>
      <c r="Q1124" s="4">
        <f t="shared" si="71"/>
        <v>2.1259023045207413E-3</v>
      </c>
      <c r="R1124" s="4">
        <f t="shared" si="71"/>
        <v>-5.422503521932381E-4</v>
      </c>
      <c r="S1124" s="4">
        <f t="shared" si="71"/>
        <v>2.9117574139405056E-3</v>
      </c>
      <c r="T1124" s="4">
        <f t="shared" si="71"/>
        <v>-1.1060187442529003E-3</v>
      </c>
      <c r="U1124" s="35"/>
      <c r="V1124" s="35"/>
      <c r="W1124" s="35"/>
      <c r="X1124" s="35"/>
    </row>
    <row r="1125" spans="4:24" x14ac:dyDescent="0.3">
      <c r="D1125" s="23">
        <v>41213</v>
      </c>
      <c r="E1125" s="5">
        <v>114.468735</v>
      </c>
      <c r="F1125" s="28">
        <v>62.410899999999998</v>
      </c>
      <c r="G1125" s="28">
        <v>166.83</v>
      </c>
      <c r="H1125" s="28">
        <v>58.459789999999998</v>
      </c>
      <c r="I1125" s="28">
        <v>58.778399999999998</v>
      </c>
      <c r="J1125" s="29"/>
      <c r="K1125" s="29"/>
      <c r="L1125" s="29"/>
      <c r="M1125" s="29"/>
      <c r="N1125" s="29"/>
      <c r="P1125" s="4">
        <f t="shared" ref="P1125:T1140" si="72">LN(E1125/E1124)</f>
        <v>0</v>
      </c>
      <c r="Q1125" s="4">
        <f t="shared" si="72"/>
        <v>1.6502716365644401E-3</v>
      </c>
      <c r="R1125" s="4">
        <f t="shared" si="72"/>
        <v>5.4093171928861058E-3</v>
      </c>
      <c r="S1125" s="4">
        <f t="shared" si="72"/>
        <v>-6.1400454820863554E-3</v>
      </c>
      <c r="T1125" s="4">
        <f t="shared" si="72"/>
        <v>5.5324734706701855E-4</v>
      </c>
      <c r="U1125" s="35"/>
      <c r="V1125" s="35"/>
      <c r="W1125" s="35"/>
      <c r="X1125" s="35"/>
    </row>
    <row r="1126" spans="4:24" x14ac:dyDescent="0.3">
      <c r="D1126" s="23">
        <v>41214</v>
      </c>
      <c r="E1126" s="5">
        <v>115.667259</v>
      </c>
      <c r="F1126" s="28">
        <v>62.315339999999999</v>
      </c>
      <c r="G1126" s="28">
        <v>166.07</v>
      </c>
      <c r="H1126" s="28">
        <v>59.287860000000002</v>
      </c>
      <c r="I1126" s="28">
        <v>59.518009999999997</v>
      </c>
      <c r="J1126" s="29"/>
      <c r="K1126" s="29"/>
      <c r="L1126" s="29"/>
      <c r="M1126" s="29"/>
      <c r="N1126" s="29"/>
      <c r="P1126" s="4">
        <f t="shared" si="72"/>
        <v>1.0415883364152759E-2</v>
      </c>
      <c r="Q1126" s="4">
        <f t="shared" si="72"/>
        <v>-1.5323161942161656E-3</v>
      </c>
      <c r="R1126" s="4">
        <f t="shared" si="72"/>
        <v>-4.5659436489206501E-3</v>
      </c>
      <c r="S1126" s="4">
        <f t="shared" si="72"/>
        <v>1.4065395814673743E-2</v>
      </c>
      <c r="T1126" s="4">
        <f t="shared" si="72"/>
        <v>1.2504515348727386E-2</v>
      </c>
      <c r="U1126" s="35"/>
      <c r="V1126" s="35"/>
      <c r="W1126" s="35"/>
      <c r="X1126" s="35"/>
    </row>
    <row r="1127" spans="4:24" x14ac:dyDescent="0.3">
      <c r="D1127" s="23">
        <v>41215</v>
      </c>
      <c r="E1127" s="5">
        <v>114.638802</v>
      </c>
      <c r="F1127" s="28">
        <v>62.337389999999999</v>
      </c>
      <c r="G1127" s="28">
        <v>162.6</v>
      </c>
      <c r="H1127" s="28">
        <v>58.657829999999997</v>
      </c>
      <c r="I1127" s="28">
        <v>58.900300000000001</v>
      </c>
      <c r="J1127" s="29"/>
      <c r="K1127" s="29"/>
      <c r="L1127" s="29"/>
      <c r="M1127" s="29"/>
      <c r="N1127" s="29"/>
      <c r="P1127" s="4">
        <f t="shared" si="72"/>
        <v>-8.931278942462836E-3</v>
      </c>
      <c r="Q1127" s="4">
        <f t="shared" si="72"/>
        <v>3.5378286909534947E-4</v>
      </c>
      <c r="R1127" s="4">
        <f t="shared" si="72"/>
        <v>-2.1116189104951499E-2</v>
      </c>
      <c r="S1127" s="4">
        <f t="shared" si="72"/>
        <v>-1.0683493266569304E-2</v>
      </c>
      <c r="T1127" s="4">
        <f t="shared" si="72"/>
        <v>-1.0432771802940437E-2</v>
      </c>
      <c r="U1127" s="35"/>
      <c r="V1127" s="35"/>
      <c r="W1127" s="35"/>
      <c r="X1127" s="35"/>
    </row>
    <row r="1128" spans="4:24" x14ac:dyDescent="0.3">
      <c r="D1128" s="23">
        <v>41218</v>
      </c>
      <c r="E1128" s="5">
        <v>114.873611</v>
      </c>
      <c r="F1128" s="28">
        <v>62.432960000000001</v>
      </c>
      <c r="G1128" s="28">
        <v>163.22999999999999</v>
      </c>
      <c r="H1128" s="28">
        <v>59.044829999999997</v>
      </c>
      <c r="I1128" s="28">
        <v>59.087249999999997</v>
      </c>
      <c r="J1128" s="29"/>
      <c r="K1128" s="29"/>
      <c r="L1128" s="29"/>
      <c r="M1128" s="29"/>
      <c r="N1128" s="29"/>
      <c r="P1128" s="4">
        <f t="shared" si="72"/>
        <v>2.0461558384115867E-3</v>
      </c>
      <c r="Q1128" s="4">
        <f t="shared" si="72"/>
        <v>1.5319347696067208E-3</v>
      </c>
      <c r="R1128" s="4">
        <f t="shared" si="72"/>
        <v>3.8670520522333393E-3</v>
      </c>
      <c r="S1128" s="4">
        <f t="shared" si="72"/>
        <v>6.5759158641799306E-3</v>
      </c>
      <c r="T1128" s="4">
        <f t="shared" si="72"/>
        <v>3.1689810738985357E-3</v>
      </c>
      <c r="U1128" s="35"/>
      <c r="V1128" s="35"/>
      <c r="W1128" s="35"/>
      <c r="X1128" s="35"/>
    </row>
    <row r="1129" spans="4:24" x14ac:dyDescent="0.3">
      <c r="D1129" s="23">
        <v>41219</v>
      </c>
      <c r="E1129" s="5">
        <v>115.772552</v>
      </c>
      <c r="F1129" s="28">
        <v>62.234439999999999</v>
      </c>
      <c r="G1129" s="28">
        <v>166.3</v>
      </c>
      <c r="H1129" s="28">
        <v>59.15287</v>
      </c>
      <c r="I1129" s="28">
        <v>59.534230000000001</v>
      </c>
      <c r="J1129" s="29"/>
      <c r="K1129" s="29"/>
      <c r="L1129" s="29"/>
      <c r="M1129" s="29"/>
      <c r="N1129" s="29"/>
      <c r="P1129" s="4">
        <f t="shared" si="72"/>
        <v>7.7950184829792234E-3</v>
      </c>
      <c r="Q1129" s="4">
        <f t="shared" si="72"/>
        <v>-3.1847967920700633E-3</v>
      </c>
      <c r="R1129" s="4">
        <f t="shared" si="72"/>
        <v>1.8633137032938424E-2</v>
      </c>
      <c r="S1129" s="4">
        <f t="shared" si="72"/>
        <v>1.8281240682259639E-3</v>
      </c>
      <c r="T1129" s="4">
        <f t="shared" si="72"/>
        <v>7.5362761539337223E-3</v>
      </c>
      <c r="U1129" s="35"/>
      <c r="V1129" s="35"/>
      <c r="W1129" s="35"/>
      <c r="X1129" s="35"/>
    </row>
    <row r="1130" spans="4:24" x14ac:dyDescent="0.3">
      <c r="D1130" s="23">
        <v>41220</v>
      </c>
      <c r="E1130" s="5">
        <v>113.14870500000001</v>
      </c>
      <c r="F1130" s="28">
        <v>62.381500000000003</v>
      </c>
      <c r="G1130" s="28">
        <v>166.49</v>
      </c>
      <c r="H1130" s="28">
        <v>57.757739999999998</v>
      </c>
      <c r="I1130" s="28">
        <v>58.201320000000003</v>
      </c>
      <c r="J1130" s="29"/>
      <c r="K1130" s="29"/>
      <c r="L1130" s="29"/>
      <c r="M1130" s="29"/>
      <c r="N1130" s="29"/>
      <c r="P1130" s="4">
        <f t="shared" si="72"/>
        <v>-2.292458065251066E-2</v>
      </c>
      <c r="Q1130" s="4">
        <f t="shared" si="72"/>
        <v>2.3602127989044053E-3</v>
      </c>
      <c r="R1130" s="4">
        <f t="shared" si="72"/>
        <v>1.1418613578789312E-3</v>
      </c>
      <c r="S1130" s="4">
        <f t="shared" si="72"/>
        <v>-2.3867743562112954E-2</v>
      </c>
      <c r="T1130" s="4">
        <f t="shared" si="72"/>
        <v>-2.264340635844336E-2</v>
      </c>
      <c r="U1130" s="35"/>
      <c r="V1130" s="35"/>
      <c r="W1130" s="35"/>
      <c r="X1130" s="35"/>
    </row>
    <row r="1131" spans="4:24" x14ac:dyDescent="0.3">
      <c r="D1131" s="23">
        <v>41221</v>
      </c>
      <c r="E1131" s="5">
        <v>111.788177</v>
      </c>
      <c r="F1131" s="28">
        <v>62.477060000000002</v>
      </c>
      <c r="G1131" s="28">
        <v>167.99</v>
      </c>
      <c r="H1131" s="28">
        <v>56.848660000000002</v>
      </c>
      <c r="I1131" s="28">
        <v>57.461730000000003</v>
      </c>
      <c r="J1131" s="29"/>
      <c r="K1131" s="29"/>
      <c r="L1131" s="29"/>
      <c r="M1131" s="29"/>
      <c r="N1131" s="29"/>
      <c r="P1131" s="4">
        <f t="shared" si="72"/>
        <v>-1.2097123242268424E-2</v>
      </c>
      <c r="Q1131" s="4">
        <f t="shared" si="72"/>
        <v>1.5306923074916007E-3</v>
      </c>
      <c r="R1131" s="4">
        <f t="shared" si="72"/>
        <v>8.9692062653619412E-3</v>
      </c>
      <c r="S1131" s="4">
        <f t="shared" si="72"/>
        <v>-1.5864717276852791E-2</v>
      </c>
      <c r="T1131" s="4">
        <f t="shared" si="72"/>
        <v>-1.2788873893508242E-2</v>
      </c>
      <c r="U1131" s="35"/>
      <c r="V1131" s="35"/>
      <c r="W1131" s="35"/>
      <c r="X1131" s="35"/>
    </row>
    <row r="1132" spans="4:24" x14ac:dyDescent="0.3">
      <c r="D1132" s="23">
        <v>41222</v>
      </c>
      <c r="E1132" s="5">
        <v>111.885338</v>
      </c>
      <c r="F1132" s="28">
        <v>62.41827</v>
      </c>
      <c r="G1132" s="28">
        <v>167.82</v>
      </c>
      <c r="H1132" s="28">
        <v>57.091700000000003</v>
      </c>
      <c r="I1132" s="28">
        <v>57.518619999999999</v>
      </c>
      <c r="J1132" s="29"/>
      <c r="K1132" s="29"/>
      <c r="L1132" s="29"/>
      <c r="M1132" s="29"/>
      <c r="N1132" s="29"/>
      <c r="P1132" s="4">
        <f t="shared" si="72"/>
        <v>8.6877524244386925E-4</v>
      </c>
      <c r="Q1132" s="4">
        <f t="shared" si="72"/>
        <v>-9.4142838394475881E-4</v>
      </c>
      <c r="R1132" s="4">
        <f t="shared" si="72"/>
        <v>-1.0124773801996317E-3</v>
      </c>
      <c r="S1132" s="4">
        <f t="shared" si="72"/>
        <v>4.2660979586564615E-3</v>
      </c>
      <c r="T1132" s="4">
        <f t="shared" si="72"/>
        <v>9.8956047085197569E-4</v>
      </c>
      <c r="U1132" s="35"/>
      <c r="V1132" s="35"/>
      <c r="W1132" s="35"/>
      <c r="X1132" s="35"/>
    </row>
    <row r="1133" spans="4:24" x14ac:dyDescent="0.3">
      <c r="D1133" s="23">
        <v>41225</v>
      </c>
      <c r="E1133" s="5">
        <v>111.974464</v>
      </c>
      <c r="F1133" s="28">
        <v>62.513840000000002</v>
      </c>
      <c r="G1133" s="28">
        <v>167.45</v>
      </c>
      <c r="H1133" s="28">
        <v>57.082700000000003</v>
      </c>
      <c r="I1133" s="28">
        <v>57.551139999999997</v>
      </c>
      <c r="J1133" s="29"/>
      <c r="K1133" s="29"/>
      <c r="L1133" s="29"/>
      <c r="M1133" s="29"/>
      <c r="N1133" s="29"/>
      <c r="P1133" s="4">
        <f t="shared" si="72"/>
        <v>7.9626626944932441E-4</v>
      </c>
      <c r="Q1133" s="4">
        <f t="shared" si="72"/>
        <v>1.5299512453945247E-3</v>
      </c>
      <c r="R1133" s="4">
        <f t="shared" si="72"/>
        <v>-2.2071772017098366E-3</v>
      </c>
      <c r="S1133" s="4">
        <f t="shared" si="72"/>
        <v>-1.5765355488867161E-4</v>
      </c>
      <c r="T1133" s="4">
        <f t="shared" si="72"/>
        <v>5.6522236364752419E-4</v>
      </c>
      <c r="U1133" s="35"/>
      <c r="V1133" s="35"/>
      <c r="W1133" s="35"/>
      <c r="X1133" s="35"/>
    </row>
    <row r="1134" spans="4:24" x14ac:dyDescent="0.3">
      <c r="D1134" s="23">
        <v>41226</v>
      </c>
      <c r="E1134" s="5">
        <v>111.58573199999999</v>
      </c>
      <c r="F1134" s="28">
        <v>62.506520000000002</v>
      </c>
      <c r="G1134" s="28">
        <v>167.1</v>
      </c>
      <c r="H1134" s="28">
        <v>56.686669999999999</v>
      </c>
      <c r="I1134" s="28">
        <v>57.331690000000002</v>
      </c>
      <c r="J1134" s="29"/>
      <c r="K1134" s="29"/>
      <c r="L1134" s="29"/>
      <c r="M1134" s="29"/>
      <c r="N1134" s="29"/>
      <c r="P1134" s="4">
        <f t="shared" si="72"/>
        <v>-3.4776529877372838E-3</v>
      </c>
      <c r="Q1134" s="4">
        <f t="shared" si="72"/>
        <v>-1.1710092673484098E-4</v>
      </c>
      <c r="R1134" s="4">
        <f t="shared" si="72"/>
        <v>-2.0923636388655116E-3</v>
      </c>
      <c r="S1134" s="4">
        <f t="shared" si="72"/>
        <v>-6.9620074298548506E-3</v>
      </c>
      <c r="T1134" s="4">
        <f t="shared" si="72"/>
        <v>-3.8204188896978344E-3</v>
      </c>
      <c r="U1134" s="35"/>
      <c r="V1134" s="35"/>
      <c r="W1134" s="35"/>
      <c r="X1134" s="35"/>
    </row>
    <row r="1135" spans="4:24" x14ac:dyDescent="0.3">
      <c r="D1135" s="23">
        <v>41227</v>
      </c>
      <c r="E1135" s="5">
        <v>110.079483</v>
      </c>
      <c r="F1135" s="28">
        <v>62.491779999999999</v>
      </c>
      <c r="G1135" s="28">
        <v>167.14</v>
      </c>
      <c r="H1135" s="28">
        <v>56.020609999999998</v>
      </c>
      <c r="I1135" s="28">
        <v>56.527059999999999</v>
      </c>
      <c r="J1135" s="29"/>
      <c r="K1135" s="29"/>
      <c r="L1135" s="29"/>
      <c r="M1135" s="29"/>
      <c r="N1135" s="29"/>
      <c r="P1135" s="4">
        <f t="shared" si="72"/>
        <v>-1.3590514721703518E-2</v>
      </c>
      <c r="Q1135" s="4">
        <f t="shared" si="72"/>
        <v>-2.358432085608996E-4</v>
      </c>
      <c r="R1135" s="4">
        <f t="shared" si="72"/>
        <v>2.393489719419705E-4</v>
      </c>
      <c r="S1135" s="4">
        <f t="shared" si="72"/>
        <v>-1.1819427351406777E-2</v>
      </c>
      <c r="T1135" s="4">
        <f t="shared" si="72"/>
        <v>-1.4134063392590147E-2</v>
      </c>
      <c r="U1135" s="35"/>
      <c r="V1135" s="35"/>
      <c r="W1135" s="35"/>
      <c r="X1135" s="35"/>
    </row>
    <row r="1136" spans="4:24" x14ac:dyDescent="0.3">
      <c r="D1136" s="23">
        <v>41228</v>
      </c>
      <c r="E1136" s="5">
        <v>109.893196</v>
      </c>
      <c r="F1136" s="28">
        <v>62.484450000000002</v>
      </c>
      <c r="G1136" s="28">
        <v>166.09</v>
      </c>
      <c r="H1136" s="28">
        <v>55.831589999999998</v>
      </c>
      <c r="I1136" s="28">
        <v>56.380749999999999</v>
      </c>
      <c r="J1136" s="29"/>
      <c r="K1136" s="29"/>
      <c r="L1136" s="29"/>
      <c r="M1136" s="29"/>
      <c r="N1136" s="29"/>
      <c r="P1136" s="4">
        <f t="shared" si="72"/>
        <v>-1.6937289247064005E-3</v>
      </c>
      <c r="Q1136" s="4">
        <f t="shared" si="72"/>
        <v>-1.1730230634100916E-4</v>
      </c>
      <c r="R1136" s="4">
        <f t="shared" si="72"/>
        <v>-6.301974462382556E-3</v>
      </c>
      <c r="S1136" s="4">
        <f t="shared" si="72"/>
        <v>-3.379820511964803E-3</v>
      </c>
      <c r="T1136" s="4">
        <f t="shared" si="72"/>
        <v>-2.5916733642113235E-3</v>
      </c>
      <c r="U1136" s="35"/>
      <c r="V1136" s="35"/>
      <c r="W1136" s="35"/>
      <c r="X1136" s="35"/>
    </row>
    <row r="1137" spans="4:24" x14ac:dyDescent="0.3">
      <c r="D1137" s="23">
        <v>41229</v>
      </c>
      <c r="E1137" s="5">
        <v>110.435768</v>
      </c>
      <c r="F1137" s="28">
        <v>62.455010000000001</v>
      </c>
      <c r="G1137" s="28">
        <v>165.88</v>
      </c>
      <c r="H1137" s="28">
        <v>56.07461</v>
      </c>
      <c r="I1137" s="28">
        <v>56.689599999999999</v>
      </c>
      <c r="J1137" s="29"/>
      <c r="K1137" s="29"/>
      <c r="L1137" s="29"/>
      <c r="M1137" s="29"/>
      <c r="N1137" s="29"/>
      <c r="P1137" s="4">
        <f t="shared" si="72"/>
        <v>4.9251182132741562E-3</v>
      </c>
      <c r="Q1137" s="4">
        <f t="shared" si="72"/>
        <v>-4.7126825335840549E-4</v>
      </c>
      <c r="R1137" s="4">
        <f t="shared" si="72"/>
        <v>-1.2651747327269895E-3</v>
      </c>
      <c r="S1137" s="4">
        <f t="shared" si="72"/>
        <v>4.3432871821261617E-3</v>
      </c>
      <c r="T1137" s="4">
        <f t="shared" si="72"/>
        <v>5.4629842061093602E-3</v>
      </c>
      <c r="U1137" s="35"/>
      <c r="V1137" s="35"/>
      <c r="W1137" s="35"/>
      <c r="X1137" s="35"/>
    </row>
    <row r="1138" spans="4:24" x14ac:dyDescent="0.3">
      <c r="D1138" s="23">
        <v>41232</v>
      </c>
      <c r="E1138" s="5">
        <v>112.67092100000001</v>
      </c>
      <c r="F1138" s="28">
        <v>62.455010000000001</v>
      </c>
      <c r="G1138" s="28">
        <v>167.87</v>
      </c>
      <c r="H1138" s="28">
        <v>57.40672</v>
      </c>
      <c r="I1138" s="28">
        <v>57.859969999999997</v>
      </c>
      <c r="J1138" s="29"/>
      <c r="K1138" s="29"/>
      <c r="L1138" s="29"/>
      <c r="M1138" s="29"/>
      <c r="N1138" s="29"/>
      <c r="P1138" s="4">
        <f t="shared" si="72"/>
        <v>2.0037299578764451E-2</v>
      </c>
      <c r="Q1138" s="4">
        <f t="shared" si="72"/>
        <v>0</v>
      </c>
      <c r="R1138" s="4">
        <f t="shared" si="72"/>
        <v>1.192523495614202E-2</v>
      </c>
      <c r="S1138" s="4">
        <f t="shared" si="72"/>
        <v>2.3478244232658419E-2</v>
      </c>
      <c r="T1138" s="4">
        <f t="shared" si="72"/>
        <v>2.0435008661772829E-2</v>
      </c>
      <c r="U1138" s="35"/>
      <c r="V1138" s="35"/>
      <c r="W1138" s="35"/>
      <c r="X1138" s="35"/>
    </row>
    <row r="1139" spans="4:24" x14ac:dyDescent="0.3">
      <c r="D1139" s="23">
        <v>41233</v>
      </c>
      <c r="E1139" s="5">
        <v>112.719528</v>
      </c>
      <c r="F1139" s="28">
        <v>62.359439999999999</v>
      </c>
      <c r="G1139" s="28">
        <v>167.39</v>
      </c>
      <c r="H1139" s="28">
        <v>57.424709999999997</v>
      </c>
      <c r="I1139" s="28">
        <v>57.924990000000001</v>
      </c>
      <c r="J1139" s="29"/>
      <c r="K1139" s="29"/>
      <c r="L1139" s="29"/>
      <c r="M1139" s="29"/>
      <c r="N1139" s="29"/>
      <c r="P1139" s="4">
        <f t="shared" si="72"/>
        <v>4.3131375769638232E-4</v>
      </c>
      <c r="Q1139" s="4">
        <f t="shared" si="72"/>
        <v>-1.5313934993470969E-3</v>
      </c>
      <c r="R1139" s="4">
        <f t="shared" si="72"/>
        <v>-2.8634512197941095E-3</v>
      </c>
      <c r="S1139" s="4">
        <f t="shared" si="72"/>
        <v>3.1332885338408202E-4</v>
      </c>
      <c r="T1139" s="4">
        <f t="shared" si="72"/>
        <v>1.1231166264536964E-3</v>
      </c>
      <c r="U1139" s="35"/>
      <c r="V1139" s="35"/>
      <c r="W1139" s="35"/>
      <c r="X1139" s="35"/>
    </row>
    <row r="1140" spans="4:24" x14ac:dyDescent="0.3">
      <c r="D1140" s="23">
        <v>41234</v>
      </c>
      <c r="E1140" s="5">
        <v>112.930038</v>
      </c>
      <c r="F1140" s="28">
        <v>62.293289999999999</v>
      </c>
      <c r="G1140" s="28">
        <v>167.56</v>
      </c>
      <c r="H1140" s="28">
        <v>57.541730000000001</v>
      </c>
      <c r="I1140" s="28">
        <v>58.071289999999998</v>
      </c>
      <c r="J1140" s="29"/>
      <c r="K1140" s="29"/>
      <c r="L1140" s="29"/>
      <c r="M1140" s="29"/>
      <c r="N1140" s="29"/>
      <c r="P1140" s="4">
        <f t="shared" si="72"/>
        <v>1.8658140124234012E-3</v>
      </c>
      <c r="Q1140" s="4">
        <f t="shared" si="72"/>
        <v>-1.0613486958466717E-3</v>
      </c>
      <c r="R1140" s="4">
        <f t="shared" si="72"/>
        <v>1.0150769643055822E-3</v>
      </c>
      <c r="S1140" s="4">
        <f t="shared" si="72"/>
        <v>2.0357252153348259E-3</v>
      </c>
      <c r="T1140" s="4">
        <f t="shared" si="72"/>
        <v>2.5224960244483361E-3</v>
      </c>
      <c r="U1140" s="35"/>
      <c r="V1140" s="35"/>
      <c r="W1140" s="35"/>
      <c r="X1140" s="35"/>
    </row>
    <row r="1141" spans="4:24" x14ac:dyDescent="0.3">
      <c r="D1141" s="23">
        <v>41236</v>
      </c>
      <c r="E1141" s="5">
        <v>114.468735</v>
      </c>
      <c r="F1141" s="28">
        <v>62.307989999999997</v>
      </c>
      <c r="G1141" s="28">
        <v>169.61</v>
      </c>
      <c r="H1141" s="28">
        <v>58.4148</v>
      </c>
      <c r="I1141" s="28">
        <v>58.827150000000003</v>
      </c>
      <c r="J1141" s="29"/>
      <c r="K1141" s="29"/>
      <c r="L1141" s="29"/>
      <c r="M1141" s="29"/>
      <c r="N1141" s="29"/>
      <c r="P1141" s="4">
        <f t="shared" ref="P1141:T1156" si="73">LN(E1141/E1140)</f>
        <v>1.3533234711793922E-2</v>
      </c>
      <c r="Q1141" s="4">
        <f t="shared" si="73"/>
        <v>2.3595263336293734E-4</v>
      </c>
      <c r="R1141" s="4">
        <f t="shared" si="73"/>
        <v>1.2160187804913517E-2</v>
      </c>
      <c r="S1141" s="4">
        <f t="shared" si="73"/>
        <v>1.5058858672669021E-2</v>
      </c>
      <c r="T1141" s="4">
        <f t="shared" si="73"/>
        <v>1.2932089325954891E-2</v>
      </c>
      <c r="U1141" s="35"/>
      <c r="V1141" s="35"/>
      <c r="W1141" s="35"/>
      <c r="X1141" s="35"/>
    </row>
    <row r="1142" spans="4:24" x14ac:dyDescent="0.3">
      <c r="D1142" s="23">
        <v>41239</v>
      </c>
      <c r="E1142" s="5">
        <v>114.22576100000001</v>
      </c>
      <c r="F1142" s="28">
        <v>62.293289999999999</v>
      </c>
      <c r="G1142" s="28">
        <v>169.43</v>
      </c>
      <c r="H1142" s="28">
        <v>58.666800000000002</v>
      </c>
      <c r="I1142" s="28">
        <v>58.75403</v>
      </c>
      <c r="J1142" s="29"/>
      <c r="K1142" s="29"/>
      <c r="L1142" s="29"/>
      <c r="M1142" s="29"/>
      <c r="N1142" s="29"/>
      <c r="P1142" s="4">
        <f t="shared" si="73"/>
        <v>-2.12487922246467E-3</v>
      </c>
      <c r="Q1142" s="4">
        <f t="shared" si="73"/>
        <v>-2.3595263336291501E-4</v>
      </c>
      <c r="R1142" s="4">
        <f t="shared" si="73"/>
        <v>-1.0618217137327874E-3</v>
      </c>
      <c r="S1142" s="4">
        <f t="shared" si="73"/>
        <v>4.3046967096208519E-3</v>
      </c>
      <c r="T1142" s="4">
        <f t="shared" si="73"/>
        <v>-1.2437366154288523E-3</v>
      </c>
      <c r="U1142" s="35"/>
      <c r="V1142" s="35"/>
      <c r="W1142" s="35"/>
      <c r="X1142" s="35"/>
    </row>
    <row r="1143" spans="4:24" x14ac:dyDescent="0.3">
      <c r="D1143" s="23">
        <v>41240</v>
      </c>
      <c r="E1143" s="5">
        <v>113.642708</v>
      </c>
      <c r="F1143" s="28">
        <v>62.41827</v>
      </c>
      <c r="G1143" s="28">
        <v>168.71</v>
      </c>
      <c r="H1143" s="28">
        <v>58.468800000000002</v>
      </c>
      <c r="I1143" s="28">
        <v>58.445149999999998</v>
      </c>
      <c r="J1143" s="29"/>
      <c r="K1143" s="29"/>
      <c r="L1143" s="29"/>
      <c r="M1143" s="29"/>
      <c r="N1143" s="29"/>
      <c r="P1143" s="4">
        <f t="shared" si="73"/>
        <v>-5.1174633769660634E-3</v>
      </c>
      <c r="Q1143" s="4">
        <f t="shared" si="73"/>
        <v>2.0043056447945026E-3</v>
      </c>
      <c r="R1143" s="4">
        <f t="shared" si="73"/>
        <v>-4.2585975521313669E-3</v>
      </c>
      <c r="S1143" s="4">
        <f t="shared" si="73"/>
        <v>-3.3807004630650151E-3</v>
      </c>
      <c r="T1143" s="4">
        <f t="shared" si="73"/>
        <v>-5.2710388444012204E-3</v>
      </c>
      <c r="U1143" s="35"/>
      <c r="V1143" s="35"/>
      <c r="W1143" s="35"/>
      <c r="X1143" s="35"/>
    </row>
    <row r="1144" spans="4:24" x14ac:dyDescent="0.3">
      <c r="D1144" s="23">
        <v>41241</v>
      </c>
      <c r="E1144" s="5">
        <v>114.557823</v>
      </c>
      <c r="F1144" s="28">
        <v>62.455010000000001</v>
      </c>
      <c r="G1144" s="28">
        <v>166.55</v>
      </c>
      <c r="H1144" s="28">
        <v>58.972839999999998</v>
      </c>
      <c r="I1144" s="28">
        <v>58.90842</v>
      </c>
      <c r="J1144" s="29"/>
      <c r="K1144" s="29"/>
      <c r="L1144" s="29"/>
      <c r="M1144" s="29"/>
      <c r="N1144" s="29"/>
      <c r="P1144" s="4">
        <f t="shared" si="73"/>
        <v>8.0203135497979219E-3</v>
      </c>
      <c r="Q1144" s="4">
        <f t="shared" si="73"/>
        <v>5.8843655039942462E-4</v>
      </c>
      <c r="R1144" s="4">
        <f t="shared" si="73"/>
        <v>-1.2885699978194783E-2</v>
      </c>
      <c r="S1144" s="4">
        <f t="shared" si="73"/>
        <v>8.583720302483484E-3</v>
      </c>
      <c r="T1144" s="4">
        <f t="shared" si="73"/>
        <v>7.8953270281938836E-3</v>
      </c>
      <c r="U1144" s="35"/>
      <c r="V1144" s="35"/>
      <c r="W1144" s="35"/>
      <c r="X1144" s="35"/>
    </row>
    <row r="1145" spans="4:24" x14ac:dyDescent="0.3">
      <c r="D1145" s="23">
        <v>41242</v>
      </c>
      <c r="E1145" s="5">
        <v>115.09229999999999</v>
      </c>
      <c r="F1145" s="28">
        <v>62.491779999999999</v>
      </c>
      <c r="G1145" s="28">
        <v>167.18</v>
      </c>
      <c r="H1145" s="28">
        <v>59.323860000000003</v>
      </c>
      <c r="I1145" s="28">
        <v>59.249789999999997</v>
      </c>
      <c r="J1145" s="29"/>
      <c r="K1145" s="29"/>
      <c r="L1145" s="29"/>
      <c r="M1145" s="29"/>
      <c r="N1145" s="29"/>
      <c r="P1145" s="4">
        <f t="shared" si="73"/>
        <v>4.6547152514656341E-3</v>
      </c>
      <c r="Q1145" s="4">
        <f t="shared" si="73"/>
        <v>5.8857055969937296E-4</v>
      </c>
      <c r="R1145" s="4">
        <f t="shared" si="73"/>
        <v>3.7755116313214244E-3</v>
      </c>
      <c r="S1145" s="4">
        <f t="shared" si="73"/>
        <v>5.934587020995457E-3</v>
      </c>
      <c r="T1145" s="4">
        <f t="shared" si="73"/>
        <v>5.7782011050005492E-3</v>
      </c>
      <c r="U1145" s="35"/>
      <c r="V1145" s="35"/>
      <c r="W1145" s="35"/>
      <c r="X1145" s="35"/>
    </row>
    <row r="1146" spans="4:24" x14ac:dyDescent="0.3">
      <c r="D1146" s="23">
        <v>41243</v>
      </c>
      <c r="E1146" s="5">
        <v>115.116562</v>
      </c>
      <c r="F1146" s="28">
        <v>62.447690000000001</v>
      </c>
      <c r="G1146" s="28">
        <v>166.05</v>
      </c>
      <c r="H1146" s="28">
        <v>59.224850000000004</v>
      </c>
      <c r="I1146" s="28">
        <v>59.233530000000002</v>
      </c>
      <c r="J1146" s="29"/>
      <c r="K1146" s="29"/>
      <c r="L1146" s="29"/>
      <c r="M1146" s="29"/>
      <c r="N1146" s="29"/>
      <c r="P1146" s="4">
        <f t="shared" si="73"/>
        <v>2.1078250315004299E-4</v>
      </c>
      <c r="Q1146" s="4">
        <f t="shared" si="73"/>
        <v>-7.0578179706066513E-4</v>
      </c>
      <c r="R1146" s="4">
        <f t="shared" si="73"/>
        <v>-6.7821284482544493E-3</v>
      </c>
      <c r="S1146" s="4">
        <f t="shared" si="73"/>
        <v>-1.6703686277296486E-3</v>
      </c>
      <c r="T1146" s="4">
        <f t="shared" si="73"/>
        <v>-2.7446901558928345E-4</v>
      </c>
      <c r="U1146" s="35"/>
      <c r="V1146" s="35"/>
      <c r="W1146" s="35"/>
      <c r="X1146" s="35"/>
    </row>
    <row r="1147" spans="4:24" x14ac:dyDescent="0.3">
      <c r="D1147" s="23">
        <v>41246</v>
      </c>
      <c r="E1147" s="5">
        <v>114.54967499999999</v>
      </c>
      <c r="F1147" s="28">
        <v>62.497030000000002</v>
      </c>
      <c r="G1147" s="28">
        <v>166.13</v>
      </c>
      <c r="H1147" s="28">
        <v>59.107840000000003</v>
      </c>
      <c r="I1147" s="28">
        <v>58.97345</v>
      </c>
      <c r="J1147" s="29"/>
      <c r="K1147" s="29"/>
      <c r="L1147" s="29"/>
      <c r="M1147" s="29"/>
      <c r="N1147" s="29"/>
      <c r="P1147" s="4">
        <f t="shared" si="73"/>
        <v>-4.9366259374517734E-3</v>
      </c>
      <c r="Q1147" s="4">
        <f t="shared" si="73"/>
        <v>7.8978931746327469E-4</v>
      </c>
      <c r="R1147" s="4">
        <f t="shared" si="73"/>
        <v>4.8166657563166799E-4</v>
      </c>
      <c r="S1147" s="4">
        <f t="shared" si="73"/>
        <v>-1.9776451990788776E-3</v>
      </c>
      <c r="T1147" s="4">
        <f t="shared" si="73"/>
        <v>-4.4004240642386049E-3</v>
      </c>
      <c r="U1147" s="35"/>
      <c r="V1147" s="35"/>
      <c r="W1147" s="35"/>
      <c r="X1147" s="35"/>
    </row>
    <row r="1148" spans="4:24" x14ac:dyDescent="0.3">
      <c r="D1148" s="23">
        <v>41247</v>
      </c>
      <c r="E1148" s="5">
        <v>114.387733</v>
      </c>
      <c r="F1148" s="28">
        <v>62.548659999999998</v>
      </c>
      <c r="G1148" s="28">
        <v>164.42</v>
      </c>
      <c r="H1148" s="28">
        <v>59.071849999999998</v>
      </c>
      <c r="I1148" s="28">
        <v>58.89217</v>
      </c>
      <c r="J1148" s="29"/>
      <c r="K1148" s="29"/>
      <c r="L1148" s="29"/>
      <c r="M1148" s="29"/>
      <c r="N1148" s="29"/>
      <c r="P1148" s="4">
        <f t="shared" si="73"/>
        <v>-1.4147275312031871E-3</v>
      </c>
      <c r="Q1148" s="4">
        <f t="shared" si="73"/>
        <v>8.2577820849179826E-4</v>
      </c>
      <c r="R1148" s="4">
        <f t="shared" si="73"/>
        <v>-1.0346484674400061E-2</v>
      </c>
      <c r="S1148" s="4">
        <f t="shared" si="73"/>
        <v>-6.0907252528084161E-4</v>
      </c>
      <c r="T1148" s="4">
        <f t="shared" si="73"/>
        <v>-1.3791979863872995E-3</v>
      </c>
      <c r="U1148" s="35"/>
      <c r="V1148" s="35"/>
      <c r="W1148" s="35"/>
      <c r="X1148" s="35"/>
    </row>
    <row r="1149" spans="4:24" x14ac:dyDescent="0.3">
      <c r="D1149" s="23">
        <v>41248</v>
      </c>
      <c r="E1149" s="5">
        <v>114.59019499999999</v>
      </c>
      <c r="F1149" s="28">
        <v>62.592799999999997</v>
      </c>
      <c r="G1149" s="28">
        <v>164.12</v>
      </c>
      <c r="H1149" s="28">
        <v>58.4148</v>
      </c>
      <c r="I1149" s="28">
        <v>59.005960000000002</v>
      </c>
      <c r="J1149" s="29"/>
      <c r="K1149" s="29"/>
      <c r="L1149" s="29"/>
      <c r="M1149" s="29"/>
      <c r="N1149" s="29"/>
      <c r="P1149" s="4">
        <f t="shared" si="73"/>
        <v>1.768397980805543E-3</v>
      </c>
      <c r="Q1149" s="4">
        <f t="shared" si="73"/>
        <v>7.0544169503085634E-4</v>
      </c>
      <c r="R1149" s="4">
        <f t="shared" si="73"/>
        <v>-1.8262621500019056E-3</v>
      </c>
      <c r="S1149" s="4">
        <f t="shared" si="73"/>
        <v>-1.1185217217945423E-2</v>
      </c>
      <c r="T1149" s="4">
        <f t="shared" si="73"/>
        <v>1.9303111140567405E-3</v>
      </c>
      <c r="U1149" s="35"/>
      <c r="V1149" s="35"/>
      <c r="W1149" s="35"/>
      <c r="X1149" s="35"/>
    </row>
    <row r="1150" spans="4:24" x14ac:dyDescent="0.3">
      <c r="D1150" s="23">
        <v>41249</v>
      </c>
      <c r="E1150" s="5">
        <v>114.978889</v>
      </c>
      <c r="F1150" s="28">
        <v>62.592799999999997</v>
      </c>
      <c r="G1150" s="28">
        <v>164.5</v>
      </c>
      <c r="H1150" s="28">
        <v>58.792819999999999</v>
      </c>
      <c r="I1150" s="28">
        <v>59.192889999999998</v>
      </c>
      <c r="J1150" s="29"/>
      <c r="K1150" s="29"/>
      <c r="L1150" s="29"/>
      <c r="M1150" s="29"/>
      <c r="N1150" s="29"/>
      <c r="P1150" s="4">
        <f t="shared" si="73"/>
        <v>3.3862954423717674E-3</v>
      </c>
      <c r="Q1150" s="4">
        <f t="shared" si="73"/>
        <v>0</v>
      </c>
      <c r="R1150" s="4">
        <f t="shared" si="73"/>
        <v>2.312702631441258E-3</v>
      </c>
      <c r="S1150" s="4">
        <f t="shared" si="73"/>
        <v>6.4504562200406361E-3</v>
      </c>
      <c r="T1150" s="4">
        <f t="shared" si="73"/>
        <v>3.1629775728603095E-3</v>
      </c>
      <c r="U1150" s="35"/>
      <c r="V1150" s="35"/>
      <c r="W1150" s="35"/>
      <c r="X1150" s="35"/>
    </row>
    <row r="1151" spans="4:24" x14ac:dyDescent="0.3">
      <c r="D1151" s="23">
        <v>41250</v>
      </c>
      <c r="E1151" s="5">
        <v>115.327164</v>
      </c>
      <c r="F1151" s="28">
        <v>62.474939999999997</v>
      </c>
      <c r="G1151" s="28">
        <v>165.16</v>
      </c>
      <c r="H1151" s="28">
        <v>58.441789999999997</v>
      </c>
      <c r="I1151" s="28">
        <v>59.36356</v>
      </c>
      <c r="J1151" s="29"/>
      <c r="K1151" s="29"/>
      <c r="L1151" s="29"/>
      <c r="M1151" s="29"/>
      <c r="N1151" s="29"/>
      <c r="P1151" s="4">
        <f t="shared" si="73"/>
        <v>3.0244560309690997E-3</v>
      </c>
      <c r="Q1151" s="4">
        <f t="shared" si="73"/>
        <v>-1.8847391803663086E-3</v>
      </c>
      <c r="R1151" s="4">
        <f t="shared" si="73"/>
        <v>4.0041308124628807E-3</v>
      </c>
      <c r="S1151" s="4">
        <f t="shared" si="73"/>
        <v>-5.9885224860521148E-3</v>
      </c>
      <c r="T1151" s="4">
        <f t="shared" si="73"/>
        <v>2.8791367807719853E-3</v>
      </c>
      <c r="U1151" s="35"/>
      <c r="V1151" s="35"/>
      <c r="W1151" s="35"/>
      <c r="X1151" s="35"/>
    </row>
    <row r="1152" spans="4:24" x14ac:dyDescent="0.3">
      <c r="D1152" s="23">
        <v>41253</v>
      </c>
      <c r="E1152" s="5">
        <v>115.375725</v>
      </c>
      <c r="F1152" s="28">
        <v>62.511760000000002</v>
      </c>
      <c r="G1152" s="28">
        <v>165.8</v>
      </c>
      <c r="H1152" s="28">
        <v>58.612819999999999</v>
      </c>
      <c r="I1152" s="28">
        <v>59.436709999999998</v>
      </c>
      <c r="J1152" s="29"/>
      <c r="K1152" s="29"/>
      <c r="L1152" s="29"/>
      <c r="M1152" s="29"/>
      <c r="N1152" s="29"/>
      <c r="P1152" s="4">
        <f t="shared" si="73"/>
        <v>4.2098303083851365E-4</v>
      </c>
      <c r="Q1152" s="4">
        <f t="shared" si="73"/>
        <v>5.8918270608210256E-4</v>
      </c>
      <c r="R1152" s="4">
        <f t="shared" si="73"/>
        <v>3.8675416833051858E-3</v>
      </c>
      <c r="S1152" s="4">
        <f t="shared" si="73"/>
        <v>2.9222278679671234E-3</v>
      </c>
      <c r="T1152" s="4">
        <f t="shared" si="73"/>
        <v>1.2314788382986046E-3</v>
      </c>
      <c r="U1152" s="35"/>
      <c r="V1152" s="35"/>
      <c r="W1152" s="35"/>
      <c r="X1152" s="35"/>
    </row>
    <row r="1153" spans="4:24" x14ac:dyDescent="0.3">
      <c r="D1153" s="23">
        <v>41254</v>
      </c>
      <c r="E1153" s="5">
        <v>116.16127</v>
      </c>
      <c r="F1153" s="28">
        <v>62.460169999999998</v>
      </c>
      <c r="G1153" s="28">
        <v>165.65</v>
      </c>
      <c r="H1153" s="28">
        <v>59.377890000000001</v>
      </c>
      <c r="I1153" s="28">
        <v>59.810569999999998</v>
      </c>
      <c r="J1153" s="29"/>
      <c r="K1153" s="29"/>
      <c r="L1153" s="29"/>
      <c r="M1153" s="29"/>
      <c r="N1153" s="29"/>
      <c r="P1153" s="4">
        <f t="shared" si="73"/>
        <v>6.7855075520503088E-3</v>
      </c>
      <c r="Q1153" s="4">
        <f t="shared" si="73"/>
        <v>-8.2562544933992971E-4</v>
      </c>
      <c r="R1153" s="4">
        <f t="shared" si="73"/>
        <v>-9.0511395528971846E-4</v>
      </c>
      <c r="S1153" s="4">
        <f t="shared" si="73"/>
        <v>1.2968490867423547E-2</v>
      </c>
      <c r="T1153" s="4">
        <f t="shared" si="73"/>
        <v>6.2703522450192643E-3</v>
      </c>
      <c r="U1153" s="35"/>
      <c r="V1153" s="35"/>
      <c r="W1153" s="35"/>
      <c r="X1153" s="35"/>
    </row>
    <row r="1154" spans="4:24" x14ac:dyDescent="0.3">
      <c r="D1154" s="23">
        <v>41255</v>
      </c>
      <c r="E1154" s="5">
        <v>116.21790300000001</v>
      </c>
      <c r="F1154" s="28">
        <v>62.364440000000002</v>
      </c>
      <c r="G1154" s="28">
        <v>165.77</v>
      </c>
      <c r="H1154" s="28">
        <v>59.251869999999997</v>
      </c>
      <c r="I1154" s="28">
        <v>59.834960000000002</v>
      </c>
      <c r="J1154" s="29"/>
      <c r="K1154" s="29"/>
      <c r="L1154" s="29"/>
      <c r="M1154" s="29"/>
      <c r="N1154" s="29"/>
      <c r="P1154" s="4">
        <f t="shared" si="73"/>
        <v>4.8741890583471902E-4</v>
      </c>
      <c r="Q1154" s="4">
        <f t="shared" si="73"/>
        <v>-1.5338324512801428E-3</v>
      </c>
      <c r="R1154" s="4">
        <f t="shared" si="73"/>
        <v>7.2415669086989677E-4</v>
      </c>
      <c r="S1154" s="4">
        <f t="shared" si="73"/>
        <v>-2.1245941558590076E-3</v>
      </c>
      <c r="T1154" s="4">
        <f t="shared" si="73"/>
        <v>4.0770433024699327E-4</v>
      </c>
      <c r="U1154" s="35"/>
      <c r="V1154" s="35"/>
      <c r="W1154" s="35"/>
      <c r="X1154" s="35"/>
    </row>
    <row r="1155" spans="4:24" x14ac:dyDescent="0.3">
      <c r="D1155" s="23">
        <v>41256</v>
      </c>
      <c r="E1155" s="5">
        <v>115.505287</v>
      </c>
      <c r="F1155" s="28">
        <v>62.239229999999999</v>
      </c>
      <c r="G1155" s="28">
        <v>164.37</v>
      </c>
      <c r="H1155" s="28">
        <v>58.783810000000003</v>
      </c>
      <c r="I1155" s="28">
        <v>59.493600000000001</v>
      </c>
      <c r="J1155" s="29"/>
      <c r="K1155" s="29"/>
      <c r="L1155" s="29"/>
      <c r="M1155" s="29"/>
      <c r="N1155" s="29"/>
      <c r="P1155" s="4">
        <f t="shared" si="73"/>
        <v>-6.1505993121614795E-3</v>
      </c>
      <c r="Q1155" s="4">
        <f t="shared" si="73"/>
        <v>-2.0097328135498271E-3</v>
      </c>
      <c r="R1155" s="4">
        <f t="shared" si="73"/>
        <v>-8.4813012183406738E-3</v>
      </c>
      <c r="S1155" s="4">
        <f t="shared" si="73"/>
        <v>-7.9308638431593356E-3</v>
      </c>
      <c r="T1155" s="4">
        <f t="shared" si="73"/>
        <v>-5.7213617791436796E-3</v>
      </c>
      <c r="U1155" s="35"/>
      <c r="V1155" s="35"/>
      <c r="W1155" s="35"/>
      <c r="X1155" s="35"/>
    </row>
    <row r="1156" spans="4:24" x14ac:dyDescent="0.3">
      <c r="D1156" s="23">
        <v>41257</v>
      </c>
      <c r="E1156" s="5">
        <v>115.07607299999999</v>
      </c>
      <c r="F1156" s="28">
        <v>62.276029999999999</v>
      </c>
      <c r="G1156" s="28">
        <v>164.13</v>
      </c>
      <c r="H1156" s="28">
        <v>58.225790000000003</v>
      </c>
      <c r="I1156" s="28">
        <v>59.241630000000001</v>
      </c>
      <c r="J1156" s="29"/>
      <c r="K1156" s="29"/>
      <c r="L1156" s="29"/>
      <c r="M1156" s="29"/>
      <c r="N1156" s="29"/>
      <c r="P1156" s="4">
        <f t="shared" si="73"/>
        <v>-3.7228897924687478E-3</v>
      </c>
      <c r="Q1156" s="4">
        <f t="shared" si="73"/>
        <v>5.9109222550659244E-4</v>
      </c>
      <c r="R1156" s="4">
        <f t="shared" si="73"/>
        <v>-1.4611874745898998E-3</v>
      </c>
      <c r="S1156" s="4">
        <f t="shared" si="73"/>
        <v>-9.5380931221533266E-3</v>
      </c>
      <c r="T1156" s="4">
        <f t="shared" si="73"/>
        <v>-4.244239527557374E-3</v>
      </c>
      <c r="U1156" s="35"/>
      <c r="V1156" s="35"/>
      <c r="W1156" s="35"/>
      <c r="X1156" s="35"/>
    </row>
    <row r="1157" spans="4:24" x14ac:dyDescent="0.3">
      <c r="D1157" s="23">
        <v>41260</v>
      </c>
      <c r="E1157" s="5">
        <v>116.42849699999999</v>
      </c>
      <c r="F1157" s="28">
        <v>62.165500000000002</v>
      </c>
      <c r="G1157" s="28">
        <v>164.44</v>
      </c>
      <c r="H1157" s="28">
        <v>58.999850000000002</v>
      </c>
      <c r="I1157" s="28">
        <v>59.981270000000002</v>
      </c>
      <c r="J1157" s="29"/>
      <c r="K1157" s="29"/>
      <c r="L1157" s="29"/>
      <c r="M1157" s="29"/>
      <c r="N1157" s="29"/>
      <c r="P1157" s="4">
        <f t="shared" ref="P1157:T1172" si="74">LN(E1157/E1156)</f>
        <v>1.1683910908025489E-2</v>
      </c>
      <c r="Q1157" s="4">
        <f t="shared" si="74"/>
        <v>-1.7764170701892576E-3</v>
      </c>
      <c r="R1157" s="4">
        <f t="shared" si="74"/>
        <v>1.8869652858334585E-3</v>
      </c>
      <c r="S1157" s="4">
        <f t="shared" si="74"/>
        <v>1.3206517796287539E-2</v>
      </c>
      <c r="T1157" s="4">
        <f t="shared" si="74"/>
        <v>1.2407842607778229E-2</v>
      </c>
      <c r="U1157" s="35"/>
      <c r="V1157" s="35"/>
      <c r="W1157" s="35"/>
      <c r="X1157" s="35"/>
    </row>
    <row r="1158" spans="4:24" x14ac:dyDescent="0.3">
      <c r="D1158" s="23">
        <v>41261</v>
      </c>
      <c r="E1158" s="5">
        <v>117.72421300000001</v>
      </c>
      <c r="F1158" s="28">
        <v>62.025579999999998</v>
      </c>
      <c r="G1158" s="28">
        <v>162.08000000000001</v>
      </c>
      <c r="H1158" s="28">
        <v>59.899929999999998</v>
      </c>
      <c r="I1158" s="28">
        <v>60.680250000000001</v>
      </c>
      <c r="J1158" s="29"/>
      <c r="K1158" s="29"/>
      <c r="L1158" s="29"/>
      <c r="M1158" s="29"/>
      <c r="N1158" s="29"/>
      <c r="P1158" s="4">
        <f t="shared" si="74"/>
        <v>1.1067386114591484E-2</v>
      </c>
      <c r="Q1158" s="4">
        <f t="shared" si="74"/>
        <v>-2.2533028813692345E-3</v>
      </c>
      <c r="R1158" s="4">
        <f t="shared" si="74"/>
        <v>-1.4455721529304319E-2</v>
      </c>
      <c r="S1158" s="4">
        <f t="shared" si="74"/>
        <v>1.5140434976757133E-2</v>
      </c>
      <c r="T1158" s="4">
        <f t="shared" si="74"/>
        <v>1.158592762419877E-2</v>
      </c>
      <c r="U1158" s="35"/>
      <c r="V1158" s="35"/>
      <c r="W1158" s="35"/>
      <c r="X1158" s="35"/>
    </row>
    <row r="1159" spans="4:24" x14ac:dyDescent="0.3">
      <c r="D1159" s="23">
        <v>41262</v>
      </c>
      <c r="E1159" s="5">
        <v>116.849609</v>
      </c>
      <c r="F1159" s="28">
        <v>62.158189999999998</v>
      </c>
      <c r="G1159" s="28">
        <v>161.69</v>
      </c>
      <c r="H1159" s="28">
        <v>59.638919999999999</v>
      </c>
      <c r="I1159" s="28">
        <v>60.306370000000001</v>
      </c>
      <c r="J1159" s="29"/>
      <c r="K1159" s="29"/>
      <c r="L1159" s="29"/>
      <c r="M1159" s="29"/>
      <c r="N1159" s="29"/>
      <c r="P1159" s="4">
        <f t="shared" si="74"/>
        <v>-7.4569962271680956E-3</v>
      </c>
      <c r="Q1159" s="4">
        <f t="shared" si="74"/>
        <v>2.135706629063306E-3</v>
      </c>
      <c r="R1159" s="4">
        <f t="shared" si="74"/>
        <v>-2.4091187486501684E-3</v>
      </c>
      <c r="S1159" s="4">
        <f t="shared" si="74"/>
        <v>-4.3669554257009698E-3</v>
      </c>
      <c r="T1159" s="4">
        <f t="shared" si="74"/>
        <v>-6.1805378173923524E-3</v>
      </c>
      <c r="U1159" s="35"/>
      <c r="V1159" s="35"/>
      <c r="W1159" s="35"/>
      <c r="X1159" s="35"/>
    </row>
    <row r="1160" spans="4:24" x14ac:dyDescent="0.3">
      <c r="D1160" s="23">
        <v>41263</v>
      </c>
      <c r="E1160" s="5">
        <v>117.521759</v>
      </c>
      <c r="F1160" s="28">
        <v>62.172910000000002</v>
      </c>
      <c r="G1160" s="28">
        <v>159.72999999999999</v>
      </c>
      <c r="H1160" s="28">
        <v>59.638919999999999</v>
      </c>
      <c r="I1160" s="28">
        <v>60.63796</v>
      </c>
      <c r="J1160" s="29"/>
      <c r="K1160" s="29"/>
      <c r="L1160" s="29"/>
      <c r="M1160" s="29"/>
      <c r="N1160" s="29"/>
      <c r="P1160" s="4">
        <f t="shared" si="74"/>
        <v>5.7357846097210998E-3</v>
      </c>
      <c r="Q1160" s="4">
        <f t="shared" si="74"/>
        <v>2.3678709620966892E-4</v>
      </c>
      <c r="R1160" s="4">
        <f t="shared" si="74"/>
        <v>-1.2196031949858009E-2</v>
      </c>
      <c r="S1160" s="4">
        <f t="shared" si="74"/>
        <v>0</v>
      </c>
      <c r="T1160" s="4">
        <f t="shared" si="74"/>
        <v>5.4833629792055399E-3</v>
      </c>
      <c r="U1160" s="35"/>
      <c r="V1160" s="35"/>
      <c r="W1160" s="35"/>
      <c r="X1160" s="35"/>
    </row>
    <row r="1161" spans="4:24" x14ac:dyDescent="0.3">
      <c r="D1161" s="23">
        <v>41264</v>
      </c>
      <c r="E1161" s="5">
        <v>116.454987</v>
      </c>
      <c r="F1161" s="28">
        <v>62.261270000000003</v>
      </c>
      <c r="G1161" s="28">
        <v>160.33000000000001</v>
      </c>
      <c r="H1161" s="28">
        <v>59.011679999999998</v>
      </c>
      <c r="I1161" s="28">
        <v>60.122149999999998</v>
      </c>
      <c r="J1161" s="29"/>
      <c r="K1161" s="29"/>
      <c r="L1161" s="29"/>
      <c r="M1161" s="29"/>
      <c r="N1161" s="29"/>
      <c r="P1161" s="4">
        <f t="shared" si="74"/>
        <v>-9.1186787584234003E-3</v>
      </c>
      <c r="Q1161" s="4">
        <f t="shared" si="74"/>
        <v>1.4201888074702608E-3</v>
      </c>
      <c r="R1161" s="4">
        <f t="shared" si="74"/>
        <v>3.7493013988808646E-3</v>
      </c>
      <c r="S1161" s="4">
        <f t="shared" si="74"/>
        <v>-1.0572990665951161E-2</v>
      </c>
      <c r="T1161" s="4">
        <f t="shared" si="74"/>
        <v>-8.5427735522404687E-3</v>
      </c>
      <c r="U1161" s="35"/>
      <c r="V1161" s="35"/>
      <c r="W1161" s="35"/>
      <c r="X1161" s="35"/>
    </row>
    <row r="1162" spans="4:24" x14ac:dyDescent="0.3">
      <c r="D1162" s="23">
        <v>41267</v>
      </c>
      <c r="E1162" s="5">
        <v>116.09613</v>
      </c>
      <c r="F1162" s="28">
        <v>61.841419999999999</v>
      </c>
      <c r="G1162" s="28">
        <v>160.62</v>
      </c>
      <c r="H1162" s="28">
        <v>58.893999999999998</v>
      </c>
      <c r="I1162" s="28">
        <v>59.917450000000002</v>
      </c>
      <c r="J1162" s="29"/>
      <c r="K1162" s="29"/>
      <c r="L1162" s="29"/>
      <c r="M1162" s="29"/>
      <c r="N1162" s="29"/>
      <c r="P1162" s="4">
        <f t="shared" si="74"/>
        <v>-3.0862658453178417E-3</v>
      </c>
      <c r="Q1162" s="4">
        <f t="shared" si="74"/>
        <v>-6.766196635642709E-3</v>
      </c>
      <c r="R1162" s="4">
        <f t="shared" si="74"/>
        <v>1.8071355595701373E-3</v>
      </c>
      <c r="S1162" s="4">
        <f t="shared" si="74"/>
        <v>-1.9961725181800944E-3</v>
      </c>
      <c r="T1162" s="4">
        <f t="shared" si="74"/>
        <v>-3.4105444939722513E-3</v>
      </c>
      <c r="U1162" s="35"/>
      <c r="V1162" s="35"/>
      <c r="W1162" s="35"/>
      <c r="X1162" s="35"/>
    </row>
    <row r="1163" spans="4:24" x14ac:dyDescent="0.3">
      <c r="D1163" s="23">
        <v>41269</v>
      </c>
      <c r="E1163" s="5">
        <v>115.60681200000001</v>
      </c>
      <c r="F1163" s="28">
        <v>61.892989999999998</v>
      </c>
      <c r="G1163" s="28">
        <v>160.78</v>
      </c>
      <c r="H1163" s="28">
        <v>58.37811</v>
      </c>
      <c r="I1163" s="28">
        <v>59.630870000000002</v>
      </c>
      <c r="J1163" s="29"/>
      <c r="K1163" s="29"/>
      <c r="L1163" s="29"/>
      <c r="M1163" s="29"/>
      <c r="N1163" s="29"/>
      <c r="P1163" s="4">
        <f t="shared" si="74"/>
        <v>-4.2236729771745292E-3</v>
      </c>
      <c r="Q1163" s="4">
        <f t="shared" si="74"/>
        <v>8.3355960538381761E-4</v>
      </c>
      <c r="R1163" s="4">
        <f t="shared" si="74"/>
        <v>9.9564413949869966E-4</v>
      </c>
      <c r="S1163" s="4">
        <f t="shared" si="74"/>
        <v>-8.7982270953344856E-3</v>
      </c>
      <c r="T1163" s="4">
        <f t="shared" si="74"/>
        <v>-4.7943885610042657E-3</v>
      </c>
      <c r="U1163" s="35"/>
      <c r="V1163" s="35"/>
      <c r="W1163" s="35"/>
      <c r="X1163" s="35"/>
    </row>
    <row r="1164" spans="4:24" x14ac:dyDescent="0.3">
      <c r="D1164" s="23">
        <v>41270</v>
      </c>
      <c r="E1164" s="5">
        <v>115.45182</v>
      </c>
      <c r="F1164" s="28">
        <v>61.944569999999999</v>
      </c>
      <c r="G1164" s="28">
        <v>161.16</v>
      </c>
      <c r="H1164" s="28">
        <v>58.287610000000001</v>
      </c>
      <c r="I1164" s="28">
        <v>59.581769999999999</v>
      </c>
      <c r="J1164" s="29"/>
      <c r="K1164" s="29"/>
      <c r="L1164" s="29"/>
      <c r="M1164" s="29"/>
      <c r="N1164" s="29"/>
      <c r="P1164" s="4">
        <f t="shared" si="74"/>
        <v>-1.3415817613493563E-3</v>
      </c>
      <c r="Q1164" s="4">
        <f t="shared" si="74"/>
        <v>8.3302679708420707E-4</v>
      </c>
      <c r="R1164" s="4">
        <f t="shared" si="74"/>
        <v>2.3606894233318063E-3</v>
      </c>
      <c r="S1164" s="4">
        <f t="shared" si="74"/>
        <v>-1.5514414714548426E-3</v>
      </c>
      <c r="T1164" s="4">
        <f t="shared" si="74"/>
        <v>-8.2373820051936269E-4</v>
      </c>
      <c r="U1164" s="35"/>
      <c r="V1164" s="35"/>
      <c r="W1164" s="35"/>
      <c r="X1164" s="35"/>
    </row>
    <row r="1165" spans="4:24" x14ac:dyDescent="0.3">
      <c r="D1165" s="23">
        <v>41271</v>
      </c>
      <c r="E1165" s="5">
        <v>114.204018</v>
      </c>
      <c r="F1165" s="28">
        <v>61.959269999999997</v>
      </c>
      <c r="G1165" s="28">
        <v>160.54</v>
      </c>
      <c r="H1165" s="28">
        <v>57.726439999999997</v>
      </c>
      <c r="I1165" s="28">
        <v>58.934930000000001</v>
      </c>
      <c r="J1165" s="29"/>
      <c r="K1165" s="29"/>
      <c r="L1165" s="29"/>
      <c r="M1165" s="29"/>
      <c r="N1165" s="29"/>
      <c r="P1165" s="4">
        <f t="shared" si="74"/>
        <v>-1.0866819585533391E-2</v>
      </c>
      <c r="Q1165" s="4">
        <f t="shared" si="74"/>
        <v>2.3728078272583332E-4</v>
      </c>
      <c r="R1165" s="4">
        <f t="shared" si="74"/>
        <v>-3.8545276197157726E-3</v>
      </c>
      <c r="S1165" s="4">
        <f t="shared" si="74"/>
        <v>-9.674248536315485E-3</v>
      </c>
      <c r="T1165" s="4">
        <f t="shared" si="74"/>
        <v>-1.0915700870941247E-2</v>
      </c>
      <c r="U1165" s="35"/>
      <c r="V1165" s="35"/>
      <c r="W1165" s="35"/>
      <c r="X1165" s="35"/>
    </row>
    <row r="1166" spans="4:24" x14ac:dyDescent="0.3">
      <c r="D1166" s="23">
        <v>41274</v>
      </c>
      <c r="E1166" s="5">
        <v>116.14510300000001</v>
      </c>
      <c r="F1166" s="28">
        <v>61.900379999999998</v>
      </c>
      <c r="G1166" s="28">
        <v>162.02000000000001</v>
      </c>
      <c r="H1166" s="28">
        <v>58.948320000000002</v>
      </c>
      <c r="I1166" s="28">
        <v>59.99933</v>
      </c>
      <c r="J1166" s="29"/>
      <c r="K1166" s="29"/>
      <c r="L1166" s="29"/>
      <c r="M1166" s="29"/>
      <c r="N1166" s="29"/>
      <c r="P1166" s="4">
        <f t="shared" si="74"/>
        <v>1.6853816838022312E-2</v>
      </c>
      <c r="Q1166" s="4">
        <f t="shared" si="74"/>
        <v>-9.5091507908431178E-4</v>
      </c>
      <c r="R1166" s="4">
        <f t="shared" si="74"/>
        <v>9.1766516989145539E-3</v>
      </c>
      <c r="S1166" s="4">
        <f t="shared" si="74"/>
        <v>2.0945827056121746E-2</v>
      </c>
      <c r="T1166" s="4">
        <f t="shared" si="74"/>
        <v>1.7899441564474226E-2</v>
      </c>
      <c r="U1166" s="35"/>
      <c r="V1166" s="35"/>
      <c r="W1166" s="35"/>
      <c r="X1166" s="35"/>
    </row>
    <row r="1167" spans="4:24" x14ac:dyDescent="0.3">
      <c r="D1167" s="23">
        <v>41276</v>
      </c>
      <c r="E1167" s="5">
        <v>119.121872</v>
      </c>
      <c r="F1167" s="28">
        <v>61.804609999999997</v>
      </c>
      <c r="G1167" s="28">
        <v>163.16999999999999</v>
      </c>
      <c r="H1167" s="28">
        <v>60.821840000000002</v>
      </c>
      <c r="I1167" s="28">
        <v>61.52223</v>
      </c>
      <c r="J1167" s="29"/>
      <c r="K1167" s="29"/>
      <c r="L1167" s="29"/>
      <c r="M1167" s="29"/>
      <c r="N1167" s="29"/>
      <c r="P1167" s="4">
        <f t="shared" si="74"/>
        <v>2.5306806168491656E-2</v>
      </c>
      <c r="Q1167" s="4">
        <f t="shared" si="74"/>
        <v>-1.5483614546743503E-3</v>
      </c>
      <c r="R1167" s="4">
        <f t="shared" si="74"/>
        <v>7.0728177006336695E-3</v>
      </c>
      <c r="S1167" s="4">
        <f t="shared" si="74"/>
        <v>3.1287807148233669E-2</v>
      </c>
      <c r="T1167" s="4">
        <f t="shared" si="74"/>
        <v>2.5065177421858025E-2</v>
      </c>
      <c r="U1167" s="35"/>
      <c r="V1167" s="35"/>
      <c r="W1167" s="35"/>
      <c r="X1167" s="35"/>
    </row>
    <row r="1168" spans="4:24" x14ac:dyDescent="0.3">
      <c r="D1168" s="23">
        <v>41277</v>
      </c>
      <c r="E1168" s="5">
        <v>118.85275300000001</v>
      </c>
      <c r="F1168" s="28">
        <v>61.620440000000002</v>
      </c>
      <c r="G1168" s="28">
        <v>161.19999999999999</v>
      </c>
      <c r="H1168" s="28">
        <v>60.50508</v>
      </c>
      <c r="I1168" s="28">
        <v>61.432189999999999</v>
      </c>
      <c r="J1168" s="29"/>
      <c r="K1168" s="29"/>
      <c r="L1168" s="29"/>
      <c r="M1168" s="29"/>
      <c r="N1168" s="29"/>
      <c r="P1168" s="4">
        <f t="shared" si="74"/>
        <v>-2.2617463078097562E-3</v>
      </c>
      <c r="Q1168" s="4">
        <f t="shared" si="74"/>
        <v>-2.984323468982592E-3</v>
      </c>
      <c r="R1168" s="4">
        <f t="shared" si="74"/>
        <v>-1.2146772030451131E-2</v>
      </c>
      <c r="S1168" s="4">
        <f t="shared" si="74"/>
        <v>-5.2216065438635629E-3</v>
      </c>
      <c r="T1168" s="4">
        <f t="shared" si="74"/>
        <v>-1.4646080408533188E-3</v>
      </c>
      <c r="U1168" s="35"/>
      <c r="V1168" s="35"/>
      <c r="W1168" s="35"/>
      <c r="X1168" s="35"/>
    </row>
    <row r="1169" spans="4:24" x14ac:dyDescent="0.3">
      <c r="D1169" s="23">
        <v>41278</v>
      </c>
      <c r="E1169" s="5">
        <v>119.37473300000001</v>
      </c>
      <c r="F1169" s="28">
        <v>61.716189999999997</v>
      </c>
      <c r="G1169" s="28">
        <v>160.44</v>
      </c>
      <c r="H1169" s="28">
        <v>60.305959999999999</v>
      </c>
      <c r="I1169" s="28">
        <v>61.743310000000001</v>
      </c>
      <c r="J1169" s="29"/>
      <c r="K1169" s="29"/>
      <c r="L1169" s="29"/>
      <c r="M1169" s="29"/>
      <c r="N1169" s="29"/>
      <c r="P1169" s="4">
        <f t="shared" si="74"/>
        <v>4.3822049595868854E-3</v>
      </c>
      <c r="Q1169" s="4">
        <f t="shared" si="74"/>
        <v>1.5526615124124548E-3</v>
      </c>
      <c r="R1169" s="4">
        <f t="shared" si="74"/>
        <v>-4.7257891706757186E-3</v>
      </c>
      <c r="S1169" s="4">
        <f t="shared" si="74"/>
        <v>-3.2963904673991027E-3</v>
      </c>
      <c r="T1169" s="4">
        <f t="shared" si="74"/>
        <v>5.0516646838132707E-3</v>
      </c>
      <c r="U1169" s="35"/>
      <c r="V1169" s="35"/>
      <c r="W1169" s="35"/>
      <c r="X1169" s="35"/>
    </row>
    <row r="1170" spans="4:24" x14ac:dyDescent="0.3">
      <c r="D1170" s="23">
        <v>41281</v>
      </c>
      <c r="E1170" s="5">
        <v>119.04847700000001</v>
      </c>
      <c r="F1170" s="28">
        <v>61.671970000000002</v>
      </c>
      <c r="G1170" s="28">
        <v>159.43</v>
      </c>
      <c r="H1170" s="28">
        <v>60.324060000000003</v>
      </c>
      <c r="I1170" s="28">
        <v>61.579540000000001</v>
      </c>
      <c r="J1170" s="29"/>
      <c r="K1170" s="29"/>
      <c r="L1170" s="29"/>
      <c r="M1170" s="29"/>
      <c r="N1170" s="29"/>
      <c r="P1170" s="4">
        <f t="shared" si="74"/>
        <v>-2.7367822422780996E-3</v>
      </c>
      <c r="Q1170" s="4">
        <f t="shared" si="74"/>
        <v>-7.167624817998264E-4</v>
      </c>
      <c r="R1170" s="4">
        <f t="shared" si="74"/>
        <v>-6.3150864825781373E-3</v>
      </c>
      <c r="S1170" s="4">
        <f t="shared" si="74"/>
        <v>3.0009114042825301E-4</v>
      </c>
      <c r="T1170" s="4">
        <f t="shared" si="74"/>
        <v>-2.6559570472288502E-3</v>
      </c>
      <c r="U1170" s="35"/>
      <c r="V1170" s="35"/>
      <c r="W1170" s="35"/>
      <c r="X1170" s="35"/>
    </row>
    <row r="1171" spans="4:24" x14ac:dyDescent="0.3">
      <c r="D1171" s="23">
        <v>41282</v>
      </c>
      <c r="E1171" s="5">
        <v>118.70594800000001</v>
      </c>
      <c r="F1171" s="28">
        <v>61.730939999999997</v>
      </c>
      <c r="G1171" s="28">
        <v>160.56</v>
      </c>
      <c r="H1171" s="28">
        <v>60.206380000000003</v>
      </c>
      <c r="I1171" s="28">
        <v>61.415799999999997</v>
      </c>
      <c r="J1171" s="29"/>
      <c r="K1171" s="29"/>
      <c r="L1171" s="29"/>
      <c r="M1171" s="29"/>
      <c r="N1171" s="29"/>
      <c r="P1171" s="4">
        <f t="shared" si="74"/>
        <v>-2.8813700269201491E-3</v>
      </c>
      <c r="Q1171" s="4">
        <f t="shared" si="74"/>
        <v>9.5573118152072762E-4</v>
      </c>
      <c r="R1171" s="4">
        <f t="shared" si="74"/>
        <v>7.0627500688086372E-3</v>
      </c>
      <c r="S1171" s="4">
        <f t="shared" si="74"/>
        <v>-1.9527023612171924E-3</v>
      </c>
      <c r="T1171" s="4">
        <f t="shared" si="74"/>
        <v>-2.6625414707766018E-3</v>
      </c>
      <c r="U1171" s="35"/>
      <c r="V1171" s="35"/>
      <c r="W1171" s="35"/>
      <c r="X1171" s="35"/>
    </row>
    <row r="1172" spans="4:24" x14ac:dyDescent="0.3">
      <c r="D1172" s="23">
        <v>41283</v>
      </c>
      <c r="E1172" s="5">
        <v>119.007751</v>
      </c>
      <c r="F1172" s="28">
        <v>61.708860000000001</v>
      </c>
      <c r="G1172" s="28">
        <v>160.49</v>
      </c>
      <c r="H1172" s="28">
        <v>60.432670000000002</v>
      </c>
      <c r="I1172" s="28">
        <v>61.604129999999998</v>
      </c>
      <c r="J1172" s="29"/>
      <c r="K1172" s="29"/>
      <c r="L1172" s="29"/>
      <c r="M1172" s="29"/>
      <c r="N1172" s="29"/>
      <c r="P1172" s="4">
        <f t="shared" si="74"/>
        <v>2.5392155641742356E-3</v>
      </c>
      <c r="Q1172" s="4">
        <f t="shared" si="74"/>
        <v>-3.5774523671427955E-4</v>
      </c>
      <c r="R1172" s="4">
        <f t="shared" si="74"/>
        <v>-4.3606915501779138E-4</v>
      </c>
      <c r="S1172" s="4">
        <f t="shared" si="74"/>
        <v>3.7515259843209419E-3</v>
      </c>
      <c r="T1172" s="4">
        <f t="shared" si="74"/>
        <v>3.0617827066745746E-3</v>
      </c>
      <c r="U1172" s="35"/>
      <c r="V1172" s="35"/>
      <c r="W1172" s="35"/>
      <c r="X1172" s="35"/>
    </row>
    <row r="1173" spans="4:24" x14ac:dyDescent="0.3">
      <c r="D1173" s="23">
        <v>41284</v>
      </c>
      <c r="E1173" s="5">
        <v>119.95380400000001</v>
      </c>
      <c r="F1173" s="28">
        <v>61.708860000000001</v>
      </c>
      <c r="G1173" s="28">
        <v>161.97999999999999</v>
      </c>
      <c r="H1173" s="28">
        <v>60.794690000000003</v>
      </c>
      <c r="I1173" s="28">
        <v>62.029859999999999</v>
      </c>
      <c r="J1173" s="29"/>
      <c r="K1173" s="29"/>
      <c r="L1173" s="29"/>
      <c r="M1173" s="29"/>
      <c r="N1173" s="29"/>
      <c r="P1173" s="4">
        <f t="shared" ref="P1173:T1188" si="75">LN(E1173/E1172)</f>
        <v>7.9180765525349688E-3</v>
      </c>
      <c r="Q1173" s="4">
        <f t="shared" si="75"/>
        <v>0</v>
      </c>
      <c r="R1173" s="4">
        <f t="shared" si="75"/>
        <v>9.241235487778816E-3</v>
      </c>
      <c r="S1173" s="4">
        <f t="shared" si="75"/>
        <v>5.97259688178544E-3</v>
      </c>
      <c r="T1173" s="4">
        <f t="shared" si="75"/>
        <v>6.8869682634730032E-3</v>
      </c>
      <c r="U1173" s="35"/>
      <c r="V1173" s="35"/>
      <c r="W1173" s="35"/>
      <c r="X1173" s="35"/>
    </row>
    <row r="1174" spans="4:24" x14ac:dyDescent="0.3">
      <c r="D1174" s="23">
        <v>41285</v>
      </c>
      <c r="E1174" s="5">
        <v>119.94564099999999</v>
      </c>
      <c r="F1174" s="28">
        <v>61.753050000000002</v>
      </c>
      <c r="G1174" s="28">
        <v>161.06</v>
      </c>
      <c r="H1174" s="28">
        <v>60.876159999999999</v>
      </c>
      <c r="I1174" s="28">
        <v>62.038029999999999</v>
      </c>
      <c r="J1174" s="29"/>
      <c r="K1174" s="29"/>
      <c r="L1174" s="29"/>
      <c r="M1174" s="29"/>
      <c r="N1174" s="29"/>
      <c r="P1174" s="4">
        <f t="shared" si="75"/>
        <v>-6.8053513030476358E-5</v>
      </c>
      <c r="Q1174" s="4">
        <f t="shared" si="75"/>
        <v>7.158483436235717E-4</v>
      </c>
      <c r="R1174" s="4">
        <f t="shared" si="75"/>
        <v>-5.695904453444956E-3</v>
      </c>
      <c r="S1174" s="4">
        <f t="shared" si="75"/>
        <v>1.3391870308431359E-3</v>
      </c>
      <c r="T1174" s="4">
        <f t="shared" si="75"/>
        <v>1.317020868464105E-4</v>
      </c>
      <c r="U1174" s="35"/>
      <c r="V1174" s="35"/>
      <c r="W1174" s="35"/>
      <c r="X1174" s="35"/>
    </row>
    <row r="1175" spans="4:24" x14ac:dyDescent="0.3">
      <c r="D1175" s="23">
        <v>41288</v>
      </c>
      <c r="E1175" s="5">
        <v>119.864075</v>
      </c>
      <c r="F1175" s="28">
        <v>61.753050000000002</v>
      </c>
      <c r="G1175" s="28">
        <v>161.54</v>
      </c>
      <c r="H1175" s="28">
        <v>60.604610000000001</v>
      </c>
      <c r="I1175" s="28">
        <v>61.972560000000001</v>
      </c>
      <c r="J1175" s="29"/>
      <c r="K1175" s="29"/>
      <c r="L1175" s="29"/>
      <c r="M1175" s="29"/>
      <c r="N1175" s="29"/>
      <c r="P1175" s="4">
        <f t="shared" si="75"/>
        <v>-6.8025603387459775E-4</v>
      </c>
      <c r="Q1175" s="4">
        <f t="shared" si="75"/>
        <v>0</v>
      </c>
      <c r="R1175" s="4">
        <f t="shared" si="75"/>
        <v>2.9758236467512804E-3</v>
      </c>
      <c r="S1175" s="4">
        <f t="shared" si="75"/>
        <v>-4.470673873524152E-3</v>
      </c>
      <c r="T1175" s="4">
        <f t="shared" si="75"/>
        <v>-1.0558776646830568E-3</v>
      </c>
      <c r="U1175" s="35"/>
      <c r="V1175" s="35"/>
      <c r="W1175" s="35"/>
      <c r="X1175" s="35"/>
    </row>
    <row r="1176" spans="4:24" x14ac:dyDescent="0.3">
      <c r="D1176" s="23">
        <v>41289</v>
      </c>
      <c r="E1176" s="5">
        <v>119.94564099999999</v>
      </c>
      <c r="F1176" s="28">
        <v>61.834029999999998</v>
      </c>
      <c r="G1176" s="28">
        <v>162.56</v>
      </c>
      <c r="H1176" s="28">
        <v>60.305959999999999</v>
      </c>
      <c r="I1176" s="28">
        <v>62.08717</v>
      </c>
      <c r="J1176" s="29"/>
      <c r="K1176" s="29"/>
      <c r="L1176" s="29"/>
      <c r="M1176" s="29"/>
      <c r="N1176" s="29"/>
      <c r="P1176" s="4">
        <f t="shared" si="75"/>
        <v>6.8025603387448412E-4</v>
      </c>
      <c r="Q1176" s="4">
        <f t="shared" si="75"/>
        <v>1.3104931614134104E-3</v>
      </c>
      <c r="R1176" s="4">
        <f t="shared" si="75"/>
        <v>6.2943743759668186E-3</v>
      </c>
      <c r="S1176" s="4">
        <f t="shared" si="75"/>
        <v>-4.9400248026363839E-3</v>
      </c>
      <c r="T1176" s="4">
        <f t="shared" si="75"/>
        <v>1.8476589076092521E-3</v>
      </c>
      <c r="U1176" s="35"/>
      <c r="V1176" s="35"/>
      <c r="W1176" s="35"/>
      <c r="X1176" s="35"/>
    </row>
    <row r="1177" spans="4:24" x14ac:dyDescent="0.3">
      <c r="D1177" s="23">
        <v>41290</v>
      </c>
      <c r="E1177" s="5">
        <v>119.929321</v>
      </c>
      <c r="F1177" s="28">
        <v>61.826689999999999</v>
      </c>
      <c r="G1177" s="28">
        <v>162.65</v>
      </c>
      <c r="H1177" s="28">
        <v>60.550330000000002</v>
      </c>
      <c r="I1177" s="28">
        <v>62.038029999999999</v>
      </c>
      <c r="J1177" s="29"/>
      <c r="K1177" s="29"/>
      <c r="L1177" s="29"/>
      <c r="M1177" s="29"/>
      <c r="N1177" s="29"/>
      <c r="P1177" s="4">
        <f t="shared" si="75"/>
        <v>-1.3607089201057474E-4</v>
      </c>
      <c r="Q1177" s="4">
        <f t="shared" si="75"/>
        <v>-1.1871190801120641E-4</v>
      </c>
      <c r="R1177" s="4">
        <f t="shared" si="75"/>
        <v>5.5348852924348734E-4</v>
      </c>
      <c r="S1177" s="4">
        <f t="shared" si="75"/>
        <v>4.0439820390188678E-3</v>
      </c>
      <c r="T1177" s="4">
        <f t="shared" si="75"/>
        <v>-7.9178124292611626E-4</v>
      </c>
      <c r="U1177" s="35"/>
      <c r="V1177" s="35"/>
      <c r="W1177" s="35"/>
      <c r="X1177" s="35"/>
    </row>
    <row r="1178" spans="4:24" x14ac:dyDescent="0.3">
      <c r="D1178" s="23">
        <v>41291</v>
      </c>
      <c r="E1178" s="5">
        <v>120.704117</v>
      </c>
      <c r="F1178" s="28">
        <v>61.723570000000002</v>
      </c>
      <c r="G1178" s="28">
        <v>163.35</v>
      </c>
      <c r="H1178" s="28">
        <v>60.839950000000002</v>
      </c>
      <c r="I1178" s="28">
        <v>62.463810000000002</v>
      </c>
      <c r="J1178" s="29"/>
      <c r="K1178" s="29"/>
      <c r="L1178" s="29"/>
      <c r="M1178" s="29"/>
      <c r="N1178" s="29"/>
      <c r="P1178" s="4">
        <f t="shared" si="75"/>
        <v>6.4396592921812188E-3</v>
      </c>
      <c r="Q1178" s="4">
        <f t="shared" si="75"/>
        <v>-1.6692805655819484E-3</v>
      </c>
      <c r="R1178" s="4">
        <f t="shared" si="75"/>
        <v>4.2944851277185439E-3</v>
      </c>
      <c r="S1178" s="4">
        <f t="shared" si="75"/>
        <v>4.7717255374715691E-3</v>
      </c>
      <c r="T1178" s="4">
        <f t="shared" si="75"/>
        <v>6.839764937059279E-3</v>
      </c>
      <c r="U1178" s="35"/>
      <c r="V1178" s="35"/>
      <c r="W1178" s="35"/>
      <c r="X1178" s="35"/>
    </row>
    <row r="1179" spans="4:24" x14ac:dyDescent="0.3">
      <c r="D1179" s="23">
        <v>41292</v>
      </c>
      <c r="E1179" s="5">
        <v>120.973236</v>
      </c>
      <c r="F1179" s="28">
        <v>61.81926</v>
      </c>
      <c r="G1179" s="28">
        <v>163.09</v>
      </c>
      <c r="H1179" s="28">
        <v>60.704189999999997</v>
      </c>
      <c r="I1179" s="28">
        <v>62.635739999999998</v>
      </c>
      <c r="J1179" s="29"/>
      <c r="K1179" s="29"/>
      <c r="L1179" s="29"/>
      <c r="M1179" s="29"/>
      <c r="N1179" s="29"/>
      <c r="P1179" s="4">
        <f t="shared" si="75"/>
        <v>2.227094164132803E-3</v>
      </c>
      <c r="Q1179" s="4">
        <f t="shared" si="75"/>
        <v>1.5490987074791636E-3</v>
      </c>
      <c r="R1179" s="4">
        <f t="shared" si="75"/>
        <v>-1.5929423782527342E-3</v>
      </c>
      <c r="S1179" s="4">
        <f t="shared" si="75"/>
        <v>-2.2339218732904511E-3</v>
      </c>
      <c r="T1179" s="4">
        <f t="shared" si="75"/>
        <v>2.7486926731344345E-3</v>
      </c>
      <c r="U1179" s="35"/>
      <c r="V1179" s="35"/>
      <c r="W1179" s="35"/>
      <c r="X1179" s="35"/>
    </row>
    <row r="1180" spans="4:24" x14ac:dyDescent="0.3">
      <c r="D1180" s="23">
        <v>41296</v>
      </c>
      <c r="E1180" s="5">
        <v>121.625671</v>
      </c>
      <c r="F1180" s="28">
        <v>61.760350000000003</v>
      </c>
      <c r="G1180" s="28">
        <v>163.66999999999999</v>
      </c>
      <c r="H1180" s="28">
        <v>60.803750000000001</v>
      </c>
      <c r="I1180" s="28">
        <v>62.963259999999998</v>
      </c>
      <c r="J1180" s="29"/>
      <c r="K1180" s="29"/>
      <c r="L1180" s="29"/>
      <c r="M1180" s="29"/>
      <c r="N1180" s="29"/>
      <c r="P1180" s="4">
        <f t="shared" si="75"/>
        <v>5.3787264008508251E-3</v>
      </c>
      <c r="Q1180" s="4">
        <f t="shared" si="75"/>
        <v>-9.533935972484269E-4</v>
      </c>
      <c r="R1180" s="4">
        <f t="shared" si="75"/>
        <v>3.5500098489659833E-3</v>
      </c>
      <c r="S1180" s="4">
        <f t="shared" si="75"/>
        <v>1.6387410119941903E-3</v>
      </c>
      <c r="T1180" s="4">
        <f t="shared" si="75"/>
        <v>5.2153399688227436E-3</v>
      </c>
      <c r="U1180" s="35"/>
      <c r="V1180" s="35"/>
      <c r="W1180" s="35"/>
      <c r="X1180" s="35"/>
    </row>
    <row r="1181" spans="4:24" x14ac:dyDescent="0.3">
      <c r="D1181" s="23">
        <v>41297</v>
      </c>
      <c r="E1181" s="5">
        <v>121.82141900000001</v>
      </c>
      <c r="F1181" s="28">
        <v>61.85615</v>
      </c>
      <c r="G1181" s="28">
        <v>163.21</v>
      </c>
      <c r="H1181" s="28">
        <v>61.174819999999997</v>
      </c>
      <c r="I1181" s="28">
        <v>63.036960000000001</v>
      </c>
      <c r="J1181" s="29"/>
      <c r="K1181" s="29"/>
      <c r="L1181" s="29"/>
      <c r="M1181" s="29"/>
      <c r="N1181" s="29"/>
      <c r="P1181" s="4">
        <f t="shared" si="75"/>
        <v>1.6081362252911595E-3</v>
      </c>
      <c r="Q1181" s="4">
        <f t="shared" si="75"/>
        <v>1.5499552111384177E-3</v>
      </c>
      <c r="R1181" s="4">
        <f t="shared" si="75"/>
        <v>-2.8144903551879496E-3</v>
      </c>
      <c r="S1181" s="4">
        <f t="shared" si="75"/>
        <v>6.0842022442705026E-3</v>
      </c>
      <c r="T1181" s="4">
        <f t="shared" si="75"/>
        <v>1.1698393606777095E-3</v>
      </c>
      <c r="U1181" s="35"/>
      <c r="V1181" s="35"/>
      <c r="W1181" s="35"/>
      <c r="X1181" s="35"/>
    </row>
    <row r="1182" spans="4:24" x14ac:dyDescent="0.3">
      <c r="D1182" s="23">
        <v>41298</v>
      </c>
      <c r="E1182" s="5">
        <v>121.854111</v>
      </c>
      <c r="F1182" s="28">
        <v>61.767769999999999</v>
      </c>
      <c r="G1182" s="28">
        <v>161.41999999999999</v>
      </c>
      <c r="H1182" s="28">
        <v>60.333120000000001</v>
      </c>
      <c r="I1182" s="28">
        <v>63.110660000000003</v>
      </c>
      <c r="J1182" s="29"/>
      <c r="K1182" s="29"/>
      <c r="L1182" s="29"/>
      <c r="M1182" s="29"/>
      <c r="N1182" s="29"/>
      <c r="P1182" s="4">
        <f t="shared" si="75"/>
        <v>2.6832403069899024E-4</v>
      </c>
      <c r="Q1182" s="4">
        <f t="shared" si="75"/>
        <v>-1.4298206213961052E-3</v>
      </c>
      <c r="R1182" s="4">
        <f t="shared" si="75"/>
        <v>-1.1028051266378316E-2</v>
      </c>
      <c r="S1182" s="4">
        <f t="shared" si="75"/>
        <v>-1.3854460266121388E-2</v>
      </c>
      <c r="T1182" s="4">
        <f t="shared" si="75"/>
        <v>1.1684724354750851E-3</v>
      </c>
      <c r="U1182" s="35"/>
      <c r="V1182" s="35"/>
      <c r="W1182" s="35"/>
      <c r="X1182" s="35"/>
    </row>
    <row r="1183" spans="4:24" x14ac:dyDescent="0.3">
      <c r="D1183" s="23">
        <v>41299</v>
      </c>
      <c r="E1183" s="5">
        <v>122.539131</v>
      </c>
      <c r="F1183" s="28">
        <v>61.568840000000002</v>
      </c>
      <c r="G1183" s="28">
        <v>160.65</v>
      </c>
      <c r="H1183" s="28">
        <v>60.640839999999997</v>
      </c>
      <c r="I1183" s="28">
        <v>63.462719999999997</v>
      </c>
      <c r="J1183" s="29"/>
      <c r="K1183" s="29"/>
      <c r="L1183" s="29"/>
      <c r="M1183" s="29"/>
      <c r="N1183" s="29"/>
      <c r="P1183" s="4">
        <f t="shared" si="75"/>
        <v>5.6058980056210312E-3</v>
      </c>
      <c r="Q1183" s="4">
        <f t="shared" si="75"/>
        <v>-3.2258089873369923E-3</v>
      </c>
      <c r="R1183" s="4">
        <f t="shared" si="75"/>
        <v>-4.7815783343586535E-3</v>
      </c>
      <c r="S1183" s="4">
        <f t="shared" si="75"/>
        <v>5.08738680105631E-3</v>
      </c>
      <c r="T1183" s="4">
        <f t="shared" si="75"/>
        <v>5.5629534095844157E-3</v>
      </c>
      <c r="U1183" s="35"/>
      <c r="V1183" s="35"/>
      <c r="W1183" s="35"/>
      <c r="X1183" s="35"/>
    </row>
    <row r="1184" spans="4:24" x14ac:dyDescent="0.3">
      <c r="D1184" s="23">
        <v>41302</v>
      </c>
      <c r="E1184" s="5">
        <v>122.392349</v>
      </c>
      <c r="F1184" s="28">
        <v>61.495190000000001</v>
      </c>
      <c r="G1184" s="28">
        <v>160.29</v>
      </c>
      <c r="H1184" s="28">
        <v>60.776580000000003</v>
      </c>
      <c r="I1184" s="28">
        <v>63.405410000000003</v>
      </c>
      <c r="J1184" s="29"/>
      <c r="K1184" s="29"/>
      <c r="L1184" s="29"/>
      <c r="M1184" s="29"/>
      <c r="N1184" s="29"/>
      <c r="P1184" s="4">
        <f t="shared" si="75"/>
        <v>-1.1985557558502884E-3</v>
      </c>
      <c r="Q1184" s="4">
        <f t="shared" si="75"/>
        <v>-1.1969380296250011E-3</v>
      </c>
      <c r="R1184" s="4">
        <f t="shared" si="75"/>
        <v>-2.2434109240779031E-3</v>
      </c>
      <c r="S1184" s="4">
        <f t="shared" si="75"/>
        <v>2.2359239152182015E-3</v>
      </c>
      <c r="T1184" s="4">
        <f t="shared" si="75"/>
        <v>-9.0345784868430163E-4</v>
      </c>
      <c r="U1184" s="35"/>
      <c r="V1184" s="35"/>
      <c r="W1184" s="35"/>
      <c r="X1184" s="35"/>
    </row>
    <row r="1185" spans="4:24" x14ac:dyDescent="0.3">
      <c r="D1185" s="23">
        <v>41303</v>
      </c>
      <c r="E1185" s="5">
        <v>122.873566</v>
      </c>
      <c r="F1185" s="28">
        <v>61.428899999999999</v>
      </c>
      <c r="G1185" s="28">
        <v>160.99</v>
      </c>
      <c r="H1185" s="28">
        <v>60.785649999999997</v>
      </c>
      <c r="I1185" s="28">
        <v>63.618279999999999</v>
      </c>
      <c r="J1185" s="29"/>
      <c r="K1185" s="29"/>
      <c r="L1185" s="29"/>
      <c r="M1185" s="29"/>
      <c r="N1185" s="29"/>
      <c r="P1185" s="4">
        <f t="shared" si="75"/>
        <v>3.9240480479124148E-3</v>
      </c>
      <c r="Q1185" s="4">
        <f t="shared" si="75"/>
        <v>-1.0785519164896622E-3</v>
      </c>
      <c r="R1185" s="4">
        <f t="shared" si="75"/>
        <v>4.3575766164133814E-3</v>
      </c>
      <c r="S1185" s="4">
        <f t="shared" si="75"/>
        <v>1.4922398210081775E-4</v>
      </c>
      <c r="T1185" s="4">
        <f t="shared" si="75"/>
        <v>3.3516613991494727E-3</v>
      </c>
      <c r="U1185" s="35"/>
      <c r="V1185" s="35"/>
      <c r="W1185" s="35"/>
      <c r="X1185" s="35"/>
    </row>
    <row r="1186" spans="4:24" x14ac:dyDescent="0.3">
      <c r="D1186" s="23">
        <v>41304</v>
      </c>
      <c r="E1186" s="5">
        <v>122.392349</v>
      </c>
      <c r="F1186" s="28">
        <v>61.36262</v>
      </c>
      <c r="G1186" s="28">
        <v>162.19</v>
      </c>
      <c r="H1186" s="28">
        <v>60.658920000000002</v>
      </c>
      <c r="I1186" s="28">
        <v>63.364460000000001</v>
      </c>
      <c r="J1186" s="29"/>
      <c r="K1186" s="29"/>
      <c r="L1186" s="29"/>
      <c r="M1186" s="29"/>
      <c r="N1186" s="29"/>
      <c r="P1186" s="4">
        <f t="shared" si="75"/>
        <v>-3.9240480479123246E-3</v>
      </c>
      <c r="Q1186" s="4">
        <f t="shared" si="75"/>
        <v>-1.0795534811701951E-3</v>
      </c>
      <c r="R1186" s="4">
        <f t="shared" si="75"/>
        <v>7.4262362453951297E-3</v>
      </c>
      <c r="S1186" s="4">
        <f t="shared" si="75"/>
        <v>-2.0870434306011964E-3</v>
      </c>
      <c r="T1186" s="4">
        <f t="shared" si="75"/>
        <v>-3.9977139891588789E-3</v>
      </c>
      <c r="U1186" s="35"/>
      <c r="V1186" s="35"/>
      <c r="W1186" s="35"/>
      <c r="X1186" s="35"/>
    </row>
    <row r="1187" spans="4:24" x14ac:dyDescent="0.3">
      <c r="D1187" s="23">
        <v>41305</v>
      </c>
      <c r="E1187" s="5">
        <v>122.090553</v>
      </c>
      <c r="F1187" s="28">
        <v>61.473100000000002</v>
      </c>
      <c r="G1187" s="28">
        <v>161.19999999999999</v>
      </c>
      <c r="H1187" s="28">
        <v>60.523180000000004</v>
      </c>
      <c r="I1187" s="28">
        <v>63.249839999999999</v>
      </c>
      <c r="J1187" s="29"/>
      <c r="K1187" s="29"/>
      <c r="L1187" s="29"/>
      <c r="M1187" s="29"/>
      <c r="N1187" s="29"/>
      <c r="P1187" s="4">
        <f t="shared" si="75"/>
        <v>-2.4688528385767993E-3</v>
      </c>
      <c r="Q1187" s="4">
        <f t="shared" si="75"/>
        <v>1.7988257778876406E-3</v>
      </c>
      <c r="R1187" s="4">
        <f t="shared" si="75"/>
        <v>-6.1226574270702803E-3</v>
      </c>
      <c r="S1187" s="4">
        <f t="shared" si="75"/>
        <v>-2.2402657945502723E-3</v>
      </c>
      <c r="T1187" s="4">
        <f t="shared" si="75"/>
        <v>-1.8105384827912469E-3</v>
      </c>
      <c r="U1187" s="35"/>
      <c r="V1187" s="35"/>
      <c r="W1187" s="35"/>
      <c r="X1187" s="35"/>
    </row>
    <row r="1188" spans="4:24" x14ac:dyDescent="0.3">
      <c r="D1188" s="23">
        <v>41306</v>
      </c>
      <c r="E1188" s="5">
        <v>123.346565</v>
      </c>
      <c r="F1188" s="28">
        <v>61.300350000000002</v>
      </c>
      <c r="G1188" s="28">
        <v>161.44999999999999</v>
      </c>
      <c r="H1188" s="28">
        <v>61.238199999999999</v>
      </c>
      <c r="I1188" s="28">
        <v>63.86392</v>
      </c>
      <c r="J1188" s="29"/>
      <c r="K1188" s="29"/>
      <c r="L1188" s="29"/>
      <c r="M1188" s="29"/>
      <c r="N1188" s="29"/>
      <c r="P1188" s="4">
        <f t="shared" si="75"/>
        <v>1.0234987883453367E-2</v>
      </c>
      <c r="Q1188" s="4">
        <f t="shared" si="75"/>
        <v>-2.8141282012546388E-3</v>
      </c>
      <c r="R1188" s="4">
        <f t="shared" si="75"/>
        <v>1.549667131756278E-3</v>
      </c>
      <c r="S1188" s="4">
        <f t="shared" si="75"/>
        <v>1.1744745650540745E-2</v>
      </c>
      <c r="T1188" s="4">
        <f t="shared" si="75"/>
        <v>9.6619717206453681E-3</v>
      </c>
      <c r="U1188" s="35"/>
      <c r="V1188" s="35"/>
      <c r="W1188" s="35"/>
      <c r="X1188" s="35"/>
    </row>
    <row r="1189" spans="4:24" x14ac:dyDescent="0.3">
      <c r="D1189" s="23">
        <v>41309</v>
      </c>
      <c r="E1189" s="5">
        <v>121.960083</v>
      </c>
      <c r="F1189" s="28">
        <v>61.514449999999997</v>
      </c>
      <c r="G1189" s="28">
        <v>162</v>
      </c>
      <c r="H1189" s="28">
        <v>60.170169999999999</v>
      </c>
      <c r="I1189" s="28">
        <v>63.192529999999998</v>
      </c>
      <c r="J1189" s="29"/>
      <c r="K1189" s="29"/>
      <c r="L1189" s="29"/>
      <c r="M1189" s="29"/>
      <c r="N1189" s="29"/>
      <c r="P1189" s="4">
        <f t="shared" ref="P1189:T1204" si="76">LN(E1189/E1188)</f>
        <v>-1.1304192328627873E-2</v>
      </c>
      <c r="Q1189" s="4">
        <f t="shared" si="76"/>
        <v>3.4865540127785393E-3</v>
      </c>
      <c r="R1189" s="4">
        <f t="shared" si="76"/>
        <v>3.4008380280998746E-3</v>
      </c>
      <c r="S1189" s="4">
        <f t="shared" si="76"/>
        <v>-1.7594463247121297E-2</v>
      </c>
      <c r="T1189" s="4">
        <f t="shared" si="76"/>
        <v>-1.0568471716248182E-2</v>
      </c>
      <c r="U1189" s="35"/>
      <c r="V1189" s="35"/>
      <c r="W1189" s="35"/>
      <c r="X1189" s="35"/>
    </row>
    <row r="1190" spans="4:24" x14ac:dyDescent="0.3">
      <c r="D1190" s="23">
        <v>41310</v>
      </c>
      <c r="E1190" s="5">
        <v>123.19165</v>
      </c>
      <c r="F1190" s="28">
        <v>61.411099999999998</v>
      </c>
      <c r="G1190" s="28">
        <v>161.96</v>
      </c>
      <c r="H1190" s="28">
        <v>61.057180000000002</v>
      </c>
      <c r="I1190" s="28">
        <v>63.790239999999997</v>
      </c>
      <c r="J1190" s="29"/>
      <c r="K1190" s="29"/>
      <c r="L1190" s="29"/>
      <c r="M1190" s="29"/>
      <c r="N1190" s="29"/>
      <c r="P1190" s="4">
        <f t="shared" si="76"/>
        <v>1.0047470157675421E-2</v>
      </c>
      <c r="Q1190" s="4">
        <f t="shared" si="76"/>
        <v>-1.6815059904392281E-3</v>
      </c>
      <c r="R1190" s="4">
        <f t="shared" si="76"/>
        <v>-2.4694406842365419E-4</v>
      </c>
      <c r="S1190" s="4">
        <f t="shared" si="76"/>
        <v>1.4634087602476916E-2</v>
      </c>
      <c r="T1190" s="4">
        <f t="shared" si="76"/>
        <v>9.4141026274229614E-3</v>
      </c>
      <c r="U1190" s="35"/>
      <c r="V1190" s="35"/>
      <c r="W1190" s="35"/>
      <c r="X1190" s="35"/>
    </row>
    <row r="1191" spans="4:24" x14ac:dyDescent="0.3">
      <c r="D1191" s="23">
        <v>41311</v>
      </c>
      <c r="E1191" s="5">
        <v>123.28130299999999</v>
      </c>
      <c r="F1191" s="28">
        <v>61.558709999999998</v>
      </c>
      <c r="G1191" s="28">
        <v>162.38999999999999</v>
      </c>
      <c r="H1191" s="28">
        <v>60.858049999999999</v>
      </c>
      <c r="I1191" s="28">
        <v>63.904850000000003</v>
      </c>
      <c r="J1191" s="29"/>
      <c r="K1191" s="29"/>
      <c r="L1191" s="29"/>
      <c r="M1191" s="29"/>
      <c r="N1191" s="29"/>
      <c r="P1191" s="4">
        <f t="shared" si="76"/>
        <v>7.274875629374411E-4</v>
      </c>
      <c r="Q1191" s="4">
        <f t="shared" si="76"/>
        <v>2.4007530124225476E-3</v>
      </c>
      <c r="R1191" s="4">
        <f t="shared" si="76"/>
        <v>2.6514583130356185E-3</v>
      </c>
      <c r="S1191" s="4">
        <f t="shared" si="76"/>
        <v>-3.2666989527340888E-3</v>
      </c>
      <c r="T1191" s="4">
        <f t="shared" si="76"/>
        <v>1.7950577547657422E-3</v>
      </c>
      <c r="U1191" s="35"/>
      <c r="V1191" s="35"/>
      <c r="W1191" s="35"/>
      <c r="X1191" s="35"/>
    </row>
    <row r="1192" spans="4:24" x14ac:dyDescent="0.3">
      <c r="D1192" s="23">
        <v>41312</v>
      </c>
      <c r="E1192" s="5">
        <v>123.11818700000001</v>
      </c>
      <c r="F1192" s="28">
        <v>61.566119999999998</v>
      </c>
      <c r="G1192" s="28">
        <v>161.84</v>
      </c>
      <c r="H1192" s="28">
        <v>60.912370000000003</v>
      </c>
      <c r="I1192" s="28">
        <v>63.790239999999997</v>
      </c>
      <c r="J1192" s="29"/>
      <c r="K1192" s="29"/>
      <c r="L1192" s="29"/>
      <c r="M1192" s="29"/>
      <c r="N1192" s="29"/>
      <c r="P1192" s="4">
        <f t="shared" si="76"/>
        <v>-1.3239964403178007E-3</v>
      </c>
      <c r="Q1192" s="4">
        <f t="shared" si="76"/>
        <v>1.2036564856898301E-4</v>
      </c>
      <c r="R1192" s="4">
        <f t="shared" si="76"/>
        <v>-3.3926566175060823E-3</v>
      </c>
      <c r="S1192" s="4">
        <f t="shared" si="76"/>
        <v>8.9217075219225951E-4</v>
      </c>
      <c r="T1192" s="4">
        <f t="shared" si="76"/>
        <v>-1.7950577547657743E-3</v>
      </c>
      <c r="U1192" s="35"/>
      <c r="V1192" s="35"/>
      <c r="W1192" s="35"/>
      <c r="X1192" s="35"/>
    </row>
    <row r="1193" spans="4:24" x14ac:dyDescent="0.3">
      <c r="D1193" s="23">
        <v>41313</v>
      </c>
      <c r="E1193" s="5">
        <v>123.803307</v>
      </c>
      <c r="F1193" s="28">
        <v>61.551310000000001</v>
      </c>
      <c r="G1193" s="28">
        <v>161.57</v>
      </c>
      <c r="H1193" s="28">
        <v>61.536850000000001</v>
      </c>
      <c r="I1193" s="28">
        <v>64.175060000000002</v>
      </c>
      <c r="J1193" s="29"/>
      <c r="K1193" s="29"/>
      <c r="L1193" s="29"/>
      <c r="M1193" s="29"/>
      <c r="N1193" s="29"/>
      <c r="P1193" s="4">
        <f t="shared" si="76"/>
        <v>5.5493083820253083E-3</v>
      </c>
      <c r="Q1193" s="4">
        <f t="shared" si="76"/>
        <v>-2.4058332067894092E-4</v>
      </c>
      <c r="R1193" s="4">
        <f t="shared" si="76"/>
        <v>-1.6697075707509054E-3</v>
      </c>
      <c r="S1193" s="4">
        <f t="shared" si="76"/>
        <v>1.019990840505096E-2</v>
      </c>
      <c r="T1193" s="4">
        <f t="shared" si="76"/>
        <v>6.0144611082994827E-3</v>
      </c>
      <c r="U1193" s="35"/>
      <c r="V1193" s="35"/>
      <c r="W1193" s="35"/>
      <c r="X1193" s="35"/>
    </row>
    <row r="1194" spans="4:24" x14ac:dyDescent="0.3">
      <c r="D1194" s="23">
        <v>41316</v>
      </c>
      <c r="E1194" s="5">
        <v>123.778786</v>
      </c>
      <c r="F1194" s="28">
        <v>61.477519999999998</v>
      </c>
      <c r="G1194" s="28">
        <v>159.69999999999999</v>
      </c>
      <c r="H1194" s="28">
        <v>61.554960000000001</v>
      </c>
      <c r="I1194" s="28">
        <v>64.142290000000003</v>
      </c>
      <c r="J1194" s="29"/>
      <c r="K1194" s="29"/>
      <c r="L1194" s="29"/>
      <c r="M1194" s="29"/>
      <c r="N1194" s="29"/>
      <c r="P1194" s="4">
        <f t="shared" si="76"/>
        <v>-1.9808379340408881E-4</v>
      </c>
      <c r="Q1194" s="4">
        <f t="shared" si="76"/>
        <v>-1.1995563779360445E-3</v>
      </c>
      <c r="R1194" s="4">
        <f t="shared" si="76"/>
        <v>-1.164143006777244E-2</v>
      </c>
      <c r="S1194" s="4">
        <f t="shared" si="76"/>
        <v>2.9425191051564984E-4</v>
      </c>
      <c r="T1194" s="4">
        <f t="shared" si="76"/>
        <v>-5.1076492325351729E-4</v>
      </c>
      <c r="U1194" s="35"/>
      <c r="V1194" s="35"/>
      <c r="W1194" s="35"/>
      <c r="X1194" s="35"/>
    </row>
    <row r="1195" spans="4:24" x14ac:dyDescent="0.3">
      <c r="D1195" s="23">
        <v>41317</v>
      </c>
      <c r="E1195" s="5">
        <v>123.982674</v>
      </c>
      <c r="F1195" s="28">
        <v>61.492229999999999</v>
      </c>
      <c r="G1195" s="28">
        <v>159.88999999999999</v>
      </c>
      <c r="H1195" s="28">
        <v>61.301549999999999</v>
      </c>
      <c r="I1195" s="28">
        <v>64.248729999999995</v>
      </c>
      <c r="J1195" s="29"/>
      <c r="K1195" s="29"/>
      <c r="L1195" s="29"/>
      <c r="M1195" s="29"/>
      <c r="N1195" s="29"/>
      <c r="P1195" s="4">
        <f t="shared" si="76"/>
        <v>1.6458414962861208E-3</v>
      </c>
      <c r="Q1195" s="4">
        <f t="shared" si="76"/>
        <v>2.3924583192483576E-4</v>
      </c>
      <c r="R1195" s="4">
        <f t="shared" si="76"/>
        <v>1.1890235763622481E-3</v>
      </c>
      <c r="S1195" s="4">
        <f t="shared" si="76"/>
        <v>-4.1253061702746065E-3</v>
      </c>
      <c r="T1195" s="4">
        <f t="shared" si="76"/>
        <v>1.6580602659760958E-3</v>
      </c>
      <c r="U1195" s="35"/>
      <c r="V1195" s="35"/>
      <c r="W1195" s="35"/>
      <c r="X1195" s="35"/>
    </row>
    <row r="1196" spans="4:24" x14ac:dyDescent="0.3">
      <c r="D1196" s="23">
        <v>41318</v>
      </c>
      <c r="E1196" s="5">
        <v>124.08869199999999</v>
      </c>
      <c r="F1196" s="28">
        <v>61.411099999999998</v>
      </c>
      <c r="G1196" s="28">
        <v>159.05000000000001</v>
      </c>
      <c r="H1196" s="28">
        <v>61.518749999999997</v>
      </c>
      <c r="I1196" s="28">
        <v>64.338809999999995</v>
      </c>
      <c r="J1196" s="29"/>
      <c r="K1196" s="29"/>
      <c r="L1196" s="29"/>
      <c r="M1196" s="29"/>
      <c r="N1196" s="29"/>
      <c r="P1196" s="4">
        <f t="shared" si="76"/>
        <v>8.5473795838663215E-4</v>
      </c>
      <c r="Q1196" s="4">
        <f t="shared" si="76"/>
        <v>-1.3202247943011332E-3</v>
      </c>
      <c r="R1196" s="4">
        <f t="shared" si="76"/>
        <v>-5.267460602175705E-3</v>
      </c>
      <c r="S1196" s="4">
        <f t="shared" si="76"/>
        <v>3.5368782916512776E-3</v>
      </c>
      <c r="T1196" s="4">
        <f t="shared" si="76"/>
        <v>1.401069104137947E-3</v>
      </c>
      <c r="U1196" s="35"/>
      <c r="V1196" s="35"/>
      <c r="W1196" s="35"/>
      <c r="X1196" s="35"/>
    </row>
    <row r="1197" spans="4:24" x14ac:dyDescent="0.3">
      <c r="D1197" s="23">
        <v>41319</v>
      </c>
      <c r="E1197" s="5">
        <v>124.20285</v>
      </c>
      <c r="F1197" s="28">
        <v>61.499670000000002</v>
      </c>
      <c r="G1197" s="28">
        <v>158.35</v>
      </c>
      <c r="H1197" s="28">
        <v>61.500660000000003</v>
      </c>
      <c r="I1197" s="28">
        <v>64.420670000000001</v>
      </c>
      <c r="J1197" s="29"/>
      <c r="K1197" s="29"/>
      <c r="L1197" s="29"/>
      <c r="M1197" s="29"/>
      <c r="N1197" s="29"/>
      <c r="P1197" s="4">
        <f t="shared" si="76"/>
        <v>9.1954810159451119E-4</v>
      </c>
      <c r="Q1197" s="4">
        <f t="shared" si="76"/>
        <v>1.4412083714161008E-3</v>
      </c>
      <c r="R1197" s="4">
        <f t="shared" si="76"/>
        <v>-4.4108452105043935E-3</v>
      </c>
      <c r="S1197" s="4">
        <f t="shared" si="76"/>
        <v>-2.9409993317943718E-4</v>
      </c>
      <c r="T1197" s="4">
        <f t="shared" si="76"/>
        <v>1.2715181985666613E-3</v>
      </c>
      <c r="U1197" s="35"/>
      <c r="V1197" s="35"/>
      <c r="W1197" s="35"/>
      <c r="X1197" s="35"/>
    </row>
    <row r="1198" spans="4:24" x14ac:dyDescent="0.3">
      <c r="D1198" s="23">
        <v>41320</v>
      </c>
      <c r="E1198" s="5">
        <v>124.056084</v>
      </c>
      <c r="F1198" s="28">
        <v>61.448</v>
      </c>
      <c r="G1198" s="28">
        <v>155.76</v>
      </c>
      <c r="H1198" s="28">
        <v>61.31962</v>
      </c>
      <c r="I1198" s="28">
        <v>64.346980000000002</v>
      </c>
      <c r="J1198" s="29"/>
      <c r="K1198" s="29"/>
      <c r="L1198" s="29"/>
      <c r="M1198" s="29"/>
      <c r="N1198" s="29"/>
      <c r="P1198" s="4">
        <f t="shared" si="76"/>
        <v>-1.1823624208263655E-3</v>
      </c>
      <c r="Q1198" s="4">
        <f t="shared" si="76"/>
        <v>-8.4052024803662182E-4</v>
      </c>
      <c r="R1198" s="4">
        <f t="shared" si="76"/>
        <v>-1.6491411920704625E-2</v>
      </c>
      <c r="S1198" s="4">
        <f t="shared" si="76"/>
        <v>-2.9480494771407665E-3</v>
      </c>
      <c r="T1198" s="4">
        <f t="shared" si="76"/>
        <v>-1.1445422517898859E-3</v>
      </c>
      <c r="U1198" s="35"/>
      <c r="V1198" s="35"/>
      <c r="W1198" s="35"/>
      <c r="X1198" s="35"/>
    </row>
    <row r="1199" spans="4:24" x14ac:dyDescent="0.3">
      <c r="D1199" s="23">
        <v>41324</v>
      </c>
      <c r="E1199" s="5">
        <v>124.985855</v>
      </c>
      <c r="F1199" s="28">
        <v>61.425879999999999</v>
      </c>
      <c r="G1199" s="28">
        <v>155.33000000000001</v>
      </c>
      <c r="H1199" s="28">
        <v>61.763129999999997</v>
      </c>
      <c r="I1199" s="28">
        <v>64.797309999999996</v>
      </c>
      <c r="J1199" s="29"/>
      <c r="K1199" s="29"/>
      <c r="L1199" s="29"/>
      <c r="M1199" s="29"/>
      <c r="N1199" s="29"/>
      <c r="P1199" s="4">
        <f t="shared" si="76"/>
        <v>7.4668172240449967E-3</v>
      </c>
      <c r="Q1199" s="4">
        <f t="shared" si="76"/>
        <v>-3.6004397743371426E-4</v>
      </c>
      <c r="R1199" s="4">
        <f t="shared" si="76"/>
        <v>-2.7644750641282138E-3</v>
      </c>
      <c r="S1199" s="4">
        <f t="shared" si="76"/>
        <v>7.2067274990795446E-3</v>
      </c>
      <c r="T1199" s="4">
        <f t="shared" si="76"/>
        <v>6.9740880569705357E-3</v>
      </c>
      <c r="U1199" s="35"/>
      <c r="V1199" s="35"/>
      <c r="W1199" s="35"/>
      <c r="X1199" s="35"/>
    </row>
    <row r="1200" spans="4:24" x14ac:dyDescent="0.3">
      <c r="D1200" s="23">
        <v>41325</v>
      </c>
      <c r="E1200" s="5">
        <v>123.428101</v>
      </c>
      <c r="F1200" s="28">
        <v>61.470179999999999</v>
      </c>
      <c r="G1200" s="28">
        <v>151.44</v>
      </c>
      <c r="H1200" s="28">
        <v>60.81279</v>
      </c>
      <c r="I1200" s="28">
        <v>63.937620000000003</v>
      </c>
      <c r="J1200" s="29"/>
      <c r="K1200" s="29"/>
      <c r="L1200" s="29"/>
      <c r="M1200" s="29"/>
      <c r="N1200" s="29"/>
      <c r="P1200" s="4">
        <f t="shared" si="76"/>
        <v>-1.2541762500338708E-2</v>
      </c>
      <c r="Q1200" s="4">
        <f t="shared" si="76"/>
        <v>7.2093445337022028E-4</v>
      </c>
      <c r="R1200" s="4">
        <f t="shared" si="76"/>
        <v>-2.5362379098748594E-2</v>
      </c>
      <c r="S1200" s="4">
        <f t="shared" si="76"/>
        <v>-1.5506455792866943E-2</v>
      </c>
      <c r="T1200" s="4">
        <f t="shared" si="76"/>
        <v>-1.3356169607960074E-2</v>
      </c>
      <c r="U1200" s="35"/>
      <c r="V1200" s="35"/>
      <c r="W1200" s="35"/>
      <c r="X1200" s="35"/>
    </row>
    <row r="1201" spans="4:24" x14ac:dyDescent="0.3">
      <c r="D1201" s="23">
        <v>41326</v>
      </c>
      <c r="E1201" s="5">
        <v>122.677757</v>
      </c>
      <c r="F1201" s="28">
        <v>61.529220000000002</v>
      </c>
      <c r="G1201" s="28">
        <v>152.62</v>
      </c>
      <c r="H1201" s="28">
        <v>60.161140000000003</v>
      </c>
      <c r="I1201" s="28">
        <v>63.503639999999997</v>
      </c>
      <c r="J1201" s="29"/>
      <c r="K1201" s="29"/>
      <c r="L1201" s="29"/>
      <c r="M1201" s="29"/>
      <c r="N1201" s="29"/>
      <c r="P1201" s="4">
        <f t="shared" si="76"/>
        <v>-6.097752658745504E-3</v>
      </c>
      <c r="Q1201" s="4">
        <f t="shared" si="76"/>
        <v>9.6000475667874406E-4</v>
      </c>
      <c r="R1201" s="4">
        <f t="shared" si="76"/>
        <v>7.761664960419864E-3</v>
      </c>
      <c r="S1201" s="4">
        <f t="shared" si="76"/>
        <v>-1.077349976114618E-2</v>
      </c>
      <c r="T1201" s="4">
        <f t="shared" si="76"/>
        <v>-6.8106934525279453E-3</v>
      </c>
      <c r="U1201" s="35"/>
      <c r="V1201" s="35"/>
      <c r="W1201" s="35"/>
      <c r="X1201" s="35"/>
    </row>
    <row r="1202" spans="4:24" x14ac:dyDescent="0.3">
      <c r="D1202" s="23">
        <v>41327</v>
      </c>
      <c r="E1202" s="5">
        <v>123.876656</v>
      </c>
      <c r="F1202" s="28">
        <v>61.558709999999998</v>
      </c>
      <c r="G1202" s="28">
        <v>152.97</v>
      </c>
      <c r="H1202" s="28">
        <v>60.767530000000001</v>
      </c>
      <c r="I1202" s="28">
        <v>64.117729999999995</v>
      </c>
      <c r="J1202" s="29"/>
      <c r="K1202" s="29"/>
      <c r="L1202" s="29"/>
      <c r="M1202" s="29"/>
      <c r="N1202" s="29"/>
      <c r="P1202" s="4">
        <f t="shared" si="76"/>
        <v>9.7253051354893715E-3</v>
      </c>
      <c r="Q1202" s="4">
        <f t="shared" si="76"/>
        <v>4.7916965642768857E-4</v>
      </c>
      <c r="R1202" s="4">
        <f t="shared" si="76"/>
        <v>2.2906518736869916E-3</v>
      </c>
      <c r="S1202" s="4">
        <f t="shared" si="76"/>
        <v>1.0028971335974669E-2</v>
      </c>
      <c r="T1202" s="4">
        <f t="shared" si="76"/>
        <v>9.623697653717414E-3</v>
      </c>
      <c r="U1202" s="35"/>
      <c r="V1202" s="35"/>
      <c r="W1202" s="35"/>
      <c r="X1202" s="35"/>
    </row>
    <row r="1203" spans="4:24" x14ac:dyDescent="0.3">
      <c r="D1203" s="23">
        <v>41330</v>
      </c>
      <c r="E1203" s="5">
        <v>121.519684</v>
      </c>
      <c r="F1203" s="28">
        <v>61.758000000000003</v>
      </c>
      <c r="G1203" s="28">
        <v>154.34</v>
      </c>
      <c r="H1203" s="28">
        <v>60.01632</v>
      </c>
      <c r="I1203" s="28">
        <v>62.938690000000001</v>
      </c>
      <c r="J1203" s="29"/>
      <c r="K1203" s="29"/>
      <c r="L1203" s="29"/>
      <c r="M1203" s="29"/>
      <c r="N1203" s="29"/>
      <c r="P1203" s="4">
        <f t="shared" si="76"/>
        <v>-1.9210102986490802E-2</v>
      </c>
      <c r="Q1203" s="4">
        <f t="shared" si="76"/>
        <v>3.2321681870535264E-3</v>
      </c>
      <c r="R1203" s="4">
        <f t="shared" si="76"/>
        <v>8.9161372942829324E-3</v>
      </c>
      <c r="S1203" s="4">
        <f t="shared" si="76"/>
        <v>-1.2439075029298186E-2</v>
      </c>
      <c r="T1203" s="4">
        <f t="shared" si="76"/>
        <v>-1.8559846797609719E-2</v>
      </c>
      <c r="U1203" s="35"/>
      <c r="V1203" s="35"/>
      <c r="W1203" s="35"/>
      <c r="X1203" s="35"/>
    </row>
    <row r="1204" spans="4:24" x14ac:dyDescent="0.3">
      <c r="D1204" s="23">
        <v>41331</v>
      </c>
      <c r="E1204" s="5">
        <v>122.351563</v>
      </c>
      <c r="F1204" s="28">
        <v>61.787500000000001</v>
      </c>
      <c r="G1204" s="28">
        <v>156.22</v>
      </c>
      <c r="H1204" s="28">
        <v>60.242579999999997</v>
      </c>
      <c r="I1204" s="28">
        <v>63.339910000000003</v>
      </c>
      <c r="J1204" s="29"/>
      <c r="K1204" s="29"/>
      <c r="L1204" s="29"/>
      <c r="M1204" s="29"/>
      <c r="N1204" s="29"/>
      <c r="P1204" s="4">
        <f t="shared" si="76"/>
        <v>6.8223067442615372E-3</v>
      </c>
      <c r="Q1204" s="4">
        <f t="shared" si="76"/>
        <v>4.7755686060024544E-4</v>
      </c>
      <c r="R1204" s="4">
        <f t="shared" si="76"/>
        <v>1.2107309152694293E-2</v>
      </c>
      <c r="S1204" s="4">
        <f t="shared" si="76"/>
        <v>3.7628860229678941E-3</v>
      </c>
      <c r="T1204" s="4">
        <f t="shared" si="76"/>
        <v>6.3545422599130992E-3</v>
      </c>
      <c r="U1204" s="35"/>
      <c r="V1204" s="35"/>
      <c r="W1204" s="35"/>
      <c r="X1204" s="35"/>
    </row>
    <row r="1205" spans="4:24" x14ac:dyDescent="0.3">
      <c r="D1205" s="23">
        <v>41332</v>
      </c>
      <c r="E1205" s="5">
        <v>123.893013</v>
      </c>
      <c r="F1205" s="28">
        <v>61.772779999999997</v>
      </c>
      <c r="G1205" s="28">
        <v>154.57</v>
      </c>
      <c r="H1205" s="28">
        <v>60.858049999999999</v>
      </c>
      <c r="I1205" s="28">
        <v>64.117729999999995</v>
      </c>
      <c r="J1205" s="29"/>
      <c r="K1205" s="29"/>
      <c r="L1205" s="29"/>
      <c r="M1205" s="29"/>
      <c r="N1205" s="29"/>
      <c r="P1205" s="4">
        <f t="shared" ref="P1205:T1220" si="77">LN(E1205/E1204)</f>
        <v>1.2519830159776757E-2</v>
      </c>
      <c r="Q1205" s="4">
        <f t="shared" si="77"/>
        <v>-2.3826427181355866E-4</v>
      </c>
      <c r="R1205" s="4">
        <f t="shared" si="77"/>
        <v>-1.0618202017924122E-2</v>
      </c>
      <c r="S1205" s="4">
        <f t="shared" si="77"/>
        <v>1.0164691946473446E-2</v>
      </c>
      <c r="T1205" s="4">
        <f t="shared" si="77"/>
        <v>1.2205304537696745E-2</v>
      </c>
      <c r="U1205" s="35"/>
      <c r="V1205" s="35"/>
      <c r="W1205" s="35"/>
      <c r="X1205" s="35"/>
    </row>
    <row r="1206" spans="4:24" x14ac:dyDescent="0.3">
      <c r="D1206" s="23">
        <v>41333</v>
      </c>
      <c r="E1206" s="5">
        <v>123.648315</v>
      </c>
      <c r="F1206" s="28">
        <v>61.802280000000003</v>
      </c>
      <c r="G1206" s="28">
        <v>153</v>
      </c>
      <c r="H1206" s="28">
        <v>60.73133</v>
      </c>
      <c r="I1206" s="28">
        <v>64.060419999999993</v>
      </c>
      <c r="J1206" s="29"/>
      <c r="K1206" s="29"/>
      <c r="L1206" s="29"/>
      <c r="M1206" s="29"/>
      <c r="N1206" s="29"/>
      <c r="P1206" s="4">
        <f t="shared" si="77"/>
        <v>-1.9770280920770231E-3</v>
      </c>
      <c r="Q1206" s="4">
        <f t="shared" si="77"/>
        <v>4.774426257269206E-4</v>
      </c>
      <c r="R1206" s="4">
        <f t="shared" si="77"/>
        <v>-1.0209146771791662E-2</v>
      </c>
      <c r="S1206" s="4">
        <f t="shared" si="77"/>
        <v>-2.0843933225086222E-3</v>
      </c>
      <c r="T1206" s="4">
        <f t="shared" si="77"/>
        <v>-8.9422423118038429E-4</v>
      </c>
      <c r="U1206" s="35"/>
      <c r="V1206" s="35"/>
      <c r="W1206" s="35"/>
      <c r="X1206" s="35"/>
    </row>
    <row r="1207" spans="4:24" x14ac:dyDescent="0.3">
      <c r="D1207" s="23">
        <v>41334</v>
      </c>
      <c r="E1207" s="5">
        <v>124.056084</v>
      </c>
      <c r="F1207" s="28">
        <v>61.836320000000001</v>
      </c>
      <c r="G1207" s="28">
        <v>152.44</v>
      </c>
      <c r="H1207" s="28">
        <v>60.984780000000001</v>
      </c>
      <c r="I1207" s="28">
        <v>64.207790000000003</v>
      </c>
      <c r="J1207" s="29"/>
      <c r="K1207" s="29"/>
      <c r="L1207" s="29"/>
      <c r="M1207" s="29"/>
      <c r="N1207" s="29"/>
      <c r="P1207" s="4">
        <f t="shared" si="77"/>
        <v>3.2923869740794018E-3</v>
      </c>
      <c r="Q1207" s="4">
        <f t="shared" si="77"/>
        <v>5.5063711268294607E-4</v>
      </c>
      <c r="R1207" s="4">
        <f t="shared" si="77"/>
        <v>-3.6668453867759617E-3</v>
      </c>
      <c r="S1207" s="4">
        <f t="shared" si="77"/>
        <v>4.1646149605011583E-3</v>
      </c>
      <c r="T1207" s="4">
        <f t="shared" si="77"/>
        <v>2.2978423857911412E-3</v>
      </c>
      <c r="U1207" s="35"/>
      <c r="V1207" s="35"/>
      <c r="W1207" s="35"/>
      <c r="X1207" s="35"/>
    </row>
    <row r="1208" spans="4:24" x14ac:dyDescent="0.3">
      <c r="D1208" s="23">
        <v>41337</v>
      </c>
      <c r="E1208" s="5">
        <v>124.716736</v>
      </c>
      <c r="F1208" s="28">
        <v>61.821510000000004</v>
      </c>
      <c r="G1208" s="28">
        <v>152.30000000000001</v>
      </c>
      <c r="H1208" s="28">
        <v>61.256270000000001</v>
      </c>
      <c r="I1208" s="28">
        <v>64.502560000000003</v>
      </c>
      <c r="J1208" s="29"/>
      <c r="K1208" s="29"/>
      <c r="L1208" s="29"/>
      <c r="M1208" s="29"/>
      <c r="N1208" s="29"/>
      <c r="P1208" s="4">
        <f t="shared" si="77"/>
        <v>5.3113001096904726E-3</v>
      </c>
      <c r="Q1208" s="4">
        <f t="shared" si="77"/>
        <v>-2.3953194182375917E-4</v>
      </c>
      <c r="R1208" s="4">
        <f t="shared" si="77"/>
        <v>-9.1881610454328769E-4</v>
      </c>
      <c r="S1208" s="4">
        <f t="shared" si="77"/>
        <v>4.4418866883545348E-3</v>
      </c>
      <c r="T1208" s="4">
        <f t="shared" si="77"/>
        <v>4.5803700378543397E-3</v>
      </c>
      <c r="U1208" s="35"/>
      <c r="V1208" s="35"/>
      <c r="W1208" s="35"/>
      <c r="X1208" s="35"/>
    </row>
    <row r="1209" spans="4:24" x14ac:dyDescent="0.3">
      <c r="D1209" s="23">
        <v>41338</v>
      </c>
      <c r="E1209" s="5">
        <v>125.834</v>
      </c>
      <c r="F1209" s="28">
        <v>61.78454</v>
      </c>
      <c r="G1209" s="28">
        <v>152.38</v>
      </c>
      <c r="H1209" s="28">
        <v>62.161389999999997</v>
      </c>
      <c r="I1209" s="28">
        <v>65.149389999999997</v>
      </c>
      <c r="J1209" s="29"/>
      <c r="K1209" s="29"/>
      <c r="L1209" s="29"/>
      <c r="M1209" s="29"/>
      <c r="N1209" s="29"/>
      <c r="P1209" s="4">
        <f t="shared" si="77"/>
        <v>8.9185242353096786E-3</v>
      </c>
      <c r="Q1209" s="4">
        <f t="shared" si="77"/>
        <v>-5.9819080218850276E-4</v>
      </c>
      <c r="R1209" s="4">
        <f t="shared" si="77"/>
        <v>5.2514114374737687E-4</v>
      </c>
      <c r="S1209" s="4">
        <f t="shared" si="77"/>
        <v>1.4667855924139795E-2</v>
      </c>
      <c r="T1209" s="4">
        <f t="shared" si="77"/>
        <v>9.9780275819954887E-3</v>
      </c>
      <c r="U1209" s="35"/>
      <c r="V1209" s="35"/>
      <c r="W1209" s="35"/>
      <c r="X1209" s="35"/>
    </row>
    <row r="1210" spans="4:24" x14ac:dyDescent="0.3">
      <c r="D1210" s="23">
        <v>41339</v>
      </c>
      <c r="E1210" s="5">
        <v>126.005295</v>
      </c>
      <c r="F1210" s="28">
        <v>61.680970000000002</v>
      </c>
      <c r="G1210" s="28">
        <v>153.22999999999999</v>
      </c>
      <c r="H1210" s="28">
        <v>62.00752</v>
      </c>
      <c r="I1210" s="28">
        <v>65.247630000000001</v>
      </c>
      <c r="J1210" s="29"/>
      <c r="K1210" s="29"/>
      <c r="L1210" s="29"/>
      <c r="M1210" s="29"/>
      <c r="N1210" s="29"/>
      <c r="P1210" s="4">
        <f t="shared" si="77"/>
        <v>1.3603518578458958E-3</v>
      </c>
      <c r="Q1210" s="4">
        <f t="shared" si="77"/>
        <v>-1.6777158948027742E-3</v>
      </c>
      <c r="R1210" s="4">
        <f t="shared" si="77"/>
        <v>5.5626595452213301E-3</v>
      </c>
      <c r="S1210" s="4">
        <f t="shared" si="77"/>
        <v>-2.478399444139905E-3</v>
      </c>
      <c r="T1210" s="4">
        <f t="shared" si="77"/>
        <v>1.5067831854896827E-3</v>
      </c>
      <c r="U1210" s="35"/>
      <c r="V1210" s="35"/>
      <c r="W1210" s="35"/>
      <c r="X1210" s="35"/>
    </row>
    <row r="1211" spans="4:24" x14ac:dyDescent="0.3">
      <c r="D1211" s="23">
        <v>41340</v>
      </c>
      <c r="E1211" s="5">
        <v>126.233688</v>
      </c>
      <c r="F1211" s="28">
        <v>61.592269999999999</v>
      </c>
      <c r="G1211" s="28">
        <v>152.69</v>
      </c>
      <c r="H1211" s="28">
        <v>62.170439999999999</v>
      </c>
      <c r="I1211" s="28">
        <v>65.403189999999995</v>
      </c>
      <c r="J1211" s="29"/>
      <c r="K1211" s="29"/>
      <c r="L1211" s="29"/>
      <c r="M1211" s="29"/>
      <c r="N1211" s="29"/>
      <c r="P1211" s="4">
        <f t="shared" si="77"/>
        <v>1.8109259694961749E-3</v>
      </c>
      <c r="Q1211" s="4">
        <f t="shared" si="77"/>
        <v>-1.4390798085258541E-3</v>
      </c>
      <c r="R1211" s="4">
        <f t="shared" si="77"/>
        <v>-3.5303383946645043E-3</v>
      </c>
      <c r="S1211" s="4">
        <f t="shared" si="77"/>
        <v>2.6239776121117367E-3</v>
      </c>
      <c r="T1211" s="4">
        <f t="shared" si="77"/>
        <v>2.3813103279469974E-3</v>
      </c>
      <c r="U1211" s="35"/>
      <c r="V1211" s="35"/>
      <c r="W1211" s="35"/>
      <c r="X1211" s="35"/>
    </row>
    <row r="1212" spans="4:24" x14ac:dyDescent="0.3">
      <c r="D1212" s="23">
        <v>41341</v>
      </c>
      <c r="E1212" s="5">
        <v>126.771957</v>
      </c>
      <c r="F1212" s="28">
        <v>61.422220000000003</v>
      </c>
      <c r="G1212" s="28">
        <v>152.71</v>
      </c>
      <c r="H1212" s="28">
        <v>62.242829999999998</v>
      </c>
      <c r="I1212" s="28">
        <v>65.722530000000006</v>
      </c>
      <c r="J1212" s="29"/>
      <c r="K1212" s="29"/>
      <c r="L1212" s="29"/>
      <c r="M1212" s="29"/>
      <c r="N1212" s="29"/>
      <c r="P1212" s="4">
        <f t="shared" si="77"/>
        <v>4.2550023902836812E-3</v>
      </c>
      <c r="Q1212" s="4">
        <f t="shared" si="77"/>
        <v>-2.7647167145430128E-3</v>
      </c>
      <c r="R1212" s="4">
        <f t="shared" si="77"/>
        <v>1.3097576966985985E-4</v>
      </c>
      <c r="S1212" s="4">
        <f t="shared" si="77"/>
        <v>1.1637023634092302E-3</v>
      </c>
      <c r="T1212" s="4">
        <f t="shared" si="77"/>
        <v>4.8707550485398909E-3</v>
      </c>
      <c r="U1212" s="35"/>
      <c r="V1212" s="35"/>
      <c r="W1212" s="35"/>
      <c r="X1212" s="35"/>
    </row>
    <row r="1213" spans="4:24" x14ac:dyDescent="0.3">
      <c r="D1213" s="23">
        <v>41344</v>
      </c>
      <c r="E1213" s="5">
        <v>127.25309799999999</v>
      </c>
      <c r="F1213" s="28">
        <v>61.392629999999997</v>
      </c>
      <c r="G1213" s="28">
        <v>152.99</v>
      </c>
      <c r="H1213" s="28">
        <v>62.423819999999999</v>
      </c>
      <c r="I1213" s="28">
        <v>65.910830000000004</v>
      </c>
      <c r="J1213" s="29"/>
      <c r="K1213" s="29"/>
      <c r="L1213" s="29"/>
      <c r="M1213" s="29"/>
      <c r="N1213" s="29"/>
      <c r="P1213" s="4">
        <f t="shared" si="77"/>
        <v>3.7881426725036786E-3</v>
      </c>
      <c r="Q1213" s="4">
        <f t="shared" si="77"/>
        <v>-4.8186356246910283E-4</v>
      </c>
      <c r="R1213" s="4">
        <f t="shared" si="77"/>
        <v>1.8318618141974728E-3</v>
      </c>
      <c r="S1213" s="4">
        <f t="shared" si="77"/>
        <v>2.9035853158424938E-3</v>
      </c>
      <c r="T1213" s="4">
        <f t="shared" si="77"/>
        <v>2.8609788345356911E-3</v>
      </c>
      <c r="U1213" s="35"/>
      <c r="V1213" s="35"/>
      <c r="W1213" s="35"/>
      <c r="X1213" s="35"/>
    </row>
    <row r="1214" spans="4:24" x14ac:dyDescent="0.3">
      <c r="D1214" s="23">
        <v>41345</v>
      </c>
      <c r="E1214" s="5">
        <v>126.967697</v>
      </c>
      <c r="F1214" s="28">
        <v>61.510930000000002</v>
      </c>
      <c r="G1214" s="28">
        <v>154.19</v>
      </c>
      <c r="H1214" s="28">
        <v>62.197560000000003</v>
      </c>
      <c r="I1214" s="28">
        <v>65.796199999999999</v>
      </c>
      <c r="J1214" s="29"/>
      <c r="K1214" s="29"/>
      <c r="L1214" s="29"/>
      <c r="M1214" s="29"/>
      <c r="N1214" s="29"/>
      <c r="P1214" s="4">
        <f t="shared" si="77"/>
        <v>-2.2453011359763364E-3</v>
      </c>
      <c r="Q1214" s="4">
        <f t="shared" si="77"/>
        <v>1.9250872234229451E-3</v>
      </c>
      <c r="R1214" s="4">
        <f t="shared" si="77"/>
        <v>7.8130484039736943E-3</v>
      </c>
      <c r="S1214" s="4">
        <f t="shared" si="77"/>
        <v>-3.6311626240949227E-3</v>
      </c>
      <c r="T1214" s="4">
        <f t="shared" si="77"/>
        <v>-1.7406820113372518E-3</v>
      </c>
      <c r="U1214" s="35"/>
      <c r="V1214" s="35"/>
      <c r="W1214" s="35"/>
      <c r="X1214" s="35"/>
    </row>
    <row r="1215" spans="4:24" x14ac:dyDescent="0.3">
      <c r="D1215" s="23">
        <v>41346</v>
      </c>
      <c r="E1215" s="5">
        <v>127.147087</v>
      </c>
      <c r="F1215" s="28">
        <v>61.436979999999998</v>
      </c>
      <c r="G1215" s="28">
        <v>153.66</v>
      </c>
      <c r="H1215" s="28">
        <v>62.116100000000003</v>
      </c>
      <c r="I1215" s="28">
        <v>65.919020000000003</v>
      </c>
      <c r="J1215" s="29"/>
      <c r="K1215" s="29"/>
      <c r="L1215" s="29"/>
      <c r="M1215" s="29"/>
      <c r="N1215" s="29"/>
      <c r="P1215" s="4">
        <f t="shared" si="77"/>
        <v>1.4118818824789782E-3</v>
      </c>
      <c r="Q1215" s="4">
        <f t="shared" si="77"/>
        <v>-1.2029486132406099E-3</v>
      </c>
      <c r="R1215" s="4">
        <f t="shared" si="77"/>
        <v>-3.443238743772393E-3</v>
      </c>
      <c r="S1215" s="4">
        <f t="shared" si="77"/>
        <v>-1.3105560830458714E-3</v>
      </c>
      <c r="T1215" s="4">
        <f t="shared" si="77"/>
        <v>1.8649330821005844E-3</v>
      </c>
      <c r="U1215" s="35"/>
      <c r="V1215" s="35"/>
      <c r="W1215" s="35"/>
      <c r="X1215" s="35"/>
    </row>
    <row r="1216" spans="4:24" x14ac:dyDescent="0.3">
      <c r="D1216" s="23">
        <v>41347</v>
      </c>
      <c r="E1216" s="5">
        <v>127.82403600000001</v>
      </c>
      <c r="F1216" s="28">
        <v>61.459150000000001</v>
      </c>
      <c r="G1216" s="28">
        <v>153.68</v>
      </c>
      <c r="H1216" s="28">
        <v>62.324300000000001</v>
      </c>
      <c r="I1216" s="28">
        <v>66.287440000000004</v>
      </c>
      <c r="J1216" s="29"/>
      <c r="K1216" s="29"/>
      <c r="L1216" s="29"/>
      <c r="M1216" s="29"/>
      <c r="N1216" s="29"/>
      <c r="P1216" s="4">
        <f t="shared" si="77"/>
        <v>5.3100177200852408E-3</v>
      </c>
      <c r="Q1216" s="4">
        <f t="shared" si="77"/>
        <v>3.607924877779435E-4</v>
      </c>
      <c r="R1216" s="4">
        <f t="shared" si="77"/>
        <v>1.3014902081241638E-4</v>
      </c>
      <c r="S1216" s="4">
        <f t="shared" si="77"/>
        <v>3.346183301675641E-3</v>
      </c>
      <c r="T1216" s="4">
        <f t="shared" si="77"/>
        <v>5.5734183289550291E-3</v>
      </c>
      <c r="U1216" s="35"/>
      <c r="V1216" s="35"/>
      <c r="W1216" s="35"/>
      <c r="X1216" s="35"/>
    </row>
    <row r="1217" spans="4:24" x14ac:dyDescent="0.3">
      <c r="D1217" s="23">
        <v>41348</v>
      </c>
      <c r="E1217" s="5">
        <v>127.655281</v>
      </c>
      <c r="F1217" s="28">
        <v>61.533090000000001</v>
      </c>
      <c r="G1217" s="28">
        <v>154</v>
      </c>
      <c r="H1217" s="28">
        <v>62.151040000000002</v>
      </c>
      <c r="I1217" s="28">
        <v>66.21378</v>
      </c>
      <c r="J1217" s="29"/>
      <c r="K1217" s="29"/>
      <c r="L1217" s="29"/>
      <c r="M1217" s="29"/>
      <c r="N1217" s="29"/>
      <c r="P1217" s="4">
        <f t="shared" si="77"/>
        <v>-1.3210856090049329E-3</v>
      </c>
      <c r="Q1217" s="4">
        <f t="shared" si="77"/>
        <v>1.2023524233337256E-3</v>
      </c>
      <c r="R1217" s="4">
        <f t="shared" si="77"/>
        <v>2.080083953328005E-3</v>
      </c>
      <c r="S1217" s="4">
        <f t="shared" si="77"/>
        <v>-2.7838463730115014E-3</v>
      </c>
      <c r="T1217" s="4">
        <f t="shared" si="77"/>
        <v>-1.1118389338320188E-3</v>
      </c>
      <c r="U1217" s="35"/>
      <c r="V1217" s="35"/>
      <c r="W1217" s="35"/>
      <c r="X1217" s="35"/>
    </row>
    <row r="1218" spans="4:24" x14ac:dyDescent="0.3">
      <c r="D1218" s="23">
        <v>41351</v>
      </c>
      <c r="E1218" s="5">
        <v>126.95075199999999</v>
      </c>
      <c r="F1218" s="28">
        <v>61.651440000000001</v>
      </c>
      <c r="G1218" s="28">
        <v>155.38</v>
      </c>
      <c r="H1218" s="28">
        <v>62.014960000000002</v>
      </c>
      <c r="I1218" s="28">
        <v>65.85351</v>
      </c>
      <c r="J1218" s="29"/>
      <c r="K1218" s="29"/>
      <c r="L1218" s="29"/>
      <c r="M1218" s="29"/>
      <c r="N1218" s="29"/>
      <c r="P1218" s="4">
        <f t="shared" si="77"/>
        <v>-5.5342820427845361E-3</v>
      </c>
      <c r="Q1218" s="4">
        <f t="shared" si="77"/>
        <v>1.9215081051858949E-3</v>
      </c>
      <c r="R1218" s="4">
        <f t="shared" si="77"/>
        <v>8.921127108645439E-3</v>
      </c>
      <c r="S1218" s="4">
        <f t="shared" si="77"/>
        <v>-2.1919052636381353E-3</v>
      </c>
      <c r="T1218" s="4">
        <f t="shared" si="77"/>
        <v>-5.4558686509639789E-3</v>
      </c>
      <c r="U1218" s="35"/>
      <c r="V1218" s="35"/>
      <c r="W1218" s="35"/>
      <c r="X1218" s="35"/>
    </row>
    <row r="1219" spans="4:24" x14ac:dyDescent="0.3">
      <c r="D1219" s="23">
        <v>41352</v>
      </c>
      <c r="E1219" s="5">
        <v>126.655861</v>
      </c>
      <c r="F1219" s="28">
        <v>61.688409999999998</v>
      </c>
      <c r="G1219" s="28">
        <v>156.08000000000001</v>
      </c>
      <c r="H1219" s="28">
        <v>61.897030000000001</v>
      </c>
      <c r="I1219" s="28">
        <v>65.673389999999998</v>
      </c>
      <c r="J1219" s="29"/>
      <c r="K1219" s="29"/>
      <c r="L1219" s="29"/>
      <c r="M1219" s="29"/>
      <c r="N1219" s="29"/>
      <c r="P1219" s="4">
        <f t="shared" si="77"/>
        <v>-2.3255792064488614E-3</v>
      </c>
      <c r="Q1219" s="4">
        <f t="shared" si="77"/>
        <v>5.9948185614274948E-4</v>
      </c>
      <c r="R1219" s="4">
        <f t="shared" si="77"/>
        <v>4.4949667925810871E-3</v>
      </c>
      <c r="S1219" s="4">
        <f t="shared" si="77"/>
        <v>-1.9034483362936423E-3</v>
      </c>
      <c r="T1219" s="4">
        <f t="shared" si="77"/>
        <v>-2.7389091143993857E-3</v>
      </c>
      <c r="U1219" s="35"/>
      <c r="V1219" s="35"/>
      <c r="W1219" s="35"/>
      <c r="X1219" s="35"/>
    </row>
    <row r="1220" spans="4:24" x14ac:dyDescent="0.3">
      <c r="D1220" s="23">
        <v>41353</v>
      </c>
      <c r="E1220" s="5">
        <v>127.54057299999999</v>
      </c>
      <c r="F1220" s="28">
        <v>61.629249999999999</v>
      </c>
      <c r="G1220" s="28">
        <v>155.37</v>
      </c>
      <c r="H1220" s="28">
        <v>62.332430000000002</v>
      </c>
      <c r="I1220" s="28">
        <v>66.164649999999995</v>
      </c>
      <c r="J1220" s="29"/>
      <c r="K1220" s="29"/>
      <c r="L1220" s="29"/>
      <c r="M1220" s="29"/>
      <c r="N1220" s="29"/>
      <c r="P1220" s="4">
        <f t="shared" si="77"/>
        <v>6.9608810665438741E-3</v>
      </c>
      <c r="Q1220" s="4">
        <f t="shared" si="77"/>
        <v>-9.5947335586006241E-4</v>
      </c>
      <c r="R1220" s="4">
        <f t="shared" si="77"/>
        <v>-4.5593272109459874E-3</v>
      </c>
      <c r="S1220" s="4">
        <f t="shared" si="77"/>
        <v>7.0096381773070218E-3</v>
      </c>
      <c r="T1220" s="4">
        <f t="shared" si="77"/>
        <v>7.4525117896192114E-3</v>
      </c>
      <c r="U1220" s="35"/>
      <c r="V1220" s="35"/>
      <c r="W1220" s="35"/>
      <c r="X1220" s="35"/>
    </row>
    <row r="1221" spans="4:24" x14ac:dyDescent="0.3">
      <c r="D1221" s="23">
        <v>41354</v>
      </c>
      <c r="E1221" s="5">
        <v>126.451004</v>
      </c>
      <c r="F1221" s="28">
        <v>61.644069999999999</v>
      </c>
      <c r="G1221" s="28">
        <v>156.25</v>
      </c>
      <c r="H1221" s="28">
        <v>61.624859999999998</v>
      </c>
      <c r="I1221" s="28">
        <v>65.632459999999995</v>
      </c>
      <c r="J1221" s="29"/>
      <c r="K1221" s="29"/>
      <c r="L1221" s="29"/>
      <c r="M1221" s="29"/>
      <c r="N1221" s="29"/>
      <c r="P1221" s="4">
        <f t="shared" ref="P1221:T1236" si="78">LN(E1221/E1220)</f>
        <v>-8.5796206035574502E-3</v>
      </c>
      <c r="Q1221" s="4">
        <f t="shared" si="78"/>
        <v>2.404413229301877E-4</v>
      </c>
      <c r="R1221" s="4">
        <f t="shared" si="78"/>
        <v>5.6479195126009811E-3</v>
      </c>
      <c r="S1221" s="4">
        <f t="shared" si="78"/>
        <v>-1.141647554785789E-2</v>
      </c>
      <c r="T1221" s="4">
        <f t="shared" si="78"/>
        <v>-8.0759417636176549E-3</v>
      </c>
      <c r="U1221" s="35"/>
      <c r="V1221" s="35"/>
      <c r="W1221" s="35"/>
      <c r="X1221" s="35"/>
    </row>
    <row r="1222" spans="4:24" x14ac:dyDescent="0.3">
      <c r="D1222" s="23">
        <v>41355</v>
      </c>
      <c r="E1222" s="5">
        <v>127.46684999999999</v>
      </c>
      <c r="F1222" s="28">
        <v>61.703229999999998</v>
      </c>
      <c r="G1222" s="28">
        <v>155.55000000000001</v>
      </c>
      <c r="H1222" s="28">
        <v>62.223590000000002</v>
      </c>
      <c r="I1222" s="28">
        <v>66.03877</v>
      </c>
      <c r="J1222" s="29"/>
      <c r="K1222" s="29"/>
      <c r="L1222" s="29"/>
      <c r="M1222" s="29"/>
      <c r="N1222" s="29"/>
      <c r="P1222" s="4">
        <f t="shared" si="78"/>
        <v>8.0014178109751605E-3</v>
      </c>
      <c r="Q1222" s="4">
        <f t="shared" si="78"/>
        <v>9.5924279714788027E-4</v>
      </c>
      <c r="R1222" s="4">
        <f t="shared" si="78"/>
        <v>-4.4900652728647808E-3</v>
      </c>
      <c r="S1222" s="4">
        <f t="shared" si="78"/>
        <v>9.6688277392291029E-3</v>
      </c>
      <c r="T1222" s="4">
        <f t="shared" si="78"/>
        <v>6.1716031611512836E-3</v>
      </c>
      <c r="U1222" s="35"/>
      <c r="V1222" s="35"/>
      <c r="W1222" s="35"/>
      <c r="X1222" s="35"/>
    </row>
    <row r="1223" spans="4:24" x14ac:dyDescent="0.3">
      <c r="D1223" s="23">
        <v>41358</v>
      </c>
      <c r="E1223" s="5">
        <v>126.93435700000001</v>
      </c>
      <c r="F1223" s="28">
        <v>61.695819999999998</v>
      </c>
      <c r="G1223" s="28">
        <v>155.24</v>
      </c>
      <c r="H1223" s="28">
        <v>61.996789999999997</v>
      </c>
      <c r="I1223" s="28">
        <v>65.816720000000004</v>
      </c>
      <c r="J1223" s="29"/>
      <c r="K1223" s="29"/>
      <c r="L1223" s="29"/>
      <c r="M1223" s="29"/>
      <c r="N1223" s="29"/>
      <c r="P1223" s="4">
        <f t="shared" si="78"/>
        <v>-4.186251975198705E-3</v>
      </c>
      <c r="Q1223" s="4">
        <f t="shared" si="78"/>
        <v>-1.2009816945762678E-4</v>
      </c>
      <c r="R1223" s="4">
        <f t="shared" si="78"/>
        <v>-1.9949168429404872E-3</v>
      </c>
      <c r="S1223" s="4">
        <f t="shared" si="78"/>
        <v>-3.6515787830156774E-3</v>
      </c>
      <c r="T1223" s="4">
        <f t="shared" si="78"/>
        <v>-3.368084406816687E-3</v>
      </c>
      <c r="U1223" s="35"/>
      <c r="V1223" s="35"/>
      <c r="W1223" s="35"/>
      <c r="X1223" s="35"/>
    </row>
    <row r="1224" spans="4:24" x14ac:dyDescent="0.3">
      <c r="D1224" s="23">
        <v>41359</v>
      </c>
      <c r="E1224" s="5">
        <v>127.95017199999999</v>
      </c>
      <c r="F1224" s="28">
        <v>61.71799</v>
      </c>
      <c r="G1224" s="28">
        <v>154.72</v>
      </c>
      <c r="H1224" s="28">
        <v>62.332430000000002</v>
      </c>
      <c r="I1224" s="28">
        <v>66.310199999999995</v>
      </c>
      <c r="J1224" s="29"/>
      <c r="K1224" s="29"/>
      <c r="L1224" s="29"/>
      <c r="M1224" s="29"/>
      <c r="N1224" s="29"/>
      <c r="P1224" s="4">
        <f t="shared" si="78"/>
        <v>7.9708280625793975E-3</v>
      </c>
      <c r="Q1224" s="4">
        <f t="shared" si="78"/>
        <v>3.5927908292400485E-4</v>
      </c>
      <c r="R1224" s="4">
        <f t="shared" si="78"/>
        <v>-3.3552747957214159E-3</v>
      </c>
      <c r="S1224" s="4">
        <f t="shared" si="78"/>
        <v>5.3992265916442172E-3</v>
      </c>
      <c r="T1224" s="4">
        <f t="shared" si="78"/>
        <v>7.4698221166069672E-3</v>
      </c>
      <c r="U1224" s="35"/>
      <c r="V1224" s="35"/>
      <c r="W1224" s="35"/>
      <c r="X1224" s="35"/>
    </row>
    <row r="1225" spans="4:24" x14ac:dyDescent="0.3">
      <c r="D1225" s="23">
        <v>41360</v>
      </c>
      <c r="E1225" s="5">
        <v>127.95017199999999</v>
      </c>
      <c r="F1225" s="28">
        <v>61.843699999999998</v>
      </c>
      <c r="G1225" s="28">
        <v>155.36000000000001</v>
      </c>
      <c r="H1225" s="28">
        <v>62.414099999999998</v>
      </c>
      <c r="I1225" s="28">
        <v>66.359560000000002</v>
      </c>
      <c r="J1225" s="29"/>
      <c r="K1225" s="29"/>
      <c r="L1225" s="29"/>
      <c r="M1225" s="29"/>
      <c r="N1225" s="29"/>
      <c r="P1225" s="4">
        <f t="shared" si="78"/>
        <v>0</v>
      </c>
      <c r="Q1225" s="4">
        <f t="shared" si="78"/>
        <v>2.0347737777482939E-3</v>
      </c>
      <c r="R1225" s="4">
        <f t="shared" si="78"/>
        <v>4.1279728380305908E-3</v>
      </c>
      <c r="S1225" s="4">
        <f t="shared" si="78"/>
        <v>1.3093752855226355E-3</v>
      </c>
      <c r="T1225" s="4">
        <f t="shared" si="78"/>
        <v>7.441032874035984E-4</v>
      </c>
      <c r="U1225" s="35"/>
      <c r="V1225" s="35"/>
      <c r="W1225" s="35"/>
      <c r="X1225" s="35"/>
    </row>
    <row r="1226" spans="4:24" x14ac:dyDescent="0.3">
      <c r="D1226" s="23">
        <v>41361</v>
      </c>
      <c r="E1226" s="5">
        <v>128.34343000000001</v>
      </c>
      <c r="F1226" s="28">
        <v>61.851120000000002</v>
      </c>
      <c r="G1226" s="28">
        <v>154.44999999999999</v>
      </c>
      <c r="H1226" s="28">
        <v>62.568309999999997</v>
      </c>
      <c r="I1226" s="28">
        <v>66.58981</v>
      </c>
      <c r="J1226" s="29"/>
      <c r="K1226" s="29"/>
      <c r="L1226" s="29"/>
      <c r="M1226" s="29"/>
      <c r="N1226" s="29"/>
      <c r="P1226" s="4">
        <f t="shared" si="78"/>
        <v>3.0688109696072855E-3</v>
      </c>
      <c r="Q1226" s="4">
        <f t="shared" si="78"/>
        <v>1.1997268776347402E-4</v>
      </c>
      <c r="R1226" s="4">
        <f t="shared" si="78"/>
        <v>-5.874585178424205E-3</v>
      </c>
      <c r="S1226" s="4">
        <f t="shared" si="78"/>
        <v>2.4677085080411238E-3</v>
      </c>
      <c r="T1226" s="4">
        <f t="shared" si="78"/>
        <v>3.4637280372264044E-3</v>
      </c>
      <c r="U1226" s="35"/>
      <c r="V1226" s="35"/>
      <c r="W1226" s="35"/>
      <c r="X1226" s="35"/>
    </row>
    <row r="1227" spans="4:24" x14ac:dyDescent="0.3">
      <c r="D1227" s="23">
        <v>41365</v>
      </c>
      <c r="E1227" s="5">
        <v>127.83548</v>
      </c>
      <c r="F1227" s="28">
        <v>61.907470000000004</v>
      </c>
      <c r="G1227" s="28">
        <v>154.66999999999999</v>
      </c>
      <c r="H1227" s="28">
        <v>62.141950000000001</v>
      </c>
      <c r="I1227" s="28">
        <v>66.236180000000004</v>
      </c>
      <c r="J1227" s="29"/>
      <c r="K1227" s="29"/>
      <c r="L1227" s="29"/>
      <c r="M1227" s="29"/>
      <c r="N1227" s="29"/>
      <c r="P1227" s="4">
        <f t="shared" si="78"/>
        <v>-3.9655931525768573E-3</v>
      </c>
      <c r="Q1227" s="4">
        <f t="shared" si="78"/>
        <v>9.1064392207639098E-4</v>
      </c>
      <c r="R1227" s="4">
        <f t="shared" si="78"/>
        <v>1.4233956854577895E-3</v>
      </c>
      <c r="S1227" s="4">
        <f t="shared" si="78"/>
        <v>-6.8376356707472346E-3</v>
      </c>
      <c r="T1227" s="4">
        <f t="shared" si="78"/>
        <v>-5.3247235052336821E-3</v>
      </c>
      <c r="U1227" s="35"/>
      <c r="V1227" s="35"/>
      <c r="W1227" s="35"/>
      <c r="X1227" s="35"/>
    </row>
    <row r="1228" spans="4:24" x14ac:dyDescent="0.3">
      <c r="D1228" s="23">
        <v>41366</v>
      </c>
      <c r="E1228" s="5">
        <v>128.46629300000001</v>
      </c>
      <c r="F1228" s="28">
        <v>61.914929999999998</v>
      </c>
      <c r="G1228" s="28">
        <v>152.43</v>
      </c>
      <c r="H1228" s="28">
        <v>62.631819999999998</v>
      </c>
      <c r="I1228" s="28">
        <v>66.433580000000006</v>
      </c>
      <c r="J1228" s="29"/>
      <c r="K1228" s="29"/>
      <c r="L1228" s="29"/>
      <c r="M1228" s="29"/>
      <c r="N1228" s="29"/>
      <c r="P1228" s="4">
        <f t="shared" si="78"/>
        <v>4.9224339445734927E-3</v>
      </c>
      <c r="Q1228" s="4">
        <f t="shared" si="78"/>
        <v>1.2049516095670713E-4</v>
      </c>
      <c r="R1228" s="4">
        <f t="shared" si="78"/>
        <v>-1.458834077629812E-2</v>
      </c>
      <c r="S1228" s="4">
        <f t="shared" si="78"/>
        <v>7.852171445550114E-3</v>
      </c>
      <c r="T1228" s="4">
        <f t="shared" si="78"/>
        <v>2.9758122072772327E-3</v>
      </c>
      <c r="U1228" s="35"/>
      <c r="V1228" s="35"/>
      <c r="W1228" s="35"/>
      <c r="X1228" s="35"/>
    </row>
    <row r="1229" spans="4:24" x14ac:dyDescent="0.3">
      <c r="D1229" s="23">
        <v>41367</v>
      </c>
      <c r="E1229" s="5">
        <v>127.163757</v>
      </c>
      <c r="F1229" s="28">
        <v>61.95205</v>
      </c>
      <c r="G1229" s="28">
        <v>150.72999999999999</v>
      </c>
      <c r="H1229" s="28">
        <v>62.060310000000001</v>
      </c>
      <c r="I1229" s="28">
        <v>65.709789999999998</v>
      </c>
      <c r="J1229" s="29"/>
      <c r="K1229" s="29"/>
      <c r="L1229" s="29"/>
      <c r="M1229" s="29"/>
      <c r="N1229" s="29"/>
      <c r="P1229" s="4">
        <f t="shared" si="78"/>
        <v>-1.0190877580916382E-2</v>
      </c>
      <c r="Q1229" s="4">
        <f t="shared" si="78"/>
        <v>5.9935264605961503E-4</v>
      </c>
      <c r="R1229" s="4">
        <f t="shared" si="78"/>
        <v>-1.1215317451312483E-2</v>
      </c>
      <c r="S1229" s="4">
        <f t="shared" si="78"/>
        <v>-9.1668014974972071E-3</v>
      </c>
      <c r="T1229" s="4">
        <f t="shared" si="78"/>
        <v>-1.0954726495160442E-2</v>
      </c>
      <c r="U1229" s="35"/>
      <c r="V1229" s="35"/>
      <c r="W1229" s="35"/>
      <c r="X1229" s="35"/>
    </row>
    <row r="1230" spans="4:24" x14ac:dyDescent="0.3">
      <c r="D1230" s="23">
        <v>41368</v>
      </c>
      <c r="E1230" s="5">
        <v>127.679832</v>
      </c>
      <c r="F1230" s="28">
        <v>62.130110000000002</v>
      </c>
      <c r="G1230" s="28">
        <v>150.29</v>
      </c>
      <c r="H1230" s="28">
        <v>62.078420000000001</v>
      </c>
      <c r="I1230" s="28">
        <v>65.997630000000001</v>
      </c>
      <c r="J1230" s="29"/>
      <c r="K1230" s="29"/>
      <c r="L1230" s="29"/>
      <c r="M1230" s="29"/>
      <c r="N1230" s="29"/>
      <c r="P1230" s="4">
        <f t="shared" si="78"/>
        <v>4.0501368504701806E-3</v>
      </c>
      <c r="Q1230" s="4">
        <f t="shared" si="78"/>
        <v>2.8700358250518662E-3</v>
      </c>
      <c r="R1230" s="4">
        <f t="shared" si="78"/>
        <v>-2.9233958764348237E-3</v>
      </c>
      <c r="S1230" s="4">
        <f t="shared" si="78"/>
        <v>2.9177034642581328E-4</v>
      </c>
      <c r="T1230" s="4">
        <f t="shared" si="78"/>
        <v>4.3709072466995855E-3</v>
      </c>
      <c r="U1230" s="35"/>
      <c r="V1230" s="35"/>
      <c r="W1230" s="35"/>
      <c r="X1230" s="35"/>
    </row>
    <row r="1231" spans="4:24" x14ac:dyDescent="0.3">
      <c r="D1231" s="23">
        <v>41369</v>
      </c>
      <c r="E1231" s="5">
        <v>127.106415</v>
      </c>
      <c r="F1231" s="28">
        <v>62.300879999999999</v>
      </c>
      <c r="G1231" s="28">
        <v>152.81</v>
      </c>
      <c r="H1231" s="28">
        <v>61.561369999999997</v>
      </c>
      <c r="I1231" s="28">
        <v>65.767330000000001</v>
      </c>
      <c r="J1231" s="29"/>
      <c r="K1231" s="29"/>
      <c r="L1231" s="29"/>
      <c r="M1231" s="29"/>
      <c r="N1231" s="29"/>
      <c r="P1231" s="4">
        <f t="shared" si="78"/>
        <v>-4.5011689201861363E-3</v>
      </c>
      <c r="Q1231" s="4">
        <f t="shared" si="78"/>
        <v>2.7448163390056735E-3</v>
      </c>
      <c r="R1231" s="4">
        <f t="shared" si="78"/>
        <v>1.6628558671162835E-2</v>
      </c>
      <c r="S1231" s="4">
        <f t="shared" si="78"/>
        <v>-8.3638610862553364E-3</v>
      </c>
      <c r="T1231" s="4">
        <f t="shared" si="78"/>
        <v>-3.4956218179714115E-3</v>
      </c>
      <c r="U1231" s="35"/>
      <c r="V1231" s="35"/>
      <c r="W1231" s="35"/>
      <c r="X1231" s="35"/>
    </row>
    <row r="1232" spans="4:24" x14ac:dyDescent="0.3">
      <c r="D1232" s="23">
        <v>41372</v>
      </c>
      <c r="E1232" s="5">
        <v>127.966583</v>
      </c>
      <c r="F1232" s="28">
        <v>62.271189999999997</v>
      </c>
      <c r="G1232" s="28">
        <v>152.16</v>
      </c>
      <c r="H1232" s="28">
        <v>61.887920000000001</v>
      </c>
      <c r="I1232" s="28">
        <v>66.170360000000002</v>
      </c>
      <c r="J1232" s="29"/>
      <c r="K1232" s="29"/>
      <c r="L1232" s="29"/>
      <c r="M1232" s="29"/>
      <c r="N1232" s="29"/>
      <c r="P1232" s="4">
        <f t="shared" si="78"/>
        <v>6.7445105313575313E-3</v>
      </c>
      <c r="Q1232" s="4">
        <f t="shared" si="78"/>
        <v>-4.7667186652953987E-4</v>
      </c>
      <c r="R1232" s="4">
        <f t="shared" si="78"/>
        <v>-4.2627208200856498E-3</v>
      </c>
      <c r="S1232" s="4">
        <f t="shared" si="78"/>
        <v>5.2904437383921345E-3</v>
      </c>
      <c r="T1232" s="4">
        <f t="shared" si="78"/>
        <v>6.1094180683334866E-3</v>
      </c>
      <c r="U1232" s="35"/>
      <c r="V1232" s="35"/>
      <c r="W1232" s="35"/>
      <c r="X1232" s="35"/>
    </row>
    <row r="1233" spans="4:24" x14ac:dyDescent="0.3">
      <c r="D1233" s="23">
        <v>41373</v>
      </c>
      <c r="E1233" s="5">
        <v>128.40891999999999</v>
      </c>
      <c r="F1233" s="28">
        <v>62.2044</v>
      </c>
      <c r="G1233" s="28">
        <v>153.34</v>
      </c>
      <c r="H1233" s="28">
        <v>62.305239999999998</v>
      </c>
      <c r="I1233" s="28">
        <v>66.359560000000002</v>
      </c>
      <c r="J1233" s="29"/>
      <c r="K1233" s="29"/>
      <c r="L1233" s="29"/>
      <c r="M1233" s="29"/>
      <c r="N1233" s="29"/>
      <c r="P1233" s="4">
        <f t="shared" si="78"/>
        <v>3.4506997255575908E-3</v>
      </c>
      <c r="Q1233" s="4">
        <f t="shared" si="78"/>
        <v>-1.0731422347112825E-3</v>
      </c>
      <c r="R1233" s="4">
        <f t="shared" si="78"/>
        <v>7.7250793336682564E-3</v>
      </c>
      <c r="S1233" s="4">
        <f t="shared" si="78"/>
        <v>6.7205242334195444E-3</v>
      </c>
      <c r="T1233" s="4">
        <f t="shared" si="78"/>
        <v>2.8552062588287829E-3</v>
      </c>
      <c r="U1233" s="35"/>
      <c r="V1233" s="35"/>
      <c r="W1233" s="35"/>
      <c r="X1233" s="35"/>
    </row>
    <row r="1234" spans="4:24" x14ac:dyDescent="0.3">
      <c r="D1234" s="23">
        <v>41374</v>
      </c>
      <c r="E1234" s="5">
        <v>129.98176599999999</v>
      </c>
      <c r="F1234" s="28">
        <v>62.085659999999997</v>
      </c>
      <c r="G1234" s="28">
        <v>150.75</v>
      </c>
      <c r="H1234" s="28">
        <v>63.520859999999999</v>
      </c>
      <c r="I1234" s="28">
        <v>67.214950000000002</v>
      </c>
      <c r="J1234" s="29"/>
      <c r="K1234" s="29"/>
      <c r="L1234" s="29"/>
      <c r="M1234" s="29"/>
      <c r="N1234" s="29"/>
      <c r="P1234" s="4">
        <f t="shared" si="78"/>
        <v>1.2174319831662979E-2</v>
      </c>
      <c r="Q1234" s="4">
        <f t="shared" si="78"/>
        <v>-1.9106923936496544E-3</v>
      </c>
      <c r="R1234" s="4">
        <f t="shared" si="78"/>
        <v>-1.7034842523453619E-2</v>
      </c>
      <c r="S1234" s="4">
        <f t="shared" si="78"/>
        <v>1.9322824484340573E-2</v>
      </c>
      <c r="T1234" s="4">
        <f t="shared" si="78"/>
        <v>1.2807858224404722E-2</v>
      </c>
      <c r="U1234" s="35"/>
      <c r="V1234" s="35"/>
      <c r="W1234" s="35"/>
      <c r="X1234" s="35"/>
    </row>
    <row r="1235" spans="4:24" x14ac:dyDescent="0.3">
      <c r="D1235" s="23">
        <v>41375</v>
      </c>
      <c r="E1235" s="5">
        <v>130.40772999999999</v>
      </c>
      <c r="F1235" s="28">
        <v>62.115340000000003</v>
      </c>
      <c r="G1235" s="28">
        <v>151.05000000000001</v>
      </c>
      <c r="H1235" s="28">
        <v>63.493650000000002</v>
      </c>
      <c r="I1235" s="28">
        <v>67.469930000000005</v>
      </c>
      <c r="J1235" s="29"/>
      <c r="K1235" s="29"/>
      <c r="L1235" s="29"/>
      <c r="M1235" s="29"/>
      <c r="N1235" s="29"/>
      <c r="P1235" s="4">
        <f t="shared" si="78"/>
        <v>3.271747797166592E-3</v>
      </c>
      <c r="Q1235" s="4">
        <f t="shared" si="78"/>
        <v>4.7793496936360583E-4</v>
      </c>
      <c r="R1235" s="4">
        <f t="shared" si="78"/>
        <v>1.9880722253863368E-3</v>
      </c>
      <c r="S1235" s="4">
        <f t="shared" si="78"/>
        <v>-4.2845499173674577E-4</v>
      </c>
      <c r="T1235" s="4">
        <f t="shared" si="78"/>
        <v>3.7863241162832298E-3</v>
      </c>
      <c r="U1235" s="35"/>
      <c r="V1235" s="35"/>
      <c r="W1235" s="35"/>
      <c r="X1235" s="35"/>
    </row>
    <row r="1236" spans="4:24" x14ac:dyDescent="0.3">
      <c r="D1236" s="23">
        <v>41376</v>
      </c>
      <c r="E1236" s="5">
        <v>130.088257</v>
      </c>
      <c r="F1236" s="28">
        <v>62.263750000000002</v>
      </c>
      <c r="G1236" s="28">
        <v>143.94999999999999</v>
      </c>
      <c r="H1236" s="28">
        <v>63.448270000000001</v>
      </c>
      <c r="I1236" s="28">
        <v>67.231399999999994</v>
      </c>
      <c r="J1236" s="29"/>
      <c r="K1236" s="29"/>
      <c r="L1236" s="29"/>
      <c r="M1236" s="29"/>
      <c r="N1236" s="29"/>
      <c r="P1236" s="4">
        <f t="shared" si="78"/>
        <v>-2.452806769490723E-3</v>
      </c>
      <c r="Q1236" s="4">
        <f t="shared" si="78"/>
        <v>2.3864151190144092E-3</v>
      </c>
      <c r="R1236" s="4">
        <f t="shared" si="78"/>
        <v>-4.8144890774496255E-2</v>
      </c>
      <c r="S1236" s="4">
        <f t="shared" si="78"/>
        <v>-7.1497267306396711E-4</v>
      </c>
      <c r="T1236" s="4">
        <f t="shared" si="78"/>
        <v>-3.541616839632267E-3</v>
      </c>
      <c r="U1236" s="35"/>
      <c r="V1236" s="35"/>
      <c r="W1236" s="35"/>
      <c r="X1236" s="35"/>
    </row>
    <row r="1237" spans="4:24" x14ac:dyDescent="0.3">
      <c r="D1237" s="23">
        <v>41379</v>
      </c>
      <c r="E1237" s="5">
        <v>127.073662</v>
      </c>
      <c r="F1237" s="28">
        <v>62.330579999999998</v>
      </c>
      <c r="G1237" s="28">
        <v>131.31</v>
      </c>
      <c r="H1237" s="28">
        <v>62.196390000000001</v>
      </c>
      <c r="I1237" s="28">
        <v>65.594589999999997</v>
      </c>
      <c r="J1237" s="29"/>
      <c r="K1237" s="29"/>
      <c r="L1237" s="29"/>
      <c r="M1237" s="29"/>
      <c r="N1237" s="29"/>
      <c r="P1237" s="4">
        <f t="shared" ref="P1237:T1252" si="79">LN(E1237/E1236)</f>
        <v>-2.3446186044724052E-2</v>
      </c>
      <c r="Q1237" s="4">
        <f t="shared" si="79"/>
        <v>1.072761600132051E-3</v>
      </c>
      <c r="R1237" s="4">
        <f t="shared" si="79"/>
        <v>-9.1905077187271103E-2</v>
      </c>
      <c r="S1237" s="4">
        <f t="shared" si="79"/>
        <v>-1.9927968749627708E-2</v>
      </c>
      <c r="T1237" s="4">
        <f t="shared" si="79"/>
        <v>-2.4647177263965279E-2</v>
      </c>
      <c r="U1237" s="35"/>
      <c r="V1237" s="35"/>
      <c r="W1237" s="35"/>
      <c r="X1237" s="35"/>
    </row>
    <row r="1238" spans="4:24" x14ac:dyDescent="0.3">
      <c r="D1238" s="23">
        <v>41380</v>
      </c>
      <c r="E1238" s="5">
        <v>128.9496</v>
      </c>
      <c r="F1238" s="28">
        <v>62.315710000000003</v>
      </c>
      <c r="G1238" s="28">
        <v>132.80000000000001</v>
      </c>
      <c r="H1238" s="28">
        <v>63.021909999999998</v>
      </c>
      <c r="I1238" s="28">
        <v>66.565160000000006</v>
      </c>
      <c r="J1238" s="29"/>
      <c r="K1238" s="29"/>
      <c r="L1238" s="29"/>
      <c r="M1238" s="29"/>
      <c r="N1238" s="29"/>
      <c r="P1238" s="4">
        <f t="shared" si="79"/>
        <v>1.4654696282528794E-2</v>
      </c>
      <c r="Q1238" s="4">
        <f t="shared" si="79"/>
        <v>-2.3859514904993762E-4</v>
      </c>
      <c r="R1238" s="4">
        <f t="shared" si="79"/>
        <v>1.1283297171419862E-2</v>
      </c>
      <c r="S1238" s="4">
        <f t="shared" si="79"/>
        <v>1.3185484233015738E-2</v>
      </c>
      <c r="T1238" s="4">
        <f t="shared" si="79"/>
        <v>1.4688094509530727E-2</v>
      </c>
      <c r="U1238" s="35"/>
      <c r="V1238" s="35"/>
      <c r="W1238" s="35"/>
      <c r="X1238" s="35"/>
    </row>
    <row r="1239" spans="4:24" x14ac:dyDescent="0.3">
      <c r="D1239" s="23">
        <v>41381</v>
      </c>
      <c r="E1239" s="5">
        <v>127.06546</v>
      </c>
      <c r="F1239" s="28">
        <v>62.345460000000003</v>
      </c>
      <c r="G1239" s="28">
        <v>132.87</v>
      </c>
      <c r="H1239" s="28">
        <v>61.788150000000002</v>
      </c>
      <c r="I1239" s="28">
        <v>65.569919999999996</v>
      </c>
      <c r="J1239" s="29"/>
      <c r="K1239" s="29"/>
      <c r="L1239" s="29"/>
      <c r="M1239" s="29"/>
      <c r="N1239" s="29"/>
      <c r="P1239" s="4">
        <f t="shared" si="79"/>
        <v>-1.4719243605572203E-2</v>
      </c>
      <c r="Q1239" s="4">
        <f t="shared" si="79"/>
        <v>4.7729378064993228E-4</v>
      </c>
      <c r="R1239" s="4">
        <f t="shared" si="79"/>
        <v>5.2696956088292492E-4</v>
      </c>
      <c r="S1239" s="4">
        <f t="shared" si="79"/>
        <v>-1.9770845203723207E-2</v>
      </c>
      <c r="T1239" s="4">
        <f t="shared" si="79"/>
        <v>-1.5064263341952185E-2</v>
      </c>
      <c r="U1239" s="35"/>
      <c r="V1239" s="35"/>
      <c r="W1239" s="35"/>
      <c r="X1239" s="35"/>
    </row>
    <row r="1240" spans="4:24" x14ac:dyDescent="0.3">
      <c r="D1240" s="23">
        <v>41382</v>
      </c>
      <c r="E1240" s="5">
        <v>126.27085099999999</v>
      </c>
      <c r="F1240" s="28">
        <v>62.382550000000002</v>
      </c>
      <c r="G1240" s="28">
        <v>134.30000000000001</v>
      </c>
      <c r="H1240" s="28">
        <v>60.935389999999998</v>
      </c>
      <c r="I1240" s="28">
        <v>65.158709999999999</v>
      </c>
      <c r="J1240" s="29"/>
      <c r="K1240" s="29"/>
      <c r="L1240" s="29"/>
      <c r="M1240" s="29"/>
      <c r="N1240" s="29"/>
      <c r="P1240" s="4">
        <f t="shared" si="79"/>
        <v>-6.2731757851697528E-3</v>
      </c>
      <c r="Q1240" s="4">
        <f t="shared" si="79"/>
        <v>5.9473411133958726E-4</v>
      </c>
      <c r="R1240" s="4">
        <f t="shared" si="79"/>
        <v>1.0704896925975494E-2</v>
      </c>
      <c r="S1240" s="4">
        <f t="shared" si="79"/>
        <v>-1.3897475987354461E-2</v>
      </c>
      <c r="T1240" s="4">
        <f t="shared" si="79"/>
        <v>-6.2910680884879248E-3</v>
      </c>
      <c r="U1240" s="35"/>
      <c r="V1240" s="35"/>
      <c r="W1240" s="35"/>
      <c r="X1240" s="35"/>
    </row>
    <row r="1241" spans="4:24" x14ac:dyDescent="0.3">
      <c r="D1241" s="23">
        <v>41383</v>
      </c>
      <c r="E1241" s="5">
        <v>127.368584</v>
      </c>
      <c r="F1241" s="28">
        <v>62.330579999999998</v>
      </c>
      <c r="G1241" s="28">
        <v>135.47</v>
      </c>
      <c r="H1241" s="28">
        <v>61.77</v>
      </c>
      <c r="I1241" s="28">
        <v>65.783779999999993</v>
      </c>
      <c r="J1241" s="29"/>
      <c r="K1241" s="29"/>
      <c r="L1241" s="29"/>
      <c r="M1241" s="29"/>
      <c r="N1241" s="29"/>
      <c r="P1241" s="4">
        <f t="shared" si="79"/>
        <v>8.6559083680262036E-3</v>
      </c>
      <c r="Q1241" s="4">
        <f t="shared" si="79"/>
        <v>-8.3343274293960551E-4</v>
      </c>
      <c r="R1241" s="4">
        <f t="shared" si="79"/>
        <v>8.674110063453094E-3</v>
      </c>
      <c r="S1241" s="4">
        <f t="shared" si="79"/>
        <v>1.3603687190248971E-2</v>
      </c>
      <c r="T1241" s="4">
        <f t="shared" si="79"/>
        <v>9.547317268616462E-3</v>
      </c>
      <c r="U1241" s="35"/>
      <c r="V1241" s="35"/>
      <c r="W1241" s="35"/>
      <c r="X1241" s="35"/>
    </row>
    <row r="1242" spans="4:24" x14ac:dyDescent="0.3">
      <c r="D1242" s="23">
        <v>41386</v>
      </c>
      <c r="E1242" s="5">
        <v>127.933846</v>
      </c>
      <c r="F1242" s="28">
        <v>62.412210000000002</v>
      </c>
      <c r="G1242" s="28">
        <v>137.9</v>
      </c>
      <c r="H1242" s="28">
        <v>62.405029999999996</v>
      </c>
      <c r="I1242" s="28">
        <v>66.063460000000006</v>
      </c>
      <c r="J1242" s="29"/>
      <c r="K1242" s="29"/>
      <c r="L1242" s="29"/>
      <c r="M1242" s="29"/>
      <c r="N1242" s="29"/>
      <c r="P1242" s="4">
        <f t="shared" si="79"/>
        <v>4.4281828706108188E-3</v>
      </c>
      <c r="Q1242" s="4">
        <f t="shared" si="79"/>
        <v>1.3087732229160377E-3</v>
      </c>
      <c r="R1242" s="4">
        <f t="shared" si="79"/>
        <v>1.7778571206611138E-2</v>
      </c>
      <c r="S1242" s="4">
        <f t="shared" si="79"/>
        <v>1.0228071393204368E-2</v>
      </c>
      <c r="T1242" s="4">
        <f t="shared" si="79"/>
        <v>4.2424918335863251E-3</v>
      </c>
      <c r="U1242" s="35"/>
      <c r="V1242" s="35"/>
      <c r="W1242" s="35"/>
      <c r="X1242" s="35"/>
    </row>
    <row r="1243" spans="4:24" x14ac:dyDescent="0.3">
      <c r="D1243" s="23">
        <v>41387</v>
      </c>
      <c r="E1243" s="5">
        <v>129.252701</v>
      </c>
      <c r="F1243" s="28">
        <v>62.397289999999998</v>
      </c>
      <c r="G1243" s="28">
        <v>136.88</v>
      </c>
      <c r="H1243" s="28">
        <v>63.003770000000003</v>
      </c>
      <c r="I1243" s="28">
        <v>66.779020000000003</v>
      </c>
      <c r="J1243" s="29"/>
      <c r="K1243" s="29"/>
      <c r="L1243" s="29"/>
      <c r="M1243" s="29"/>
      <c r="N1243" s="29"/>
      <c r="P1243" s="4">
        <f t="shared" si="79"/>
        <v>1.0256108462755304E-2</v>
      </c>
      <c r="Q1243" s="4">
        <f t="shared" si="79"/>
        <v>-2.3908436571056578E-4</v>
      </c>
      <c r="R1243" s="4">
        <f t="shared" si="79"/>
        <v>-7.4241552153181374E-3</v>
      </c>
      <c r="S1243" s="4">
        <f t="shared" si="79"/>
        <v>9.5486847699444623E-3</v>
      </c>
      <c r="T1243" s="4">
        <f t="shared" si="79"/>
        <v>1.0773164137073394E-2</v>
      </c>
      <c r="U1243" s="35"/>
      <c r="V1243" s="35"/>
      <c r="W1243" s="35"/>
      <c r="X1243" s="35"/>
    </row>
    <row r="1244" spans="4:24" x14ac:dyDescent="0.3">
      <c r="D1244" s="23">
        <v>41388</v>
      </c>
      <c r="E1244" s="5">
        <v>129.33462499999999</v>
      </c>
      <c r="F1244" s="28">
        <v>62.382550000000002</v>
      </c>
      <c r="G1244" s="28">
        <v>138.37</v>
      </c>
      <c r="H1244" s="28">
        <v>62.97654</v>
      </c>
      <c r="I1244" s="28">
        <v>66.877719999999997</v>
      </c>
      <c r="J1244" s="29"/>
      <c r="K1244" s="29"/>
      <c r="L1244" s="29"/>
      <c r="M1244" s="29"/>
      <c r="N1244" s="29"/>
      <c r="P1244" s="4">
        <f t="shared" si="79"/>
        <v>6.3362736301253897E-4</v>
      </c>
      <c r="Q1244" s="4">
        <f t="shared" si="79"/>
        <v>-2.3625611426589862E-4</v>
      </c>
      <c r="R1244" s="4">
        <f t="shared" si="79"/>
        <v>1.0826627097355011E-2</v>
      </c>
      <c r="S1244" s="4">
        <f t="shared" si="79"/>
        <v>-4.3228978280897555E-4</v>
      </c>
      <c r="T1244" s="4">
        <f t="shared" si="79"/>
        <v>1.4769179308290177E-3</v>
      </c>
      <c r="U1244" s="35"/>
      <c r="V1244" s="35"/>
      <c r="W1244" s="35"/>
      <c r="X1244" s="35"/>
    </row>
    <row r="1245" spans="4:24" x14ac:dyDescent="0.3">
      <c r="D1245" s="23">
        <v>41389</v>
      </c>
      <c r="E1245" s="5">
        <v>129.858902</v>
      </c>
      <c r="F1245" s="28">
        <v>62.345460000000003</v>
      </c>
      <c r="G1245" s="28">
        <v>141.63</v>
      </c>
      <c r="H1245" s="28">
        <v>63.31223</v>
      </c>
      <c r="I1245" s="28">
        <v>67.149150000000006</v>
      </c>
      <c r="J1245" s="29"/>
      <c r="K1245" s="29"/>
      <c r="L1245" s="29"/>
      <c r="M1245" s="29"/>
      <c r="N1245" s="29"/>
      <c r="P1245" s="4">
        <f t="shared" si="79"/>
        <v>4.0454537663897902E-3</v>
      </c>
      <c r="Q1245" s="4">
        <f t="shared" si="79"/>
        <v>-5.9473411133963117E-4</v>
      </c>
      <c r="R1245" s="4">
        <f t="shared" si="79"/>
        <v>2.3286766545011977E-2</v>
      </c>
      <c r="S1245" s="4">
        <f t="shared" si="79"/>
        <v>5.3162413509505214E-3</v>
      </c>
      <c r="T1245" s="4">
        <f t="shared" si="79"/>
        <v>4.05038737503548E-3</v>
      </c>
      <c r="U1245" s="35"/>
      <c r="V1245" s="35"/>
      <c r="W1245" s="35"/>
      <c r="X1245" s="35"/>
    </row>
    <row r="1246" spans="4:24" x14ac:dyDescent="0.3">
      <c r="D1246" s="23">
        <v>41390</v>
      </c>
      <c r="E1246" s="5">
        <v>129.62953200000001</v>
      </c>
      <c r="F1246" s="28">
        <v>62.427059999999997</v>
      </c>
      <c r="G1246" s="28">
        <v>140.91</v>
      </c>
      <c r="H1246" s="28">
        <v>63.11262</v>
      </c>
      <c r="I1246" s="28">
        <v>67.025779999999997</v>
      </c>
      <c r="J1246" s="29"/>
      <c r="K1246" s="29"/>
      <c r="L1246" s="29"/>
      <c r="M1246" s="29"/>
      <c r="N1246" s="29"/>
      <c r="P1246" s="4">
        <f t="shared" si="79"/>
        <v>-1.7678634550492729E-3</v>
      </c>
      <c r="Q1246" s="4">
        <f t="shared" si="79"/>
        <v>1.3079805013720518E-3</v>
      </c>
      <c r="R1246" s="4">
        <f t="shared" si="79"/>
        <v>-5.0966345192916644E-3</v>
      </c>
      <c r="S1246" s="4">
        <f t="shared" si="79"/>
        <v>-3.1577678892644079E-3</v>
      </c>
      <c r="T1246" s="4">
        <f t="shared" si="79"/>
        <v>-1.8389431582609757E-3</v>
      </c>
      <c r="U1246" s="35"/>
      <c r="V1246" s="35"/>
      <c r="W1246" s="35"/>
      <c r="X1246" s="35"/>
    </row>
    <row r="1247" spans="4:24" x14ac:dyDescent="0.3">
      <c r="D1247" s="23">
        <v>41393</v>
      </c>
      <c r="E1247" s="5">
        <v>130.49787900000001</v>
      </c>
      <c r="F1247" s="28">
        <v>62.479030000000002</v>
      </c>
      <c r="G1247" s="28">
        <v>142.30000000000001</v>
      </c>
      <c r="H1247" s="28">
        <v>63.69323</v>
      </c>
      <c r="I1247" s="28">
        <v>67.453469999999996</v>
      </c>
      <c r="J1247" s="29"/>
      <c r="K1247" s="29"/>
      <c r="L1247" s="29"/>
      <c r="M1247" s="29"/>
      <c r="N1247" s="29"/>
      <c r="P1247" s="4">
        <f t="shared" si="79"/>
        <v>6.676345427070237E-3</v>
      </c>
      <c r="Q1247" s="4">
        <f t="shared" si="79"/>
        <v>8.3214522204573733E-4</v>
      </c>
      <c r="R1247" s="4">
        <f t="shared" si="79"/>
        <v>9.816116388793374E-3</v>
      </c>
      <c r="S1247" s="4">
        <f t="shared" si="79"/>
        <v>9.1575279453736565E-3</v>
      </c>
      <c r="T1247" s="4">
        <f t="shared" si="79"/>
        <v>6.3607053426646236E-3</v>
      </c>
      <c r="U1247" s="35"/>
      <c r="V1247" s="35"/>
      <c r="W1247" s="35"/>
      <c r="X1247" s="35"/>
    </row>
    <row r="1248" spans="4:24" x14ac:dyDescent="0.3">
      <c r="D1248" s="23">
        <v>41394</v>
      </c>
      <c r="E1248" s="5">
        <v>130.80914300000001</v>
      </c>
      <c r="F1248" s="28">
        <v>62.479030000000002</v>
      </c>
      <c r="G1248" s="28">
        <v>142.77000000000001</v>
      </c>
      <c r="H1248" s="28">
        <v>64.155900000000003</v>
      </c>
      <c r="I1248" s="28">
        <v>67.659109999999998</v>
      </c>
      <c r="J1248" s="29"/>
      <c r="K1248" s="29"/>
      <c r="L1248" s="29"/>
      <c r="M1248" s="29"/>
      <c r="N1248" s="29"/>
      <c r="P1248" s="4">
        <f t="shared" si="79"/>
        <v>2.382363434679703E-3</v>
      </c>
      <c r="Q1248" s="4">
        <f t="shared" si="79"/>
        <v>0</v>
      </c>
      <c r="R1248" s="4">
        <f t="shared" si="79"/>
        <v>3.2974387053221364E-3</v>
      </c>
      <c r="S1248" s="4">
        <f t="shared" si="79"/>
        <v>7.2377812780420915E-3</v>
      </c>
      <c r="T1248" s="4">
        <f t="shared" si="79"/>
        <v>3.0439824150408231E-3</v>
      </c>
      <c r="U1248" s="35"/>
      <c r="V1248" s="35"/>
      <c r="W1248" s="35"/>
      <c r="X1248" s="35"/>
    </row>
    <row r="1249" spans="4:24" x14ac:dyDescent="0.3">
      <c r="D1249" s="23">
        <v>41395</v>
      </c>
      <c r="E1249" s="5">
        <v>129.662308</v>
      </c>
      <c r="F1249" s="28">
        <v>62.584589999999999</v>
      </c>
      <c r="G1249" s="28">
        <v>141.11000000000001</v>
      </c>
      <c r="H1249" s="28">
        <v>63.856499999999997</v>
      </c>
      <c r="I1249" s="28">
        <v>66.968190000000007</v>
      </c>
      <c r="J1249" s="29"/>
      <c r="K1249" s="29"/>
      <c r="L1249" s="29"/>
      <c r="M1249" s="29"/>
      <c r="N1249" s="29"/>
      <c r="P1249" s="4">
        <f t="shared" si="79"/>
        <v>-8.8058972023120716E-3</v>
      </c>
      <c r="Q1249" s="4">
        <f t="shared" si="79"/>
        <v>1.6881012250842043E-3</v>
      </c>
      <c r="R1249" s="4">
        <f t="shared" si="79"/>
        <v>-1.1695215731459454E-2</v>
      </c>
      <c r="S1249" s="4">
        <f t="shared" si="79"/>
        <v>-4.6776803797618947E-3</v>
      </c>
      <c r="T1249" s="4">
        <f t="shared" si="79"/>
        <v>-1.0264278731031804E-2</v>
      </c>
      <c r="U1249" s="35"/>
      <c r="V1249" s="35"/>
      <c r="W1249" s="35"/>
      <c r="X1249" s="35"/>
    </row>
    <row r="1250" spans="4:24" x14ac:dyDescent="0.3">
      <c r="D1250" s="23">
        <v>41396</v>
      </c>
      <c r="E1250" s="5">
        <v>130.86653100000001</v>
      </c>
      <c r="F1250" s="28">
        <v>62.599490000000003</v>
      </c>
      <c r="G1250" s="28">
        <v>141.91999999999999</v>
      </c>
      <c r="H1250" s="28">
        <v>64.663920000000005</v>
      </c>
      <c r="I1250" s="28">
        <v>67.667339999999996</v>
      </c>
      <c r="J1250" s="29"/>
      <c r="K1250" s="29"/>
      <c r="L1250" s="29"/>
      <c r="M1250" s="29"/>
      <c r="N1250" s="29"/>
      <c r="P1250" s="4">
        <f t="shared" si="79"/>
        <v>9.2445165056872364E-3</v>
      </c>
      <c r="Q1250" s="4">
        <f t="shared" si="79"/>
        <v>2.3804943999856736E-4</v>
      </c>
      <c r="R1250" s="4">
        <f t="shared" si="79"/>
        <v>5.7237904915997577E-3</v>
      </c>
      <c r="S1250" s="4">
        <f t="shared" si="79"/>
        <v>1.256501687287113E-2</v>
      </c>
      <c r="T1250" s="4">
        <f t="shared" si="79"/>
        <v>1.0385910533390299E-2</v>
      </c>
      <c r="U1250" s="35"/>
      <c r="V1250" s="35"/>
      <c r="W1250" s="35"/>
      <c r="X1250" s="35"/>
    </row>
    <row r="1251" spans="4:24" x14ac:dyDescent="0.3">
      <c r="D1251" s="23">
        <v>41397</v>
      </c>
      <c r="E1251" s="5">
        <v>132.19360399999999</v>
      </c>
      <c r="F1251" s="28">
        <v>62.302030000000002</v>
      </c>
      <c r="G1251" s="28">
        <v>142.09</v>
      </c>
      <c r="H1251" s="28">
        <v>65.425939999999997</v>
      </c>
      <c r="I1251" s="28">
        <v>68.300659999999993</v>
      </c>
      <c r="J1251" s="29"/>
      <c r="K1251" s="29"/>
      <c r="L1251" s="29"/>
      <c r="M1251" s="29"/>
      <c r="N1251" s="29"/>
      <c r="P1251" s="4">
        <f t="shared" si="79"/>
        <v>1.0089588511470815E-2</v>
      </c>
      <c r="Q1251" s="4">
        <f t="shared" si="79"/>
        <v>-4.7631215757953657E-3</v>
      </c>
      <c r="R1251" s="4">
        <f t="shared" si="79"/>
        <v>1.1971410887147511E-3</v>
      </c>
      <c r="S1251" s="4">
        <f t="shared" si="79"/>
        <v>1.1715420643122179E-2</v>
      </c>
      <c r="T1251" s="4">
        <f t="shared" si="79"/>
        <v>9.3157887173358107E-3</v>
      </c>
      <c r="U1251" s="35"/>
      <c r="V1251" s="35"/>
      <c r="W1251" s="35"/>
      <c r="X1251" s="35"/>
    </row>
    <row r="1252" spans="4:24" x14ac:dyDescent="0.3">
      <c r="D1252" s="23">
        <v>41400</v>
      </c>
      <c r="E1252" s="5">
        <v>132.52950999999999</v>
      </c>
      <c r="F1252" s="28">
        <v>62.294609999999999</v>
      </c>
      <c r="G1252" s="28">
        <v>142.15</v>
      </c>
      <c r="H1252" s="28">
        <v>65.679950000000005</v>
      </c>
      <c r="I1252" s="28">
        <v>68.563860000000005</v>
      </c>
      <c r="J1252" s="29"/>
      <c r="K1252" s="29"/>
      <c r="L1252" s="29"/>
      <c r="M1252" s="29"/>
      <c r="N1252" s="29"/>
      <c r="P1252" s="4">
        <f t="shared" si="79"/>
        <v>2.5377926030326664E-3</v>
      </c>
      <c r="Q1252" s="4">
        <f t="shared" si="79"/>
        <v>-1.1910433553860581E-4</v>
      </c>
      <c r="R1252" s="4">
        <f t="shared" si="79"/>
        <v>4.2217844702487523E-4</v>
      </c>
      <c r="S1252" s="4">
        <f t="shared" si="79"/>
        <v>3.874887967654228E-3</v>
      </c>
      <c r="T1252" s="4">
        <f t="shared" si="79"/>
        <v>3.8461439744334569E-3</v>
      </c>
      <c r="U1252" s="35"/>
      <c r="V1252" s="35"/>
      <c r="W1252" s="35"/>
      <c r="X1252" s="35"/>
    </row>
    <row r="1253" spans="4:24" x14ac:dyDescent="0.3">
      <c r="D1253" s="23">
        <v>41401</v>
      </c>
      <c r="E1253" s="5">
        <v>133.201233</v>
      </c>
      <c r="F1253" s="28">
        <v>62.235080000000004</v>
      </c>
      <c r="G1253" s="28">
        <v>140.38</v>
      </c>
      <c r="H1253" s="28">
        <v>65.643699999999995</v>
      </c>
      <c r="I1253" s="28">
        <v>68.942220000000006</v>
      </c>
      <c r="J1253" s="29"/>
      <c r="K1253" s="29"/>
      <c r="L1253" s="29"/>
      <c r="M1253" s="29"/>
      <c r="N1253" s="29"/>
      <c r="P1253" s="4">
        <f t="shared" ref="P1253:T1268" si="80">LN(E1253/E1252)</f>
        <v>5.0556772105381917E-3</v>
      </c>
      <c r="Q1253" s="4">
        <f t="shared" si="80"/>
        <v>-9.560772942518932E-4</v>
      </c>
      <c r="R1253" s="4">
        <f t="shared" si="80"/>
        <v>-1.2529806794733388E-2</v>
      </c>
      <c r="S1253" s="4">
        <f t="shared" si="80"/>
        <v>-5.5207117561389095E-4</v>
      </c>
      <c r="T1253" s="4">
        <f t="shared" si="80"/>
        <v>5.5031887301025956E-3</v>
      </c>
      <c r="U1253" s="35"/>
      <c r="V1253" s="35"/>
      <c r="W1253" s="35"/>
      <c r="X1253" s="35"/>
    </row>
    <row r="1254" spans="4:24" x14ac:dyDescent="0.3">
      <c r="D1254" s="23">
        <v>41402</v>
      </c>
      <c r="E1254" s="5">
        <v>133.80741900000001</v>
      </c>
      <c r="F1254" s="28">
        <v>62.294609999999999</v>
      </c>
      <c r="G1254" s="28">
        <v>142.46</v>
      </c>
      <c r="H1254" s="28">
        <v>65.961179999999999</v>
      </c>
      <c r="I1254" s="28">
        <v>69.262990000000002</v>
      </c>
      <c r="J1254" s="29"/>
      <c r="K1254" s="29"/>
      <c r="L1254" s="29"/>
      <c r="M1254" s="29"/>
      <c r="N1254" s="29"/>
      <c r="P1254" s="4">
        <f t="shared" si="80"/>
        <v>4.5405797672119887E-3</v>
      </c>
      <c r="Q1254" s="4">
        <f t="shared" si="80"/>
        <v>9.5607729425183812E-4</v>
      </c>
      <c r="R1254" s="4">
        <f t="shared" si="80"/>
        <v>1.4708227247932399E-2</v>
      </c>
      <c r="S1254" s="4">
        <f t="shared" si="80"/>
        <v>4.8247544599381775E-3</v>
      </c>
      <c r="T1254" s="4">
        <f t="shared" si="80"/>
        <v>4.6419462187686751E-3</v>
      </c>
      <c r="U1254" s="35"/>
      <c r="V1254" s="35"/>
      <c r="W1254" s="35"/>
      <c r="X1254" s="35"/>
    </row>
    <row r="1255" spans="4:24" x14ac:dyDescent="0.3">
      <c r="D1255" s="23">
        <v>41403</v>
      </c>
      <c r="E1255" s="5">
        <v>133.430588</v>
      </c>
      <c r="F1255" s="28">
        <v>62.197949999999999</v>
      </c>
      <c r="G1255" s="28">
        <v>140.81</v>
      </c>
      <c r="H1255" s="28">
        <v>65.870469999999997</v>
      </c>
      <c r="I1255" s="28">
        <v>69.032679999999999</v>
      </c>
      <c r="J1255" s="29"/>
      <c r="K1255" s="29"/>
      <c r="L1255" s="29"/>
      <c r="M1255" s="29"/>
      <c r="N1255" s="29"/>
      <c r="P1255" s="4">
        <f t="shared" si="80"/>
        <v>-2.8201920377283239E-3</v>
      </c>
      <c r="Q1255" s="4">
        <f t="shared" si="80"/>
        <v>-1.5528641940325224E-3</v>
      </c>
      <c r="R1255" s="4">
        <f t="shared" si="80"/>
        <v>-1.1649794620987544E-2</v>
      </c>
      <c r="S1255" s="4">
        <f t="shared" si="80"/>
        <v>-1.3761492678798894E-3</v>
      </c>
      <c r="T1255" s="4">
        <f t="shared" si="80"/>
        <v>-3.3306930421215459E-3</v>
      </c>
      <c r="U1255" s="35"/>
      <c r="V1255" s="35"/>
      <c r="W1255" s="35"/>
      <c r="X1255" s="35"/>
    </row>
    <row r="1256" spans="4:24" x14ac:dyDescent="0.3">
      <c r="D1256" s="23">
        <v>41404</v>
      </c>
      <c r="E1256" s="5">
        <v>133.86479199999999</v>
      </c>
      <c r="F1256" s="28">
        <v>62.041759999999996</v>
      </c>
      <c r="G1256" s="28">
        <v>139.6</v>
      </c>
      <c r="H1256" s="28">
        <v>66.269620000000003</v>
      </c>
      <c r="I1256" s="28">
        <v>69.337010000000006</v>
      </c>
      <c r="J1256" s="29"/>
      <c r="K1256" s="29"/>
      <c r="L1256" s="29"/>
      <c r="M1256" s="29"/>
      <c r="N1256" s="29"/>
      <c r="P1256" s="4">
        <f t="shared" si="80"/>
        <v>3.2488730776035956E-3</v>
      </c>
      <c r="Q1256" s="4">
        <f t="shared" si="80"/>
        <v>-2.5143343023657813E-3</v>
      </c>
      <c r="R1256" s="4">
        <f t="shared" si="80"/>
        <v>-8.6302736009482434E-3</v>
      </c>
      <c r="S1256" s="4">
        <f t="shared" si="80"/>
        <v>6.0413340721138633E-3</v>
      </c>
      <c r="T1256" s="4">
        <f t="shared" si="80"/>
        <v>4.3988028117781797E-3</v>
      </c>
      <c r="U1256" s="35"/>
      <c r="V1256" s="35"/>
      <c r="W1256" s="35"/>
      <c r="X1256" s="35"/>
    </row>
    <row r="1257" spans="4:24" x14ac:dyDescent="0.3">
      <c r="D1257" s="23">
        <v>41407</v>
      </c>
      <c r="E1257" s="5">
        <v>133.97122200000001</v>
      </c>
      <c r="F1257" s="28">
        <v>61.974829999999997</v>
      </c>
      <c r="G1257" s="28">
        <v>138.43</v>
      </c>
      <c r="H1257" s="28">
        <v>66.351259999999996</v>
      </c>
      <c r="I1257" s="28">
        <v>69.35342</v>
      </c>
      <c r="J1257" s="29"/>
      <c r="K1257" s="29"/>
      <c r="L1257" s="29"/>
      <c r="M1257" s="29"/>
      <c r="N1257" s="29"/>
      <c r="P1257" s="4">
        <f t="shared" si="80"/>
        <v>7.9474006510474836E-4</v>
      </c>
      <c r="Q1257" s="4">
        <f t="shared" si="80"/>
        <v>-1.0793718243346556E-3</v>
      </c>
      <c r="R1257" s="4">
        <f t="shared" si="80"/>
        <v>-8.416407628628414E-3</v>
      </c>
      <c r="S1257" s="4">
        <f t="shared" si="80"/>
        <v>1.2311788356780418E-3</v>
      </c>
      <c r="T1257" s="4">
        <f t="shared" si="80"/>
        <v>2.3664214000317416E-4</v>
      </c>
      <c r="U1257" s="35"/>
      <c r="V1257" s="35"/>
      <c r="W1257" s="35"/>
      <c r="X1257" s="35"/>
    </row>
    <row r="1258" spans="4:24" x14ac:dyDescent="0.3">
      <c r="D1258" s="23">
        <v>41408</v>
      </c>
      <c r="E1258" s="5">
        <v>135.35571300000001</v>
      </c>
      <c r="F1258" s="28">
        <v>61.855840000000001</v>
      </c>
      <c r="G1258" s="28">
        <v>137.81</v>
      </c>
      <c r="H1258" s="28">
        <v>66.695980000000006</v>
      </c>
      <c r="I1258" s="28">
        <v>70.069000000000003</v>
      </c>
      <c r="J1258" s="29"/>
      <c r="K1258" s="29"/>
      <c r="L1258" s="29"/>
      <c r="M1258" s="29"/>
      <c r="N1258" s="29"/>
      <c r="P1258" s="4">
        <f t="shared" si="80"/>
        <v>1.0281208564688425E-2</v>
      </c>
      <c r="Q1258" s="4">
        <f t="shared" si="80"/>
        <v>-1.9218185062392043E-3</v>
      </c>
      <c r="R1258" s="4">
        <f t="shared" si="80"/>
        <v>-4.4888578125901902E-3</v>
      </c>
      <c r="S1258" s="4">
        <f t="shared" si="80"/>
        <v>5.1819304388381433E-3</v>
      </c>
      <c r="T1258" s="4">
        <f t="shared" si="80"/>
        <v>1.0265010224375922E-2</v>
      </c>
      <c r="U1258" s="35"/>
      <c r="V1258" s="35"/>
      <c r="W1258" s="35"/>
      <c r="X1258" s="35"/>
    </row>
    <row r="1259" spans="4:24" x14ac:dyDescent="0.3">
      <c r="D1259" s="23">
        <v>41409</v>
      </c>
      <c r="E1259" s="5">
        <v>136.08480800000001</v>
      </c>
      <c r="F1259" s="28">
        <v>61.930250000000001</v>
      </c>
      <c r="G1259" s="28">
        <v>134.63</v>
      </c>
      <c r="H1259" s="28">
        <v>66.832080000000005</v>
      </c>
      <c r="I1259" s="28">
        <v>70.373350000000002</v>
      </c>
      <c r="J1259" s="29"/>
      <c r="K1259" s="29"/>
      <c r="L1259" s="29"/>
      <c r="M1259" s="29"/>
      <c r="N1259" s="29"/>
      <c r="P1259" s="4">
        <f t="shared" si="80"/>
        <v>5.3720553639121926E-3</v>
      </c>
      <c r="Q1259" s="4">
        <f t="shared" si="80"/>
        <v>1.2022353878775507E-3</v>
      </c>
      <c r="R1259" s="4">
        <f t="shared" si="80"/>
        <v>-2.3345649895910071E-2</v>
      </c>
      <c r="S1259" s="4">
        <f t="shared" si="80"/>
        <v>2.0385235452560278E-3</v>
      </c>
      <c r="T1259" s="4">
        <f t="shared" si="80"/>
        <v>4.3341695213025451E-3</v>
      </c>
      <c r="U1259" s="35"/>
      <c r="V1259" s="35"/>
      <c r="W1259" s="35"/>
      <c r="X1259" s="35"/>
    </row>
    <row r="1260" spans="4:24" x14ac:dyDescent="0.3">
      <c r="D1260" s="23">
        <v>41410</v>
      </c>
      <c r="E1260" s="5">
        <v>135.44584699999999</v>
      </c>
      <c r="F1260" s="28">
        <v>62.019399999999997</v>
      </c>
      <c r="G1260" s="28">
        <v>134.09</v>
      </c>
      <c r="H1260" s="28">
        <v>66.759479999999996</v>
      </c>
      <c r="I1260" s="28">
        <v>70.085499999999996</v>
      </c>
      <c r="J1260" s="29"/>
      <c r="K1260" s="29"/>
      <c r="L1260" s="29"/>
      <c r="M1260" s="29"/>
      <c r="N1260" s="29"/>
      <c r="P1260" s="4">
        <f t="shared" si="80"/>
        <v>-4.7063723203696504E-3</v>
      </c>
      <c r="Q1260" s="4">
        <f t="shared" si="80"/>
        <v>1.4384875693117468E-3</v>
      </c>
      <c r="R1260" s="4">
        <f t="shared" si="80"/>
        <v>-4.0190586995926345E-3</v>
      </c>
      <c r="S1260" s="4">
        <f t="shared" si="80"/>
        <v>-1.0868951174328844E-3</v>
      </c>
      <c r="T1260" s="4">
        <f t="shared" si="80"/>
        <v>-4.0987150752988056E-3</v>
      </c>
      <c r="U1260" s="35"/>
      <c r="V1260" s="35"/>
      <c r="W1260" s="35"/>
      <c r="X1260" s="35"/>
    </row>
    <row r="1261" spans="4:24" x14ac:dyDescent="0.3">
      <c r="D1261" s="23">
        <v>41411</v>
      </c>
      <c r="E1261" s="5">
        <v>136.75649999999999</v>
      </c>
      <c r="F1261" s="28">
        <v>61.885590000000001</v>
      </c>
      <c r="G1261" s="28">
        <v>131.07</v>
      </c>
      <c r="H1261" s="28">
        <v>67.403599999999997</v>
      </c>
      <c r="I1261" s="28">
        <v>70.801079999999999</v>
      </c>
      <c r="J1261" s="29"/>
      <c r="K1261" s="29"/>
      <c r="L1261" s="29"/>
      <c r="M1261" s="29"/>
      <c r="N1261" s="29"/>
      <c r="P1261" s="4">
        <f t="shared" si="80"/>
        <v>9.6300648645434826E-3</v>
      </c>
      <c r="Q1261" s="4">
        <f t="shared" si="80"/>
        <v>-2.1598815676368392E-3</v>
      </c>
      <c r="R1261" s="4">
        <f t="shared" si="80"/>
        <v>-2.2779684660096583E-2</v>
      </c>
      <c r="S1261" s="4">
        <f t="shared" si="80"/>
        <v>9.6021192867420096E-3</v>
      </c>
      <c r="T1261" s="4">
        <f t="shared" si="80"/>
        <v>1.0158329536851888E-2</v>
      </c>
      <c r="U1261" s="35"/>
      <c r="V1261" s="35"/>
      <c r="W1261" s="35"/>
      <c r="X1261" s="35"/>
    </row>
    <row r="1262" spans="4:24" x14ac:dyDescent="0.3">
      <c r="D1262" s="23">
        <v>41414</v>
      </c>
      <c r="E1262" s="5">
        <v>136.748322</v>
      </c>
      <c r="F1262" s="28">
        <v>61.870719999999999</v>
      </c>
      <c r="G1262" s="28">
        <v>135.12</v>
      </c>
      <c r="H1262" s="28">
        <v>67.303809999999999</v>
      </c>
      <c r="I1262" s="28">
        <v>70.792829999999995</v>
      </c>
      <c r="J1262" s="29"/>
      <c r="K1262" s="29"/>
      <c r="L1262" s="29"/>
      <c r="M1262" s="29"/>
      <c r="N1262" s="29"/>
      <c r="P1262" s="4">
        <f t="shared" si="80"/>
        <v>-5.9801505089558617E-5</v>
      </c>
      <c r="Q1262" s="4">
        <f t="shared" si="80"/>
        <v>-2.4031098004719616E-4</v>
      </c>
      <c r="R1262" s="4">
        <f t="shared" si="80"/>
        <v>3.0431740868090539E-2</v>
      </c>
      <c r="S1262" s="4">
        <f t="shared" si="80"/>
        <v>-1.4815817222519649E-3</v>
      </c>
      <c r="T1262" s="4">
        <f t="shared" si="80"/>
        <v>-1.165304356569683E-4</v>
      </c>
      <c r="U1262" s="35"/>
      <c r="V1262" s="35"/>
      <c r="W1262" s="35"/>
      <c r="X1262" s="35"/>
    </row>
    <row r="1263" spans="4:24" x14ac:dyDescent="0.3">
      <c r="D1263" s="23">
        <v>41415</v>
      </c>
      <c r="E1263" s="5">
        <v>136.944931</v>
      </c>
      <c r="F1263" s="28">
        <v>61.930250000000001</v>
      </c>
      <c r="G1263" s="28">
        <v>132.88</v>
      </c>
      <c r="H1263" s="28">
        <v>67.376369999999994</v>
      </c>
      <c r="I1263" s="28">
        <v>70.907989999999998</v>
      </c>
      <c r="J1263" s="29"/>
      <c r="K1263" s="29"/>
      <c r="L1263" s="29"/>
      <c r="M1263" s="29"/>
      <c r="N1263" s="29"/>
      <c r="P1263" s="4">
        <f t="shared" si="80"/>
        <v>1.4367108554114848E-3</v>
      </c>
      <c r="Q1263" s="4">
        <f t="shared" si="80"/>
        <v>9.6170497837224213E-4</v>
      </c>
      <c r="R1263" s="4">
        <f t="shared" si="80"/>
        <v>-1.6716807194505277E-2</v>
      </c>
      <c r="S1263" s="4">
        <f t="shared" si="80"/>
        <v>1.0775157416690723E-3</v>
      </c>
      <c r="T1263" s="4">
        <f t="shared" si="80"/>
        <v>1.6253967387566863E-3</v>
      </c>
      <c r="U1263" s="35"/>
      <c r="V1263" s="35"/>
      <c r="W1263" s="35"/>
      <c r="X1263" s="35"/>
    </row>
    <row r="1264" spans="4:24" x14ac:dyDescent="0.3">
      <c r="D1264" s="23">
        <v>41416</v>
      </c>
      <c r="E1264" s="5">
        <v>135.92910800000001</v>
      </c>
      <c r="F1264" s="28">
        <v>61.721960000000003</v>
      </c>
      <c r="G1264" s="28">
        <v>131.94</v>
      </c>
      <c r="H1264" s="28">
        <v>66.786730000000006</v>
      </c>
      <c r="I1264" s="28">
        <v>70.208870000000005</v>
      </c>
      <c r="J1264" s="29"/>
      <c r="K1264" s="29"/>
      <c r="L1264" s="29"/>
      <c r="M1264" s="29"/>
      <c r="N1264" s="29"/>
      <c r="P1264" s="4">
        <f t="shared" si="80"/>
        <v>-7.4453963909982251E-3</v>
      </c>
      <c r="Q1264" s="4">
        <f t="shared" si="80"/>
        <v>-3.3689684479831015E-3</v>
      </c>
      <c r="R1264" s="4">
        <f t="shared" si="80"/>
        <v>-7.099191510314567E-3</v>
      </c>
      <c r="S1264" s="4">
        <f t="shared" si="80"/>
        <v>-8.7899548602623639E-3</v>
      </c>
      <c r="T1264" s="4">
        <f t="shared" si="80"/>
        <v>-9.9084647975013276E-3</v>
      </c>
      <c r="U1264" s="35"/>
      <c r="V1264" s="35"/>
      <c r="W1264" s="35"/>
      <c r="X1264" s="35"/>
    </row>
    <row r="1265" spans="4:24" x14ac:dyDescent="0.3">
      <c r="D1265" s="23">
        <v>41417</v>
      </c>
      <c r="E1265" s="5">
        <v>135.53590399999999</v>
      </c>
      <c r="F1265" s="28">
        <v>61.71454</v>
      </c>
      <c r="G1265" s="28">
        <v>134.61000000000001</v>
      </c>
      <c r="H1265" s="28">
        <v>66.632480000000001</v>
      </c>
      <c r="I1265" s="28">
        <v>70.077259999999995</v>
      </c>
      <c r="J1265" s="29"/>
      <c r="K1265" s="29"/>
      <c r="L1265" s="29"/>
      <c r="M1265" s="29"/>
      <c r="N1265" s="29"/>
      <c r="P1265" s="4">
        <f t="shared" si="80"/>
        <v>-2.8969057344502948E-3</v>
      </c>
      <c r="Q1265" s="4">
        <f t="shared" si="80"/>
        <v>-1.2022375891957184E-4</v>
      </c>
      <c r="R1265" s="4">
        <f t="shared" si="80"/>
        <v>2.0034434861276915E-2</v>
      </c>
      <c r="S1265" s="4">
        <f t="shared" si="80"/>
        <v>-2.3122617608888497E-3</v>
      </c>
      <c r="T1265" s="4">
        <f t="shared" si="80"/>
        <v>-1.8763086359494525E-3</v>
      </c>
      <c r="U1265" s="35"/>
      <c r="V1265" s="35"/>
      <c r="W1265" s="35"/>
      <c r="X1265" s="35"/>
    </row>
    <row r="1266" spans="4:24" x14ac:dyDescent="0.3">
      <c r="D1266" s="23">
        <v>41418</v>
      </c>
      <c r="E1266" s="5">
        <v>135.42120399999999</v>
      </c>
      <c r="F1266" s="28">
        <v>61.721960000000003</v>
      </c>
      <c r="G1266" s="28">
        <v>133.76</v>
      </c>
      <c r="H1266" s="28">
        <v>66.596220000000002</v>
      </c>
      <c r="I1266" s="28">
        <v>69.986779999999996</v>
      </c>
      <c r="J1266" s="29"/>
      <c r="K1266" s="29"/>
      <c r="L1266" s="29"/>
      <c r="M1266" s="29"/>
      <c r="N1266" s="29"/>
      <c r="P1266" s="4">
        <f t="shared" si="80"/>
        <v>-8.4662851399506188E-4</v>
      </c>
      <c r="Q1266" s="4">
        <f t="shared" si="80"/>
        <v>1.2022375891954079E-4</v>
      </c>
      <c r="R1266" s="4">
        <f t="shared" si="80"/>
        <v>-6.3345593196103694E-3</v>
      </c>
      <c r="S1266" s="4">
        <f t="shared" si="80"/>
        <v>-5.4432717417931729E-4</v>
      </c>
      <c r="T1266" s="4">
        <f t="shared" si="80"/>
        <v>-1.2919806195205513E-3</v>
      </c>
      <c r="U1266" s="35"/>
      <c r="V1266" s="35"/>
      <c r="W1266" s="35"/>
      <c r="X1266" s="35"/>
    </row>
    <row r="1267" spans="4:24" x14ac:dyDescent="0.3">
      <c r="D1267" s="23">
        <v>41422</v>
      </c>
      <c r="E1267" s="5">
        <v>136.23223899999999</v>
      </c>
      <c r="F1267" s="28">
        <v>61.379930000000002</v>
      </c>
      <c r="G1267" s="28">
        <v>133.49</v>
      </c>
      <c r="H1267" s="28">
        <v>67.031639999999996</v>
      </c>
      <c r="I1267" s="28">
        <v>70.439130000000006</v>
      </c>
      <c r="J1267" s="29"/>
      <c r="K1267" s="29"/>
      <c r="L1267" s="29"/>
      <c r="M1267" s="29"/>
      <c r="N1267" s="29"/>
      <c r="P1267" s="4">
        <f t="shared" si="80"/>
        <v>5.97111820692664E-3</v>
      </c>
      <c r="Q1267" s="4">
        <f t="shared" si="80"/>
        <v>-5.5568745552827684E-3</v>
      </c>
      <c r="R1267" s="4">
        <f t="shared" si="80"/>
        <v>-2.0205806687503243E-3</v>
      </c>
      <c r="S1267" s="4">
        <f t="shared" si="80"/>
        <v>6.5169275484223375E-3</v>
      </c>
      <c r="T1267" s="4">
        <f t="shared" si="80"/>
        <v>6.4425655440183997E-3</v>
      </c>
      <c r="U1267" s="35"/>
      <c r="V1267" s="35"/>
      <c r="W1267" s="35"/>
      <c r="X1267" s="35"/>
    </row>
    <row r="1268" spans="4:24" x14ac:dyDescent="0.3">
      <c r="D1268" s="23">
        <v>41423</v>
      </c>
      <c r="E1268" s="5">
        <v>135.34750399999999</v>
      </c>
      <c r="F1268" s="28">
        <v>61.431959999999997</v>
      </c>
      <c r="G1268" s="28">
        <v>134.83000000000001</v>
      </c>
      <c r="H1268" s="28">
        <v>66.714160000000007</v>
      </c>
      <c r="I1268" s="28">
        <v>69.962109999999996</v>
      </c>
      <c r="J1268" s="29"/>
      <c r="K1268" s="29"/>
      <c r="L1268" s="29"/>
      <c r="M1268" s="29"/>
      <c r="N1268" s="29"/>
      <c r="P1268" s="4">
        <f t="shared" si="80"/>
        <v>-6.5154942713871733E-3</v>
      </c>
      <c r="Q1268" s="4">
        <f t="shared" si="80"/>
        <v>8.4731214726613258E-4</v>
      </c>
      <c r="R1268" s="4">
        <f t="shared" si="80"/>
        <v>9.9881569783421692E-3</v>
      </c>
      <c r="S1268" s="4">
        <f t="shared" si="80"/>
        <v>-4.747522483783042E-3</v>
      </c>
      <c r="T1268" s="4">
        <f t="shared" si="80"/>
        <v>-6.7951228276886908E-3</v>
      </c>
      <c r="U1268" s="35"/>
      <c r="V1268" s="35"/>
      <c r="W1268" s="35"/>
      <c r="X1268" s="35"/>
    </row>
    <row r="1269" spans="4:24" x14ac:dyDescent="0.3">
      <c r="D1269" s="23">
        <v>41424</v>
      </c>
      <c r="E1269" s="5">
        <v>135.84721400000001</v>
      </c>
      <c r="F1269" s="28">
        <v>61.379930000000002</v>
      </c>
      <c r="G1269" s="28">
        <v>136.69999999999999</v>
      </c>
      <c r="H1269" s="28">
        <v>67.067949999999996</v>
      </c>
      <c r="I1269" s="28">
        <v>70.249989999999997</v>
      </c>
      <c r="J1269" s="29"/>
      <c r="K1269" s="29"/>
      <c r="L1269" s="29"/>
      <c r="M1269" s="29"/>
      <c r="N1269" s="29"/>
      <c r="P1269" s="4">
        <f t="shared" ref="P1269:T1284" si="81">LN(E1269/E1268)</f>
        <v>3.6852529373408182E-3</v>
      </c>
      <c r="Q1269" s="4">
        <f t="shared" si="81"/>
        <v>-8.473121472660968E-4</v>
      </c>
      <c r="R1269" s="4">
        <f t="shared" si="81"/>
        <v>1.3774018083920576E-2</v>
      </c>
      <c r="S1269" s="4">
        <f t="shared" si="81"/>
        <v>5.2890603197655551E-3</v>
      </c>
      <c r="T1269" s="4">
        <f t="shared" si="81"/>
        <v>4.1063560780148145E-3</v>
      </c>
      <c r="U1269" s="35"/>
      <c r="V1269" s="35"/>
      <c r="W1269" s="35"/>
      <c r="X1269" s="35"/>
    </row>
    <row r="1270" spans="4:24" x14ac:dyDescent="0.3">
      <c r="D1270" s="23">
        <v>41425</v>
      </c>
      <c r="E1270" s="5">
        <v>133.897537</v>
      </c>
      <c r="F1270" s="28">
        <v>61.27581</v>
      </c>
      <c r="G1270" s="28">
        <v>133.91999999999999</v>
      </c>
      <c r="H1270" s="28">
        <v>66.451040000000006</v>
      </c>
      <c r="I1270" s="28">
        <v>69.312340000000006</v>
      </c>
      <c r="J1270" s="29"/>
      <c r="K1270" s="29"/>
      <c r="L1270" s="29"/>
      <c r="M1270" s="29"/>
      <c r="N1270" s="29"/>
      <c r="P1270" s="4">
        <f t="shared" si="81"/>
        <v>-1.445596954510053E-2</v>
      </c>
      <c r="Q1270" s="4">
        <f t="shared" si="81"/>
        <v>-1.6977603332634843E-3</v>
      </c>
      <c r="R1270" s="4">
        <f t="shared" si="81"/>
        <v>-2.054613698873874E-2</v>
      </c>
      <c r="S1270" s="4">
        <f t="shared" si="81"/>
        <v>-9.2408486611725814E-3</v>
      </c>
      <c r="T1270" s="4">
        <f t="shared" si="81"/>
        <v>-1.3437209143102185E-2</v>
      </c>
      <c r="U1270" s="35"/>
      <c r="V1270" s="35"/>
      <c r="W1270" s="35"/>
      <c r="X1270" s="35"/>
    </row>
    <row r="1271" spans="4:24" x14ac:dyDescent="0.3">
      <c r="D1271" s="23">
        <v>41428</v>
      </c>
      <c r="E1271" s="5">
        <v>134.63481100000001</v>
      </c>
      <c r="F1271" s="28">
        <v>61.219900000000003</v>
      </c>
      <c r="G1271" s="28">
        <v>136.51</v>
      </c>
      <c r="H1271" s="28">
        <v>66.568969999999993</v>
      </c>
      <c r="I1271" s="28">
        <v>69.591970000000003</v>
      </c>
      <c r="J1271" s="29"/>
      <c r="K1271" s="29"/>
      <c r="L1271" s="29"/>
      <c r="M1271" s="29"/>
      <c r="N1271" s="29"/>
      <c r="P1271" s="4">
        <f t="shared" si="81"/>
        <v>5.4911511261831617E-3</v>
      </c>
      <c r="Q1271" s="4">
        <f t="shared" si="81"/>
        <v>-9.128483582395813E-4</v>
      </c>
      <c r="R1271" s="4">
        <f t="shared" si="81"/>
        <v>1.9155265273721172E-2</v>
      </c>
      <c r="S1271" s="4">
        <f t="shared" si="81"/>
        <v>1.7731171557889098E-3</v>
      </c>
      <c r="T1271" s="4">
        <f t="shared" si="81"/>
        <v>4.0262303991257416E-3</v>
      </c>
      <c r="U1271" s="35"/>
      <c r="V1271" s="35"/>
      <c r="W1271" s="35"/>
      <c r="X1271" s="35"/>
    </row>
    <row r="1272" spans="4:24" x14ac:dyDescent="0.3">
      <c r="D1272" s="23">
        <v>41429</v>
      </c>
      <c r="E1272" s="5">
        <v>133.98764</v>
      </c>
      <c r="F1272" s="28">
        <v>61.197560000000003</v>
      </c>
      <c r="G1272" s="28">
        <v>135.22999999999999</v>
      </c>
      <c r="H1272" s="28">
        <v>66.224270000000004</v>
      </c>
      <c r="I1272" s="28">
        <v>69.254760000000005</v>
      </c>
      <c r="J1272" s="29"/>
      <c r="K1272" s="29"/>
      <c r="L1272" s="29"/>
      <c r="M1272" s="29"/>
      <c r="N1272" s="29"/>
      <c r="P1272" s="4">
        <f t="shared" si="81"/>
        <v>-4.8184524393287938E-3</v>
      </c>
      <c r="Q1272" s="4">
        <f t="shared" si="81"/>
        <v>-3.6498062037874311E-4</v>
      </c>
      <c r="R1272" s="4">
        <f t="shared" si="81"/>
        <v>-9.4208395296179852E-3</v>
      </c>
      <c r="S1272" s="4">
        <f t="shared" si="81"/>
        <v>-5.1915409880600866E-3</v>
      </c>
      <c r="T1272" s="4">
        <f t="shared" si="81"/>
        <v>-4.8573079538146878E-3</v>
      </c>
      <c r="U1272" s="35"/>
      <c r="V1272" s="35"/>
      <c r="W1272" s="35"/>
      <c r="X1272" s="35"/>
    </row>
    <row r="1273" spans="4:24" x14ac:dyDescent="0.3">
      <c r="D1273" s="23">
        <v>41430</v>
      </c>
      <c r="E1273" s="5">
        <v>132.11175499999999</v>
      </c>
      <c r="F1273" s="28">
        <v>61.175190000000001</v>
      </c>
      <c r="G1273" s="28">
        <v>135.52000000000001</v>
      </c>
      <c r="H1273" s="28">
        <v>65.362449999999995</v>
      </c>
      <c r="I1273" s="28">
        <v>68.275999999999996</v>
      </c>
      <c r="J1273" s="29"/>
      <c r="K1273" s="29"/>
      <c r="L1273" s="29"/>
      <c r="M1273" s="29"/>
      <c r="N1273" s="29"/>
      <c r="P1273" s="4">
        <f t="shared" si="81"/>
        <v>-1.409936370442968E-2</v>
      </c>
      <c r="Q1273" s="4">
        <f t="shared" si="81"/>
        <v>-3.6560427463110156E-4</v>
      </c>
      <c r="R1273" s="4">
        <f t="shared" si="81"/>
        <v>2.1421984184760157E-3</v>
      </c>
      <c r="S1273" s="4">
        <f t="shared" si="81"/>
        <v>-1.3099077520485903E-2</v>
      </c>
      <c r="T1273" s="4">
        <f t="shared" si="81"/>
        <v>-1.4233565265213048E-2</v>
      </c>
      <c r="U1273" s="35"/>
      <c r="V1273" s="35"/>
      <c r="W1273" s="35"/>
      <c r="X1273" s="35"/>
    </row>
    <row r="1274" spans="4:24" x14ac:dyDescent="0.3">
      <c r="D1274" s="23">
        <v>41431</v>
      </c>
      <c r="E1274" s="5">
        <v>133.307693</v>
      </c>
      <c r="F1274" s="28">
        <v>61.257179999999998</v>
      </c>
      <c r="G1274" s="28">
        <v>136.53</v>
      </c>
      <c r="H1274" s="28">
        <v>65.679950000000005</v>
      </c>
      <c r="I1274" s="28">
        <v>68.917540000000002</v>
      </c>
      <c r="J1274" s="29"/>
      <c r="K1274" s="29"/>
      <c r="L1274" s="29"/>
      <c r="M1274" s="29"/>
      <c r="N1274" s="29"/>
      <c r="P1274" s="4">
        <f t="shared" si="81"/>
        <v>9.0117442611244835E-3</v>
      </c>
      <c r="Q1274" s="4">
        <f t="shared" si="81"/>
        <v>1.3393518765758353E-3</v>
      </c>
      <c r="R1274" s="4">
        <f t="shared" si="81"/>
        <v>7.4251397929158552E-3</v>
      </c>
      <c r="S1274" s="4">
        <f t="shared" si="81"/>
        <v>4.8457693277992233E-3</v>
      </c>
      <c r="T1274" s="4">
        <f t="shared" si="81"/>
        <v>9.3524035628640874E-3</v>
      </c>
      <c r="U1274" s="35"/>
      <c r="V1274" s="35"/>
      <c r="W1274" s="35"/>
      <c r="X1274" s="35"/>
    </row>
    <row r="1275" spans="4:24" x14ac:dyDescent="0.3">
      <c r="D1275" s="23">
        <v>41432</v>
      </c>
      <c r="E1275" s="5">
        <v>135.00344799999999</v>
      </c>
      <c r="F1275" s="28">
        <v>61.10069</v>
      </c>
      <c r="G1275" s="28">
        <v>133.28</v>
      </c>
      <c r="H1275" s="28">
        <v>66.578059999999994</v>
      </c>
      <c r="I1275" s="28">
        <v>69.772930000000002</v>
      </c>
      <c r="J1275" s="29"/>
      <c r="K1275" s="29"/>
      <c r="L1275" s="29"/>
      <c r="M1275" s="29"/>
      <c r="N1275" s="29"/>
      <c r="P1275" s="4">
        <f t="shared" si="81"/>
        <v>1.2640381405635297E-2</v>
      </c>
      <c r="Q1275" s="4">
        <f t="shared" si="81"/>
        <v>-2.5579079682372108E-3</v>
      </c>
      <c r="R1275" s="4">
        <f t="shared" si="81"/>
        <v>-2.4092192278127665E-2</v>
      </c>
      <c r="S1275" s="4">
        <f t="shared" si="81"/>
        <v>1.3581389965984368E-2</v>
      </c>
      <c r="T1275" s="4">
        <f t="shared" si="81"/>
        <v>1.233539473126926E-2</v>
      </c>
      <c r="U1275" s="35"/>
      <c r="V1275" s="35"/>
      <c r="W1275" s="35"/>
      <c r="X1275" s="35"/>
    </row>
    <row r="1276" spans="4:24" x14ac:dyDescent="0.3">
      <c r="D1276" s="23">
        <v>41435</v>
      </c>
      <c r="E1276" s="5">
        <v>135.00344799999999</v>
      </c>
      <c r="F1276" s="28">
        <v>60.944229999999997</v>
      </c>
      <c r="G1276" s="28">
        <v>133.94</v>
      </c>
      <c r="H1276" s="28">
        <v>66.605279999999993</v>
      </c>
      <c r="I1276" s="28">
        <v>69.797629999999998</v>
      </c>
      <c r="J1276" s="29"/>
      <c r="K1276" s="29"/>
      <c r="L1276" s="29"/>
      <c r="M1276" s="29"/>
      <c r="N1276" s="29"/>
      <c r="P1276" s="4">
        <f t="shared" si="81"/>
        <v>0</v>
      </c>
      <c r="Q1276" s="4">
        <f t="shared" si="81"/>
        <v>-2.5639753905956197E-3</v>
      </c>
      <c r="R1276" s="4">
        <f t="shared" si="81"/>
        <v>4.9397600633714917E-3</v>
      </c>
      <c r="S1276" s="4">
        <f t="shared" si="81"/>
        <v>4.0875984006707457E-4</v>
      </c>
      <c r="T1276" s="4">
        <f t="shared" si="81"/>
        <v>3.5394284092373884E-4</v>
      </c>
      <c r="U1276" s="35"/>
      <c r="V1276" s="35"/>
      <c r="W1276" s="35"/>
      <c r="X1276" s="35"/>
    </row>
    <row r="1277" spans="4:24" x14ac:dyDescent="0.3">
      <c r="D1277" s="23">
        <v>41436</v>
      </c>
      <c r="E1277" s="5">
        <v>133.610794</v>
      </c>
      <c r="F1277" s="28">
        <v>60.974020000000003</v>
      </c>
      <c r="G1277" s="28">
        <v>133.25</v>
      </c>
      <c r="H1277" s="28">
        <v>65.943049999999999</v>
      </c>
      <c r="I1277" s="28">
        <v>69.090260000000001</v>
      </c>
      <c r="J1277" s="29"/>
      <c r="K1277" s="29"/>
      <c r="L1277" s="29"/>
      <c r="M1277" s="29"/>
      <c r="N1277" s="29"/>
      <c r="P1277" s="4">
        <f t="shared" si="81"/>
        <v>-1.0369267600903977E-2</v>
      </c>
      <c r="Q1277" s="4">
        <f t="shared" si="81"/>
        <v>4.8868812655812231E-4</v>
      </c>
      <c r="R1277" s="4">
        <f t="shared" si="81"/>
        <v>-5.1648754359501937E-3</v>
      </c>
      <c r="S1277" s="4">
        <f t="shared" si="81"/>
        <v>-9.9923629388348392E-3</v>
      </c>
      <c r="T1277" s="4">
        <f t="shared" si="81"/>
        <v>-1.018628933611025E-2</v>
      </c>
      <c r="U1277" s="35"/>
      <c r="V1277" s="35"/>
      <c r="W1277" s="35"/>
      <c r="X1277" s="35"/>
    </row>
    <row r="1278" spans="4:24" x14ac:dyDescent="0.3">
      <c r="D1278" s="23">
        <v>41437</v>
      </c>
      <c r="E1278" s="5">
        <v>132.50488300000001</v>
      </c>
      <c r="F1278" s="28">
        <v>60.854790000000001</v>
      </c>
      <c r="G1278" s="28">
        <v>134.25</v>
      </c>
      <c r="H1278" s="28">
        <v>65.181010000000001</v>
      </c>
      <c r="I1278" s="28">
        <v>68.506290000000007</v>
      </c>
      <c r="J1278" s="29"/>
      <c r="K1278" s="29"/>
      <c r="L1278" s="29"/>
      <c r="M1278" s="29"/>
      <c r="N1278" s="29"/>
      <c r="P1278" s="4">
        <f t="shared" si="81"/>
        <v>-8.3115536746901555E-3</v>
      </c>
      <c r="Q1278" s="4">
        <f t="shared" si="81"/>
        <v>-1.9573373172709668E-3</v>
      </c>
      <c r="R1278" s="4">
        <f t="shared" si="81"/>
        <v>7.476670343020137E-3</v>
      </c>
      <c r="S1278" s="4">
        <f t="shared" si="81"/>
        <v>-1.1623321904208705E-2</v>
      </c>
      <c r="T1278" s="4">
        <f t="shared" si="81"/>
        <v>-8.4881998309758577E-3</v>
      </c>
      <c r="U1278" s="35"/>
      <c r="V1278" s="35"/>
      <c r="W1278" s="35"/>
      <c r="X1278" s="35"/>
    </row>
    <row r="1279" spans="4:24" x14ac:dyDescent="0.3">
      <c r="D1279" s="23">
        <v>41438</v>
      </c>
      <c r="E1279" s="5">
        <v>134.52014199999999</v>
      </c>
      <c r="F1279" s="28">
        <v>61.123040000000003</v>
      </c>
      <c r="G1279" s="28">
        <v>133.74</v>
      </c>
      <c r="H1279" s="28">
        <v>66.006540000000001</v>
      </c>
      <c r="I1279" s="28">
        <v>69.567279999999997</v>
      </c>
      <c r="J1279" s="29"/>
      <c r="K1279" s="29"/>
      <c r="L1279" s="29"/>
      <c r="M1279" s="29"/>
      <c r="N1279" s="29"/>
      <c r="P1279" s="4">
        <f t="shared" si="81"/>
        <v>1.5094444899209337E-2</v>
      </c>
      <c r="Q1279" s="4">
        <f t="shared" si="81"/>
        <v>4.3983473464232412E-3</v>
      </c>
      <c r="R1279" s="4">
        <f t="shared" si="81"/>
        <v>-3.8061167631414754E-3</v>
      </c>
      <c r="S1279" s="4">
        <f t="shared" si="81"/>
        <v>1.2585659186193494E-2</v>
      </c>
      <c r="T1279" s="4">
        <f t="shared" si="81"/>
        <v>1.5368775989112756E-2</v>
      </c>
      <c r="U1279" s="35"/>
      <c r="V1279" s="35"/>
      <c r="W1279" s="35"/>
      <c r="X1279" s="35"/>
    </row>
    <row r="1280" spans="4:24" x14ac:dyDescent="0.3">
      <c r="D1280" s="23">
        <v>41439</v>
      </c>
      <c r="E1280" s="5">
        <v>133.6763</v>
      </c>
      <c r="F1280" s="28">
        <v>61.190089999999998</v>
      </c>
      <c r="G1280" s="28">
        <v>134.43</v>
      </c>
      <c r="H1280" s="28">
        <v>65.571100000000001</v>
      </c>
      <c r="I1280" s="28">
        <v>69.172499999999999</v>
      </c>
      <c r="J1280" s="29"/>
      <c r="K1280" s="29"/>
      <c r="L1280" s="29"/>
      <c r="M1280" s="29"/>
      <c r="N1280" s="29"/>
      <c r="P1280" s="4">
        <f t="shared" si="81"/>
        <v>-6.292736609635358E-3</v>
      </c>
      <c r="Q1280" s="4">
        <f t="shared" si="81"/>
        <v>1.096366460678152E-3</v>
      </c>
      <c r="R1280" s="4">
        <f t="shared" si="81"/>
        <v>5.1460008403288911E-3</v>
      </c>
      <c r="S1280" s="4">
        <f t="shared" si="81"/>
        <v>-6.6187779269054944E-3</v>
      </c>
      <c r="T1280" s="4">
        <f t="shared" si="81"/>
        <v>-5.6909570633236796E-3</v>
      </c>
      <c r="U1280" s="35"/>
      <c r="V1280" s="35"/>
      <c r="W1280" s="35"/>
      <c r="X1280" s="35"/>
    </row>
    <row r="1281" spans="4:24" x14ac:dyDescent="0.3">
      <c r="D1281" s="23">
        <v>41442</v>
      </c>
      <c r="E1281" s="5">
        <v>134.70855700000001</v>
      </c>
      <c r="F1281" s="28">
        <v>61.145389999999999</v>
      </c>
      <c r="G1281" s="28">
        <v>133.77000000000001</v>
      </c>
      <c r="H1281" s="28">
        <v>66.206130000000002</v>
      </c>
      <c r="I1281" s="28">
        <v>69.657769999999999</v>
      </c>
      <c r="J1281" s="29"/>
      <c r="K1281" s="29"/>
      <c r="L1281" s="29"/>
      <c r="M1281" s="29"/>
      <c r="N1281" s="29"/>
      <c r="P1281" s="4">
        <f t="shared" si="81"/>
        <v>7.692401886476935E-3</v>
      </c>
      <c r="Q1281" s="4">
        <f t="shared" si="81"/>
        <v>-7.3077739980715033E-4</v>
      </c>
      <c r="R1281" s="4">
        <f t="shared" si="81"/>
        <v>-4.9217101586663432E-3</v>
      </c>
      <c r="S1281" s="4">
        <f t="shared" si="81"/>
        <v>9.6380067438951531E-3</v>
      </c>
      <c r="T1281" s="4">
        <f t="shared" si="81"/>
        <v>6.9908669968055618E-3</v>
      </c>
      <c r="U1281" s="35"/>
      <c r="V1281" s="35"/>
      <c r="W1281" s="35"/>
      <c r="X1281" s="35"/>
    </row>
    <row r="1282" spans="4:24" x14ac:dyDescent="0.3">
      <c r="D1282" s="23">
        <v>41443</v>
      </c>
      <c r="E1282" s="5">
        <v>135.77349899999999</v>
      </c>
      <c r="F1282" s="28">
        <v>61.093240000000002</v>
      </c>
      <c r="G1282" s="28">
        <v>132.13</v>
      </c>
      <c r="H1282" s="28">
        <v>66.750439999999998</v>
      </c>
      <c r="I1282" s="28">
        <v>70.184169999999995</v>
      </c>
      <c r="J1282" s="29"/>
      <c r="K1282" s="29"/>
      <c r="L1282" s="29"/>
      <c r="M1282" s="29"/>
      <c r="N1282" s="29"/>
      <c r="P1282" s="4">
        <f t="shared" si="81"/>
        <v>7.8744410520158875E-3</v>
      </c>
      <c r="Q1282" s="4">
        <f t="shared" si="81"/>
        <v>-8.5324914331762181E-4</v>
      </c>
      <c r="R1282" s="4">
        <f t="shared" si="81"/>
        <v>-1.2335620881369618E-2</v>
      </c>
      <c r="S1282" s="4">
        <f t="shared" si="81"/>
        <v>8.1878321756066741E-3</v>
      </c>
      <c r="T1282" s="4">
        <f t="shared" si="81"/>
        <v>7.5285352349880623E-3</v>
      </c>
      <c r="U1282" s="35"/>
      <c r="V1282" s="35"/>
      <c r="W1282" s="35"/>
      <c r="X1282" s="35"/>
    </row>
    <row r="1283" spans="4:24" x14ac:dyDescent="0.3">
      <c r="D1283" s="23">
        <v>41444</v>
      </c>
      <c r="E1283" s="5">
        <v>133.897537</v>
      </c>
      <c r="F1283" s="28">
        <v>60.73556</v>
      </c>
      <c r="G1283" s="28">
        <v>130.59</v>
      </c>
      <c r="H1283" s="28">
        <v>66.006540000000001</v>
      </c>
      <c r="I1283" s="28">
        <v>69.287670000000006</v>
      </c>
      <c r="J1283" s="29"/>
      <c r="K1283" s="29"/>
      <c r="L1283" s="29"/>
      <c r="M1283" s="29"/>
      <c r="N1283" s="29"/>
      <c r="P1283" s="4">
        <f t="shared" si="81"/>
        <v>-1.391319060165681E-2</v>
      </c>
      <c r="Q1283" s="4">
        <f t="shared" si="81"/>
        <v>-5.8718632654488649E-3</v>
      </c>
      <c r="R1283" s="4">
        <f t="shared" si="81"/>
        <v>-1.1723642193809544E-2</v>
      </c>
      <c r="S1283" s="4">
        <f t="shared" si="81"/>
        <v>-1.1207060992596302E-2</v>
      </c>
      <c r="T1283" s="4">
        <f t="shared" si="81"/>
        <v>-1.285581873971528E-2</v>
      </c>
      <c r="U1283" s="35"/>
      <c r="V1283" s="35"/>
      <c r="W1283" s="35"/>
      <c r="X1283" s="35"/>
    </row>
    <row r="1284" spans="4:24" x14ac:dyDescent="0.3">
      <c r="D1284" s="23">
        <v>41445</v>
      </c>
      <c r="E1284" s="5">
        <v>130.57981899999999</v>
      </c>
      <c r="F1284" s="28">
        <v>60.184190000000001</v>
      </c>
      <c r="G1284" s="28">
        <v>123.6</v>
      </c>
      <c r="H1284" s="28">
        <v>64.437100000000001</v>
      </c>
      <c r="I1284" s="28">
        <v>67.568610000000007</v>
      </c>
      <c r="J1284" s="29"/>
      <c r="K1284" s="29"/>
      <c r="L1284" s="29"/>
      <c r="M1284" s="29"/>
      <c r="N1284" s="29"/>
      <c r="P1284" s="4">
        <f t="shared" si="81"/>
        <v>-2.5090178569749308E-2</v>
      </c>
      <c r="Q1284" s="4">
        <f t="shared" si="81"/>
        <v>-9.1196652551780791E-3</v>
      </c>
      <c r="R1284" s="4">
        <f t="shared" si="81"/>
        <v>-5.5012099208725594E-2</v>
      </c>
      <c r="S1284" s="4">
        <f t="shared" si="81"/>
        <v>-2.4064273833895328E-2</v>
      </c>
      <c r="T1284" s="4">
        <f t="shared" si="81"/>
        <v>-2.5123442194867569E-2</v>
      </c>
      <c r="U1284" s="35"/>
      <c r="V1284" s="35"/>
      <c r="W1284" s="35"/>
      <c r="X1284" s="35"/>
    </row>
    <row r="1285" spans="4:24" x14ac:dyDescent="0.3">
      <c r="D1285" s="23">
        <v>41446</v>
      </c>
      <c r="E1285" s="5">
        <v>130.99897799999999</v>
      </c>
      <c r="F1285" s="28">
        <v>59.938279999999999</v>
      </c>
      <c r="G1285" s="28">
        <v>125.05</v>
      </c>
      <c r="H1285" s="28">
        <v>64.094949999999997</v>
      </c>
      <c r="I1285" s="28">
        <v>67.741330000000005</v>
      </c>
      <c r="J1285" s="29"/>
      <c r="K1285" s="29"/>
      <c r="L1285" s="29"/>
      <c r="M1285" s="29"/>
      <c r="N1285" s="29"/>
      <c r="P1285" s="4">
        <f t="shared" ref="P1285:T1300" si="82">LN(E1285/E1284)</f>
        <v>3.204842009924362E-3</v>
      </c>
      <c r="Q1285" s="4">
        <f t="shared" si="82"/>
        <v>-4.0943271234137324E-3</v>
      </c>
      <c r="R1285" s="4">
        <f t="shared" si="82"/>
        <v>1.1663112300037784E-2</v>
      </c>
      <c r="S1285" s="4">
        <f t="shared" si="82"/>
        <v>-5.3239765206984976E-3</v>
      </c>
      <c r="T1285" s="4">
        <f t="shared" si="82"/>
        <v>2.5529549981277303E-3</v>
      </c>
      <c r="U1285" s="35"/>
      <c r="V1285" s="35"/>
      <c r="W1285" s="35"/>
      <c r="X1285" s="35"/>
    </row>
    <row r="1286" spans="4:24" x14ac:dyDescent="0.3">
      <c r="D1286" s="23">
        <v>41449</v>
      </c>
      <c r="E1286" s="5">
        <v>129.34367399999999</v>
      </c>
      <c r="F1286" s="28">
        <v>59.647669999999998</v>
      </c>
      <c r="G1286" s="28">
        <v>123.93</v>
      </c>
      <c r="H1286" s="28">
        <v>63.457920000000001</v>
      </c>
      <c r="I1286" s="28">
        <v>66.870360000000005</v>
      </c>
      <c r="J1286" s="29"/>
      <c r="K1286" s="29"/>
      <c r="L1286" s="29"/>
      <c r="M1286" s="29"/>
      <c r="N1286" s="29"/>
      <c r="P1286" s="4">
        <f t="shared" si="82"/>
        <v>-1.2716520276710186E-2</v>
      </c>
      <c r="Q1286" s="4">
        <f t="shared" si="82"/>
        <v>-4.8602795240283393E-3</v>
      </c>
      <c r="R1286" s="4">
        <f t="shared" si="82"/>
        <v>-8.9967672468450732E-3</v>
      </c>
      <c r="S1286" s="4">
        <f t="shared" si="82"/>
        <v>-9.9885686060150504E-3</v>
      </c>
      <c r="T1286" s="4">
        <f t="shared" si="82"/>
        <v>-1.2940661459708501E-2</v>
      </c>
      <c r="U1286" s="35"/>
      <c r="V1286" s="35"/>
      <c r="W1286" s="35"/>
      <c r="X1286" s="35"/>
    </row>
    <row r="1287" spans="4:24" x14ac:dyDescent="0.3">
      <c r="D1287" s="23">
        <v>41450</v>
      </c>
      <c r="E1287" s="5">
        <v>130.587189</v>
      </c>
      <c r="F1287" s="28">
        <v>59.789259999999999</v>
      </c>
      <c r="G1287" s="28">
        <v>123.47</v>
      </c>
      <c r="H1287" s="28">
        <v>63.922049999999999</v>
      </c>
      <c r="I1287" s="28">
        <v>67.539720000000003</v>
      </c>
      <c r="J1287" s="29"/>
      <c r="K1287" s="29"/>
      <c r="L1287" s="29"/>
      <c r="M1287" s="29"/>
      <c r="N1287" s="29"/>
      <c r="P1287" s="4">
        <f t="shared" si="82"/>
        <v>9.5681172485575366E-3</v>
      </c>
      <c r="Q1287" s="4">
        <f t="shared" si="82"/>
        <v>2.3709595738672356E-3</v>
      </c>
      <c r="R1287" s="4">
        <f t="shared" si="82"/>
        <v>-3.7186784971306873E-3</v>
      </c>
      <c r="S1287" s="4">
        <f t="shared" si="82"/>
        <v>7.2873632171909716E-3</v>
      </c>
      <c r="T1287" s="4">
        <f t="shared" si="82"/>
        <v>9.9600496259094964E-3</v>
      </c>
      <c r="U1287" s="35"/>
      <c r="V1287" s="35"/>
      <c r="W1287" s="35"/>
      <c r="X1287" s="35"/>
    </row>
    <row r="1288" spans="4:24" x14ac:dyDescent="0.3">
      <c r="D1288" s="23">
        <v>41451</v>
      </c>
      <c r="E1288" s="5">
        <v>131.88017300000001</v>
      </c>
      <c r="F1288" s="28">
        <v>59.997920000000001</v>
      </c>
      <c r="G1288" s="28">
        <v>118.28</v>
      </c>
      <c r="H1288" s="28">
        <v>64.49539</v>
      </c>
      <c r="I1288" s="28">
        <v>68.167730000000006</v>
      </c>
      <c r="J1288" s="29"/>
      <c r="K1288" s="29"/>
      <c r="L1288" s="29"/>
      <c r="M1288" s="29"/>
      <c r="N1288" s="29"/>
      <c r="P1288" s="4">
        <f t="shared" si="82"/>
        <v>9.8526113854253833E-3</v>
      </c>
      <c r="Q1288" s="4">
        <f t="shared" si="82"/>
        <v>3.4838487899234907E-3</v>
      </c>
      <c r="R1288" s="4">
        <f t="shared" si="82"/>
        <v>-4.2943516595375805E-2</v>
      </c>
      <c r="S1288" s="4">
        <f t="shared" si="82"/>
        <v>8.9293760962837476E-3</v>
      </c>
      <c r="T1288" s="4">
        <f t="shared" si="82"/>
        <v>9.2554164577020055E-3</v>
      </c>
      <c r="U1288" s="35"/>
      <c r="V1288" s="35"/>
      <c r="W1288" s="35"/>
      <c r="X1288" s="35"/>
    </row>
    <row r="1289" spans="4:24" x14ac:dyDescent="0.3">
      <c r="D1289" s="23">
        <v>41452</v>
      </c>
      <c r="E1289" s="5">
        <v>132.65428199999999</v>
      </c>
      <c r="F1289" s="28">
        <v>60.23639</v>
      </c>
      <c r="G1289" s="28">
        <v>115.94</v>
      </c>
      <c r="H1289" s="28">
        <v>64.768360000000001</v>
      </c>
      <c r="I1289" s="28">
        <v>68.671859999999995</v>
      </c>
      <c r="J1289" s="29"/>
      <c r="K1289" s="29"/>
      <c r="L1289" s="29"/>
      <c r="M1289" s="29"/>
      <c r="N1289" s="29"/>
      <c r="P1289" s="4">
        <f t="shared" si="82"/>
        <v>5.8526304987124838E-3</v>
      </c>
      <c r="Q1289" s="4">
        <f t="shared" si="82"/>
        <v>3.9667597825835442E-3</v>
      </c>
      <c r="R1289" s="4">
        <f t="shared" si="82"/>
        <v>-1.9981879072689682E-2</v>
      </c>
      <c r="S1289" s="4">
        <f t="shared" si="82"/>
        <v>4.2234641306910783E-3</v>
      </c>
      <c r="T1289" s="4">
        <f t="shared" si="82"/>
        <v>7.3682226144592576E-3</v>
      </c>
      <c r="U1289" s="35"/>
      <c r="V1289" s="35"/>
      <c r="W1289" s="35"/>
      <c r="X1289" s="35"/>
    </row>
    <row r="1290" spans="4:24" x14ac:dyDescent="0.3">
      <c r="D1290" s="23">
        <v>41453</v>
      </c>
      <c r="E1290" s="5">
        <v>132.110703</v>
      </c>
      <c r="F1290" s="28">
        <v>60.266179999999999</v>
      </c>
      <c r="G1290" s="28">
        <v>119.11</v>
      </c>
      <c r="H1290" s="28">
        <v>64.859390000000005</v>
      </c>
      <c r="I1290" s="28">
        <v>68.316500000000005</v>
      </c>
      <c r="J1290" s="29"/>
      <c r="K1290" s="29"/>
      <c r="L1290" s="29"/>
      <c r="M1290" s="29"/>
      <c r="N1290" s="29"/>
      <c r="P1290" s="4">
        <f t="shared" si="82"/>
        <v>-4.1061303007429908E-3</v>
      </c>
      <c r="Q1290" s="4">
        <f t="shared" si="82"/>
        <v>4.9442929900780225E-4</v>
      </c>
      <c r="R1290" s="4">
        <f t="shared" si="82"/>
        <v>2.6974619981222747E-2</v>
      </c>
      <c r="S1290" s="4">
        <f t="shared" si="82"/>
        <v>1.404483453020199E-3</v>
      </c>
      <c r="T1290" s="4">
        <f t="shared" si="82"/>
        <v>-5.1881896697057875E-3</v>
      </c>
      <c r="U1290" s="35"/>
      <c r="V1290" s="35"/>
      <c r="W1290" s="35"/>
      <c r="X1290" s="35"/>
    </row>
    <row r="1291" spans="4:24" x14ac:dyDescent="0.3">
      <c r="D1291" s="23">
        <v>41456</v>
      </c>
      <c r="E1291" s="5">
        <v>132.88485700000001</v>
      </c>
      <c r="F1291" s="28">
        <v>60.36842</v>
      </c>
      <c r="G1291" s="28">
        <v>121.13</v>
      </c>
      <c r="H1291" s="28">
        <v>65.259820000000005</v>
      </c>
      <c r="I1291" s="28">
        <v>68.886709999999994</v>
      </c>
      <c r="J1291" s="29"/>
      <c r="K1291" s="29"/>
      <c r="L1291" s="29"/>
      <c r="M1291" s="29"/>
      <c r="N1291" s="29"/>
      <c r="P1291" s="4">
        <f t="shared" si="82"/>
        <v>5.842786213833738E-3</v>
      </c>
      <c r="Q1291" s="4">
        <f t="shared" si="82"/>
        <v>1.6950364900158576E-3</v>
      </c>
      <c r="R1291" s="4">
        <f t="shared" si="82"/>
        <v>1.6816913135901206E-2</v>
      </c>
      <c r="S1291" s="4">
        <f t="shared" si="82"/>
        <v>6.1548370004797445E-3</v>
      </c>
      <c r="T1291" s="4">
        <f t="shared" si="82"/>
        <v>8.311952510609625E-3</v>
      </c>
      <c r="U1291" s="35"/>
      <c r="V1291" s="35"/>
      <c r="W1291" s="35"/>
      <c r="X1291" s="35"/>
    </row>
    <row r="1292" spans="4:24" x14ac:dyDescent="0.3">
      <c r="D1292" s="23">
        <v>41457</v>
      </c>
      <c r="E1292" s="5">
        <v>132.76135300000001</v>
      </c>
      <c r="F1292" s="28">
        <v>60.383389999999999</v>
      </c>
      <c r="G1292" s="28">
        <v>120.05</v>
      </c>
      <c r="H1292" s="28">
        <v>65.287130000000005</v>
      </c>
      <c r="I1292" s="28">
        <v>68.81232</v>
      </c>
      <c r="J1292" s="29"/>
      <c r="K1292" s="29"/>
      <c r="L1292" s="29"/>
      <c r="M1292" s="29"/>
      <c r="N1292" s="29"/>
      <c r="P1292" s="4">
        <f t="shared" si="82"/>
        <v>-9.2983829054785931E-4</v>
      </c>
      <c r="Q1292" s="4">
        <f t="shared" si="82"/>
        <v>2.4794659519701556E-4</v>
      </c>
      <c r="R1292" s="4">
        <f t="shared" si="82"/>
        <v>-8.9560263614486112E-3</v>
      </c>
      <c r="S1292" s="4">
        <f t="shared" si="82"/>
        <v>4.1839354191566222E-4</v>
      </c>
      <c r="T1292" s="4">
        <f t="shared" si="82"/>
        <v>-1.0804724947885602E-3</v>
      </c>
      <c r="U1292" s="35"/>
      <c r="V1292" s="35"/>
      <c r="W1292" s="35"/>
      <c r="X1292" s="35"/>
    </row>
    <row r="1293" spans="4:24" x14ac:dyDescent="0.3">
      <c r="D1293" s="23">
        <v>41458</v>
      </c>
      <c r="E1293" s="5">
        <v>132.81895399999999</v>
      </c>
      <c r="F1293" s="28">
        <v>60.338540000000002</v>
      </c>
      <c r="G1293" s="28">
        <v>120.74</v>
      </c>
      <c r="H1293" s="28">
        <v>65.551010000000005</v>
      </c>
      <c r="I1293" s="28">
        <v>68.911500000000004</v>
      </c>
      <c r="J1293" s="29"/>
      <c r="K1293" s="29"/>
      <c r="L1293" s="29"/>
      <c r="M1293" s="29"/>
      <c r="N1293" s="29"/>
      <c r="P1293" s="4">
        <f t="shared" si="82"/>
        <v>4.3377463904479565E-4</v>
      </c>
      <c r="Q1293" s="4">
        <f t="shared" si="82"/>
        <v>-7.4302990456573609E-4</v>
      </c>
      <c r="R1293" s="4">
        <f t="shared" si="82"/>
        <v>5.7311507010177551E-3</v>
      </c>
      <c r="S1293" s="4">
        <f t="shared" si="82"/>
        <v>4.0336916711275024E-3</v>
      </c>
      <c r="T1293" s="4">
        <f t="shared" si="82"/>
        <v>1.4402739794006029E-3</v>
      </c>
      <c r="U1293" s="35"/>
      <c r="V1293" s="35"/>
      <c r="W1293" s="35"/>
      <c r="X1293" s="35"/>
    </row>
    <row r="1294" spans="4:24" x14ac:dyDescent="0.3">
      <c r="D1294" s="23">
        <v>41460</v>
      </c>
      <c r="E1294" s="5">
        <v>134.25192300000001</v>
      </c>
      <c r="F1294" s="28">
        <v>59.666589999999999</v>
      </c>
      <c r="G1294" s="28">
        <v>118.09</v>
      </c>
      <c r="H1294" s="28">
        <v>66.051550000000006</v>
      </c>
      <c r="I1294" s="28">
        <v>69.646960000000007</v>
      </c>
      <c r="J1294" s="29"/>
      <c r="K1294" s="29"/>
      <c r="L1294" s="29"/>
      <c r="M1294" s="29"/>
      <c r="N1294" s="29"/>
      <c r="P1294" s="4">
        <f t="shared" si="82"/>
        <v>1.0731104547157507E-2</v>
      </c>
      <c r="Q1294" s="4">
        <f t="shared" si="82"/>
        <v>-1.1198804961151144E-2</v>
      </c>
      <c r="R1294" s="4">
        <f t="shared" si="82"/>
        <v>-2.2192427755089745E-2</v>
      </c>
      <c r="S1294" s="4">
        <f t="shared" si="82"/>
        <v>7.6068795869517125E-3</v>
      </c>
      <c r="T1294" s="4">
        <f t="shared" si="82"/>
        <v>1.0615979812746082E-2</v>
      </c>
      <c r="U1294" s="35"/>
      <c r="V1294" s="35"/>
      <c r="W1294" s="35"/>
      <c r="X1294" s="35"/>
    </row>
    <row r="1295" spans="4:24" x14ac:dyDescent="0.3">
      <c r="D1295" s="23">
        <v>41463</v>
      </c>
      <c r="E1295" s="5">
        <v>135.01776100000001</v>
      </c>
      <c r="F1295" s="28">
        <v>59.935380000000002</v>
      </c>
      <c r="G1295" s="28">
        <v>119.51</v>
      </c>
      <c r="H1295" s="28">
        <v>66.115250000000003</v>
      </c>
      <c r="I1295" s="28">
        <v>70.01885</v>
      </c>
      <c r="J1295" s="29"/>
      <c r="K1295" s="29"/>
      <c r="L1295" s="29"/>
      <c r="M1295" s="29"/>
      <c r="N1295" s="29"/>
      <c r="P1295" s="4">
        <f t="shared" si="82"/>
        <v>5.6882754390121639E-3</v>
      </c>
      <c r="Q1295" s="4">
        <f t="shared" si="82"/>
        <v>4.4947495852309949E-3</v>
      </c>
      <c r="R1295" s="4">
        <f t="shared" si="82"/>
        <v>1.19530042655994E-2</v>
      </c>
      <c r="S1295" s="4">
        <f t="shared" si="82"/>
        <v>9.6393352842512813E-4</v>
      </c>
      <c r="T1295" s="4">
        <f t="shared" si="82"/>
        <v>5.3254390449450515E-3</v>
      </c>
      <c r="U1295" s="35"/>
      <c r="V1295" s="35"/>
      <c r="W1295" s="35"/>
      <c r="X1295" s="35"/>
    </row>
    <row r="1296" spans="4:24" x14ac:dyDescent="0.3">
      <c r="D1296" s="23">
        <v>41464</v>
      </c>
      <c r="E1296" s="5">
        <v>135.98957799999999</v>
      </c>
      <c r="F1296" s="28">
        <v>60.002549999999999</v>
      </c>
      <c r="G1296" s="28">
        <v>120.62</v>
      </c>
      <c r="H1296" s="28">
        <v>66.515680000000003</v>
      </c>
      <c r="I1296" s="28">
        <v>70.514660000000006</v>
      </c>
      <c r="J1296" s="29"/>
      <c r="K1296" s="29"/>
      <c r="L1296" s="29"/>
      <c r="M1296" s="29"/>
      <c r="N1296" s="29"/>
      <c r="P1296" s="4">
        <f t="shared" si="82"/>
        <v>7.1719176989571854E-3</v>
      </c>
      <c r="Q1296" s="4">
        <f t="shared" si="82"/>
        <v>1.1200794781517092E-3</v>
      </c>
      <c r="R1296" s="4">
        <f t="shared" si="82"/>
        <v>9.2450581440509903E-3</v>
      </c>
      <c r="S1296" s="4">
        <f t="shared" si="82"/>
        <v>6.0382780497102882E-3</v>
      </c>
      <c r="T1296" s="4">
        <f t="shared" si="82"/>
        <v>7.0561399506764407E-3</v>
      </c>
      <c r="U1296" s="35"/>
      <c r="V1296" s="35"/>
      <c r="W1296" s="35"/>
      <c r="X1296" s="35"/>
    </row>
    <row r="1297" spans="4:24" x14ac:dyDescent="0.3">
      <c r="D1297" s="23">
        <v>41465</v>
      </c>
      <c r="E1297" s="5">
        <v>136.039017</v>
      </c>
      <c r="F1297" s="28">
        <v>59.853250000000003</v>
      </c>
      <c r="G1297" s="28">
        <v>120.95</v>
      </c>
      <c r="H1297" s="28">
        <v>66.897900000000007</v>
      </c>
      <c r="I1297" s="28">
        <v>70.547709999999995</v>
      </c>
      <c r="J1297" s="29"/>
      <c r="K1297" s="29"/>
      <c r="L1297" s="29"/>
      <c r="M1297" s="29"/>
      <c r="N1297" s="29"/>
      <c r="P1297" s="4">
        <f t="shared" si="82"/>
        <v>3.6348385024991833E-4</v>
      </c>
      <c r="Q1297" s="4">
        <f t="shared" si="82"/>
        <v>-2.4913283666187615E-3</v>
      </c>
      <c r="R1297" s="4">
        <f t="shared" si="82"/>
        <v>2.7321290331956153E-3</v>
      </c>
      <c r="S1297" s="4">
        <f t="shared" si="82"/>
        <v>5.7298671654494289E-3</v>
      </c>
      <c r="T1297" s="4">
        <f t="shared" si="82"/>
        <v>4.6858705981949752E-4</v>
      </c>
      <c r="U1297" s="35"/>
      <c r="V1297" s="35"/>
      <c r="W1297" s="35"/>
      <c r="X1297" s="35"/>
    </row>
    <row r="1298" spans="4:24" x14ac:dyDescent="0.3">
      <c r="D1298" s="23">
        <v>41466</v>
      </c>
      <c r="E1298" s="5">
        <v>137.89196799999999</v>
      </c>
      <c r="F1298" s="28">
        <v>60.256480000000003</v>
      </c>
      <c r="G1298" s="28">
        <v>124.24</v>
      </c>
      <c r="H1298" s="28">
        <v>68.226579999999998</v>
      </c>
      <c r="I1298" s="28">
        <v>71.572400000000002</v>
      </c>
      <c r="J1298" s="29"/>
      <c r="K1298" s="29"/>
      <c r="L1298" s="29"/>
      <c r="M1298" s="29"/>
      <c r="N1298" s="29"/>
      <c r="P1298" s="4">
        <f t="shared" si="82"/>
        <v>1.3528803700843401E-2</v>
      </c>
      <c r="Q1298" s="4">
        <f t="shared" si="82"/>
        <v>6.7143855023144034E-3</v>
      </c>
      <c r="R1298" s="4">
        <f t="shared" si="82"/>
        <v>2.6837941784395351E-2</v>
      </c>
      <c r="S1298" s="4">
        <f t="shared" si="82"/>
        <v>1.9666648485449315E-2</v>
      </c>
      <c r="T1298" s="4">
        <f t="shared" si="82"/>
        <v>1.4420306268482171E-2</v>
      </c>
      <c r="U1298" s="35"/>
      <c r="V1298" s="35"/>
      <c r="W1298" s="35"/>
      <c r="X1298" s="35"/>
    </row>
    <row r="1299" spans="4:24" x14ac:dyDescent="0.3">
      <c r="D1299" s="23">
        <v>41467</v>
      </c>
      <c r="E1299" s="5">
        <v>137.94955400000001</v>
      </c>
      <c r="F1299" s="28">
        <v>60.174289999999999</v>
      </c>
      <c r="G1299" s="28">
        <v>124.13</v>
      </c>
      <c r="H1299" s="28">
        <v>68.526880000000006</v>
      </c>
      <c r="I1299" s="28">
        <v>71.63852</v>
      </c>
      <c r="J1299" s="29"/>
      <c r="K1299" s="29"/>
      <c r="L1299" s="29"/>
      <c r="M1299" s="29"/>
      <c r="N1299" s="29"/>
      <c r="P1299" s="4">
        <f t="shared" si="82"/>
        <v>4.1752960481846292E-4</v>
      </c>
      <c r="Q1299" s="4">
        <f t="shared" si="82"/>
        <v>-1.3649337749863108E-3</v>
      </c>
      <c r="R1299" s="4">
        <f t="shared" si="82"/>
        <v>-8.8577531257512875E-4</v>
      </c>
      <c r="S1299" s="4">
        <f t="shared" si="82"/>
        <v>4.3918520626999441E-3</v>
      </c>
      <c r="T1299" s="4">
        <f t="shared" si="82"/>
        <v>9.2339333757690057E-4</v>
      </c>
      <c r="U1299" s="35"/>
      <c r="V1299" s="35"/>
      <c r="W1299" s="35"/>
      <c r="X1299" s="35"/>
    </row>
    <row r="1300" spans="4:24" x14ac:dyDescent="0.3">
      <c r="D1300" s="23">
        <v>41470</v>
      </c>
      <c r="E1300" s="5">
        <v>138.476608</v>
      </c>
      <c r="F1300" s="28">
        <v>60.338540000000002</v>
      </c>
      <c r="G1300" s="28">
        <v>124.18</v>
      </c>
      <c r="H1300" s="28">
        <v>68.681619999999995</v>
      </c>
      <c r="I1300" s="28">
        <v>71.911230000000003</v>
      </c>
      <c r="J1300" s="29"/>
      <c r="K1300" s="29"/>
      <c r="L1300" s="29"/>
      <c r="M1300" s="29"/>
      <c r="N1300" s="29"/>
      <c r="P1300" s="4">
        <f t="shared" si="82"/>
        <v>3.8133484535014953E-3</v>
      </c>
      <c r="Q1300" s="4">
        <f t="shared" si="82"/>
        <v>2.7258525370591588E-3</v>
      </c>
      <c r="R1300" s="4">
        <f t="shared" si="82"/>
        <v>4.0272240889046196E-4</v>
      </c>
      <c r="S1300" s="4">
        <f t="shared" si="82"/>
        <v>2.2555463488509726E-3</v>
      </c>
      <c r="T1300" s="4">
        <f t="shared" si="82"/>
        <v>3.7995235530355119E-3</v>
      </c>
      <c r="U1300" s="35"/>
      <c r="V1300" s="35"/>
      <c r="W1300" s="35"/>
      <c r="X1300" s="35"/>
    </row>
    <row r="1301" spans="4:24" x14ac:dyDescent="0.3">
      <c r="D1301" s="23">
        <v>41471</v>
      </c>
      <c r="E1301" s="5">
        <v>137.957809</v>
      </c>
      <c r="F1301" s="28">
        <v>60.428150000000002</v>
      </c>
      <c r="G1301" s="28">
        <v>124.89</v>
      </c>
      <c r="H1301" s="28">
        <v>68.590599999999995</v>
      </c>
      <c r="I1301" s="28">
        <v>71.58896</v>
      </c>
      <c r="J1301" s="29"/>
      <c r="K1301" s="29"/>
      <c r="L1301" s="29"/>
      <c r="M1301" s="29"/>
      <c r="N1301" s="29"/>
      <c r="P1301" s="4">
        <f t="shared" ref="P1301:T1316" si="83">LN(E1301/E1300)</f>
        <v>-3.7535095284891682E-3</v>
      </c>
      <c r="Q1301" s="4">
        <f t="shared" si="83"/>
        <v>1.4840187546046348E-3</v>
      </c>
      <c r="R1301" s="4">
        <f t="shared" si="83"/>
        <v>5.7012239382469281E-3</v>
      </c>
      <c r="S1301" s="4">
        <f t="shared" si="83"/>
        <v>-1.326124300153685E-3</v>
      </c>
      <c r="T1301" s="4">
        <f t="shared" si="83"/>
        <v>-4.491569548370559E-3</v>
      </c>
      <c r="U1301" s="35"/>
      <c r="V1301" s="35"/>
      <c r="W1301" s="35"/>
      <c r="X1301" s="35"/>
    </row>
    <row r="1302" spans="4:24" x14ac:dyDescent="0.3">
      <c r="D1302" s="23">
        <v>41472</v>
      </c>
      <c r="E1302" s="5">
        <v>138.31196600000001</v>
      </c>
      <c r="F1302" s="28">
        <v>60.562579999999997</v>
      </c>
      <c r="G1302" s="28">
        <v>123.32</v>
      </c>
      <c r="H1302" s="28">
        <v>68.763499999999993</v>
      </c>
      <c r="I1302" s="28">
        <v>71.820329999999998</v>
      </c>
      <c r="J1302" s="29"/>
      <c r="K1302" s="29"/>
      <c r="L1302" s="29"/>
      <c r="M1302" s="29"/>
      <c r="N1302" s="29"/>
      <c r="P1302" s="4">
        <f t="shared" si="83"/>
        <v>2.5638504537762777E-3</v>
      </c>
      <c r="Q1302" s="4">
        <f t="shared" si="83"/>
        <v>2.222154628170582E-3</v>
      </c>
      <c r="R1302" s="4">
        <f t="shared" si="83"/>
        <v>-1.2650746857044256E-2</v>
      </c>
      <c r="S1302" s="4">
        <f t="shared" si="83"/>
        <v>2.5175818024092932E-3</v>
      </c>
      <c r="T1302" s="4">
        <f t="shared" si="83"/>
        <v>3.2267114737905968E-3</v>
      </c>
      <c r="U1302" s="35"/>
      <c r="V1302" s="35"/>
      <c r="W1302" s="35"/>
      <c r="X1302" s="35"/>
    </row>
    <row r="1303" spans="4:24" x14ac:dyDescent="0.3">
      <c r="D1303" s="23">
        <v>41473</v>
      </c>
      <c r="E1303" s="5">
        <v>139.069534</v>
      </c>
      <c r="F1303" s="28">
        <v>60.465530000000001</v>
      </c>
      <c r="G1303" s="28">
        <v>124.01</v>
      </c>
      <c r="H1303" s="28">
        <v>68.590599999999995</v>
      </c>
      <c r="I1303" s="28">
        <v>72.225279999999998</v>
      </c>
      <c r="J1303" s="29"/>
      <c r="K1303" s="29"/>
      <c r="L1303" s="29"/>
      <c r="M1303" s="29"/>
      <c r="N1303" s="29"/>
      <c r="P1303" s="4">
        <f t="shared" si="83"/>
        <v>5.4622956729860669E-3</v>
      </c>
      <c r="Q1303" s="4">
        <f t="shared" si="83"/>
        <v>-1.6037599992500572E-3</v>
      </c>
      <c r="R1303" s="4">
        <f t="shared" si="83"/>
        <v>5.5796044967314495E-3</v>
      </c>
      <c r="S1303" s="4">
        <f t="shared" si="83"/>
        <v>-2.5175818024092043E-3</v>
      </c>
      <c r="T1303" s="4">
        <f t="shared" si="83"/>
        <v>5.6225395109895451E-3</v>
      </c>
      <c r="U1303" s="35"/>
      <c r="V1303" s="35"/>
      <c r="W1303" s="35"/>
      <c r="X1303" s="35"/>
    </row>
    <row r="1304" spans="4:24" x14ac:dyDescent="0.3">
      <c r="D1304" s="23">
        <v>41474</v>
      </c>
      <c r="E1304" s="5">
        <v>139.31663499999999</v>
      </c>
      <c r="F1304" s="28">
        <v>60.622320000000002</v>
      </c>
      <c r="G1304" s="28">
        <v>125.11</v>
      </c>
      <c r="H1304" s="28">
        <v>67.880780000000001</v>
      </c>
      <c r="I1304" s="28">
        <v>72.332689999999999</v>
      </c>
      <c r="J1304" s="29"/>
      <c r="K1304" s="29"/>
      <c r="L1304" s="29"/>
      <c r="M1304" s="29"/>
      <c r="N1304" s="29"/>
      <c r="P1304" s="4">
        <f t="shared" si="83"/>
        <v>1.7752395227248825E-3</v>
      </c>
      <c r="Q1304" s="4">
        <f t="shared" si="83"/>
        <v>2.5896914946632646E-3</v>
      </c>
      <c r="R1304" s="4">
        <f t="shared" si="83"/>
        <v>8.8311428146276502E-3</v>
      </c>
      <c r="S1304" s="4">
        <f t="shared" si="83"/>
        <v>-1.0402567937578979E-2</v>
      </c>
      <c r="T1304" s="4">
        <f t="shared" si="83"/>
        <v>1.4860477048269571E-3</v>
      </c>
      <c r="U1304" s="35"/>
      <c r="V1304" s="35"/>
      <c r="W1304" s="35"/>
      <c r="X1304" s="35"/>
    </row>
    <row r="1305" spans="4:24" x14ac:dyDescent="0.3">
      <c r="D1305" s="23">
        <v>41477</v>
      </c>
      <c r="E1305" s="5">
        <v>139.588379</v>
      </c>
      <c r="F1305" s="28">
        <v>60.659619999999997</v>
      </c>
      <c r="G1305" s="28">
        <v>128.84</v>
      </c>
      <c r="H1305" s="28">
        <v>68.08099</v>
      </c>
      <c r="I1305" s="28">
        <v>72.489689999999996</v>
      </c>
      <c r="J1305" s="29"/>
      <c r="K1305" s="29"/>
      <c r="L1305" s="29"/>
      <c r="M1305" s="29"/>
      <c r="N1305" s="29"/>
      <c r="P1305" s="4">
        <f t="shared" si="83"/>
        <v>1.9486497004292923E-3</v>
      </c>
      <c r="Q1305" s="4">
        <f t="shared" si="83"/>
        <v>6.1509572119329201E-4</v>
      </c>
      <c r="R1305" s="4">
        <f t="shared" si="83"/>
        <v>2.9377974133689363E-2</v>
      </c>
      <c r="S1305" s="4">
        <f t="shared" si="83"/>
        <v>2.9450947087769951E-3</v>
      </c>
      <c r="T1305" s="4">
        <f t="shared" si="83"/>
        <v>2.1681740281365817E-3</v>
      </c>
      <c r="U1305" s="35"/>
      <c r="V1305" s="35"/>
      <c r="W1305" s="35"/>
      <c r="X1305" s="35"/>
    </row>
    <row r="1306" spans="4:24" x14ac:dyDescent="0.3">
      <c r="D1306" s="23">
        <v>41478</v>
      </c>
      <c r="E1306" s="5">
        <v>139.29191599999999</v>
      </c>
      <c r="F1306" s="28">
        <v>60.644730000000003</v>
      </c>
      <c r="G1306" s="28">
        <v>129.71</v>
      </c>
      <c r="H1306" s="28">
        <v>67.580410000000001</v>
      </c>
      <c r="I1306" s="28">
        <v>72.357479999999995</v>
      </c>
      <c r="J1306" s="29"/>
      <c r="K1306" s="29"/>
      <c r="L1306" s="29"/>
      <c r="M1306" s="29"/>
      <c r="N1306" s="29"/>
      <c r="P1306" s="4">
        <f t="shared" si="83"/>
        <v>-2.1260957980177952E-3</v>
      </c>
      <c r="Q1306" s="4">
        <f t="shared" si="83"/>
        <v>-2.4549820471855122E-4</v>
      </c>
      <c r="R1306" s="4">
        <f t="shared" si="83"/>
        <v>6.7298648895837447E-3</v>
      </c>
      <c r="S1306" s="4">
        <f t="shared" si="83"/>
        <v>-7.3798777235837909E-3</v>
      </c>
      <c r="T1306" s="4">
        <f t="shared" si="83"/>
        <v>-1.8255108017050409E-3</v>
      </c>
      <c r="U1306" s="35"/>
      <c r="V1306" s="35"/>
      <c r="W1306" s="35"/>
      <c r="X1306" s="35"/>
    </row>
    <row r="1307" spans="4:24" x14ac:dyDescent="0.3">
      <c r="D1307" s="23">
        <v>41479</v>
      </c>
      <c r="E1307" s="5">
        <v>138.781342</v>
      </c>
      <c r="F1307" s="28">
        <v>60.45055</v>
      </c>
      <c r="G1307" s="28">
        <v>127.48</v>
      </c>
      <c r="H1307" s="28">
        <v>67.798820000000006</v>
      </c>
      <c r="I1307" s="28">
        <v>72.068219999999997</v>
      </c>
      <c r="J1307" s="29"/>
      <c r="K1307" s="29"/>
      <c r="L1307" s="29"/>
      <c r="M1307" s="29"/>
      <c r="N1307" s="29"/>
      <c r="P1307" s="4">
        <f t="shared" si="83"/>
        <v>-3.6722306736107031E-3</v>
      </c>
      <c r="Q1307" s="4">
        <f t="shared" si="83"/>
        <v>-3.2070641635683029E-3</v>
      </c>
      <c r="R1307" s="4">
        <f t="shared" si="83"/>
        <v>-1.7341699803446096E-2</v>
      </c>
      <c r="S1307" s="4">
        <f t="shared" si="83"/>
        <v>3.2266425136691181E-3</v>
      </c>
      <c r="T1307" s="4">
        <f t="shared" si="83"/>
        <v>-4.0056636287425472E-3</v>
      </c>
      <c r="U1307" s="35"/>
      <c r="V1307" s="35"/>
      <c r="W1307" s="35"/>
      <c r="X1307" s="35"/>
    </row>
    <row r="1308" spans="4:24" x14ac:dyDescent="0.3">
      <c r="D1308" s="23">
        <v>41480</v>
      </c>
      <c r="E1308" s="5">
        <v>139.118942</v>
      </c>
      <c r="F1308" s="28">
        <v>60.428150000000002</v>
      </c>
      <c r="G1308" s="28">
        <v>128.66999999999999</v>
      </c>
      <c r="H1308" s="28">
        <v>68.226579999999998</v>
      </c>
      <c r="I1308" s="28">
        <v>72.332689999999999</v>
      </c>
      <c r="J1308" s="29"/>
      <c r="K1308" s="29"/>
      <c r="L1308" s="29"/>
      <c r="M1308" s="29"/>
      <c r="N1308" s="29"/>
      <c r="P1308" s="4">
        <f t="shared" si="83"/>
        <v>2.4296496658249176E-3</v>
      </c>
      <c r="Q1308" s="4">
        <f t="shared" si="83"/>
        <v>-3.7061947649011991E-4</v>
      </c>
      <c r="R1308" s="4">
        <f t="shared" si="83"/>
        <v>9.2914976477628895E-3</v>
      </c>
      <c r="S1308" s="4">
        <f t="shared" si="83"/>
        <v>6.2894343273196792E-3</v>
      </c>
      <c r="T1308" s="4">
        <f t="shared" si="83"/>
        <v>3.6630004023109563E-3</v>
      </c>
      <c r="U1308" s="35"/>
      <c r="V1308" s="35"/>
      <c r="W1308" s="35"/>
      <c r="X1308" s="35"/>
    </row>
    <row r="1309" spans="4:24" x14ac:dyDescent="0.3">
      <c r="D1309" s="23">
        <v>41481</v>
      </c>
      <c r="E1309" s="5">
        <v>139.26719700000001</v>
      </c>
      <c r="F1309" s="28">
        <v>60.472969999999997</v>
      </c>
      <c r="G1309" s="28">
        <v>128.78</v>
      </c>
      <c r="H1309" s="28">
        <v>68.590599999999995</v>
      </c>
      <c r="I1309" s="28">
        <v>72.340940000000003</v>
      </c>
      <c r="J1309" s="29"/>
      <c r="K1309" s="29"/>
      <c r="L1309" s="29"/>
      <c r="M1309" s="29"/>
      <c r="N1309" s="29"/>
      <c r="P1309" s="4">
        <f t="shared" si="83"/>
        <v>1.0651034174917365E-3</v>
      </c>
      <c r="Q1309" s="4">
        <f t="shared" si="83"/>
        <v>7.4143237139908725E-4</v>
      </c>
      <c r="R1309" s="4">
        <f t="shared" si="83"/>
        <v>8.545349131387043E-4</v>
      </c>
      <c r="S1309" s="4">
        <f t="shared" si="83"/>
        <v>5.3212741113971744E-3</v>
      </c>
      <c r="T1309" s="4">
        <f t="shared" si="83"/>
        <v>1.1404981003038376E-4</v>
      </c>
      <c r="U1309" s="35"/>
      <c r="V1309" s="35"/>
      <c r="W1309" s="35"/>
      <c r="X1309" s="35"/>
    </row>
    <row r="1310" spans="4:24" x14ac:dyDescent="0.3">
      <c r="D1310" s="23">
        <v>41484</v>
      </c>
      <c r="E1310" s="5">
        <v>138.83902</v>
      </c>
      <c r="F1310" s="28">
        <v>60.465530000000001</v>
      </c>
      <c r="G1310" s="28">
        <v>128.47</v>
      </c>
      <c r="H1310" s="28">
        <v>68.463189999999997</v>
      </c>
      <c r="I1310" s="28">
        <v>72.093010000000007</v>
      </c>
      <c r="J1310" s="29"/>
      <c r="K1310" s="29"/>
      <c r="L1310" s="29"/>
      <c r="M1310" s="29"/>
      <c r="N1310" s="29"/>
      <c r="P1310" s="4">
        <f t="shared" si="83"/>
        <v>-3.0792360051428501E-3</v>
      </c>
      <c r="Q1310" s="4">
        <f t="shared" si="83"/>
        <v>-1.2303774247873805E-4</v>
      </c>
      <c r="R1310" s="4">
        <f t="shared" si="83"/>
        <v>-2.4101080665192014E-3</v>
      </c>
      <c r="S1310" s="4">
        <f t="shared" si="83"/>
        <v>-1.8592705346344553E-3</v>
      </c>
      <c r="T1310" s="4">
        <f t="shared" si="83"/>
        <v>-3.4331297249209653E-3</v>
      </c>
      <c r="U1310" s="35"/>
      <c r="V1310" s="35"/>
      <c r="W1310" s="35"/>
      <c r="X1310" s="35"/>
    </row>
    <row r="1311" spans="4:24" x14ac:dyDescent="0.3">
      <c r="D1311" s="23">
        <v>41485</v>
      </c>
      <c r="E1311" s="5">
        <v>138.83902</v>
      </c>
      <c r="F1311" s="28">
        <v>60.428150000000002</v>
      </c>
      <c r="G1311" s="28">
        <v>128.12</v>
      </c>
      <c r="H1311" s="28">
        <v>68.827209999999994</v>
      </c>
      <c r="I1311" s="28">
        <v>72.167379999999994</v>
      </c>
      <c r="J1311" s="29"/>
      <c r="K1311" s="29"/>
      <c r="L1311" s="29"/>
      <c r="M1311" s="29"/>
      <c r="N1311" s="29"/>
      <c r="P1311" s="4">
        <f t="shared" si="83"/>
        <v>0</v>
      </c>
      <c r="Q1311" s="4">
        <f t="shared" si="83"/>
        <v>-6.1839462892045649E-4</v>
      </c>
      <c r="R1311" s="4">
        <f t="shared" si="83"/>
        <v>-2.7280893025608544E-3</v>
      </c>
      <c r="S1311" s="4">
        <f t="shared" si="83"/>
        <v>5.302932368948049E-3</v>
      </c>
      <c r="T1311" s="4">
        <f t="shared" si="83"/>
        <v>1.0310523434513327E-3</v>
      </c>
      <c r="U1311" s="35"/>
      <c r="V1311" s="35"/>
      <c r="W1311" s="35"/>
      <c r="X1311" s="35"/>
    </row>
    <row r="1312" spans="4:24" x14ac:dyDescent="0.3">
      <c r="D1312" s="23">
        <v>41486</v>
      </c>
      <c r="E1312" s="5">
        <v>138.93781999999999</v>
      </c>
      <c r="F1312" s="28">
        <v>60.49539</v>
      </c>
      <c r="G1312" s="28">
        <v>127.96</v>
      </c>
      <c r="H1312" s="28">
        <v>68.954620000000006</v>
      </c>
      <c r="I1312" s="28">
        <v>72.241780000000006</v>
      </c>
      <c r="J1312" s="29"/>
      <c r="K1312" s="29"/>
      <c r="L1312" s="29"/>
      <c r="M1312" s="29"/>
      <c r="N1312" s="29"/>
      <c r="P1312" s="4">
        <f t="shared" si="83"/>
        <v>7.1136243155727266E-4</v>
      </c>
      <c r="Q1312" s="4">
        <f t="shared" si="83"/>
        <v>1.1121078150723965E-3</v>
      </c>
      <c r="R1312" s="4">
        <f t="shared" si="83"/>
        <v>-1.249609659640273E-3</v>
      </c>
      <c r="S1312" s="4">
        <f t="shared" si="83"/>
        <v>1.8494461325800312E-3</v>
      </c>
      <c r="T1312" s="4">
        <f t="shared" si="83"/>
        <v>1.0304056416195891E-3</v>
      </c>
      <c r="U1312" s="35"/>
      <c r="V1312" s="35"/>
      <c r="W1312" s="35"/>
      <c r="X1312" s="35"/>
    </row>
    <row r="1313" spans="4:24" x14ac:dyDescent="0.3">
      <c r="D1313" s="23">
        <v>41487</v>
      </c>
      <c r="E1313" s="5">
        <v>140.54368600000001</v>
      </c>
      <c r="F1313" s="28">
        <v>60.200569999999999</v>
      </c>
      <c r="G1313" s="28">
        <v>126.61</v>
      </c>
      <c r="H1313" s="28">
        <v>69.655370000000005</v>
      </c>
      <c r="I1313" s="28">
        <v>73.159049999999993</v>
      </c>
      <c r="J1313" s="29"/>
      <c r="K1313" s="29"/>
      <c r="L1313" s="29"/>
      <c r="M1313" s="29"/>
      <c r="N1313" s="29"/>
      <c r="P1313" s="4">
        <f t="shared" si="83"/>
        <v>1.1491877913041177E-2</v>
      </c>
      <c r="Q1313" s="4">
        <f t="shared" si="83"/>
        <v>-4.8853430779586095E-3</v>
      </c>
      <c r="R1313" s="4">
        <f t="shared" si="83"/>
        <v>-1.0606219549155355E-2</v>
      </c>
      <c r="S1313" s="4">
        <f t="shared" si="83"/>
        <v>1.0111189967703349E-2</v>
      </c>
      <c r="T1313" s="4">
        <f t="shared" si="83"/>
        <v>1.2617289306759399E-2</v>
      </c>
      <c r="U1313" s="35"/>
      <c r="V1313" s="35"/>
      <c r="W1313" s="35"/>
      <c r="X1313" s="35"/>
    </row>
    <row r="1314" spans="4:24" x14ac:dyDescent="0.3">
      <c r="D1314" s="23">
        <v>41488</v>
      </c>
      <c r="E1314" s="5">
        <v>140.782501</v>
      </c>
      <c r="F1314" s="28">
        <v>60.395099999999999</v>
      </c>
      <c r="G1314" s="28">
        <v>126.36</v>
      </c>
      <c r="H1314" s="28">
        <v>70.046679999999995</v>
      </c>
      <c r="I1314" s="28">
        <v>73.192139999999995</v>
      </c>
      <c r="J1314" s="29"/>
      <c r="K1314" s="29"/>
      <c r="L1314" s="29"/>
      <c r="M1314" s="29"/>
      <c r="N1314" s="29"/>
      <c r="P1314" s="4">
        <f t="shared" si="83"/>
        <v>1.6977805010701206E-3</v>
      </c>
      <c r="Q1314" s="4">
        <f t="shared" si="83"/>
        <v>3.2261551135884768E-3</v>
      </c>
      <c r="R1314" s="4">
        <f t="shared" si="83"/>
        <v>-1.9765195982774089E-3</v>
      </c>
      <c r="S1314" s="4">
        <f t="shared" si="83"/>
        <v>5.6020799033756792E-3</v>
      </c>
      <c r="T1314" s="4">
        <f t="shared" si="83"/>
        <v>4.5219995223629293E-4</v>
      </c>
      <c r="U1314" s="35"/>
      <c r="V1314" s="35"/>
      <c r="W1314" s="35"/>
      <c r="X1314" s="35"/>
    </row>
    <row r="1315" spans="4:24" x14ac:dyDescent="0.3">
      <c r="D1315" s="23">
        <v>41491</v>
      </c>
      <c r="E1315" s="5">
        <v>140.57662999999999</v>
      </c>
      <c r="F1315" s="28">
        <v>60.417549999999999</v>
      </c>
      <c r="G1315" s="28">
        <v>125.7</v>
      </c>
      <c r="H1315" s="28">
        <v>70.092179999999999</v>
      </c>
      <c r="I1315" s="28">
        <v>73.200389999999999</v>
      </c>
      <c r="J1315" s="29"/>
      <c r="K1315" s="29"/>
      <c r="L1315" s="29"/>
      <c r="M1315" s="29"/>
      <c r="N1315" s="29"/>
      <c r="P1315" s="4">
        <f t="shared" si="83"/>
        <v>-1.4634039848543232E-3</v>
      </c>
      <c r="Q1315" s="4">
        <f t="shared" si="83"/>
        <v>3.7164982737153705E-4</v>
      </c>
      <c r="R1315" s="4">
        <f t="shared" si="83"/>
        <v>-5.236860337682712E-3</v>
      </c>
      <c r="S1315" s="4">
        <f t="shared" si="83"/>
        <v>6.4935595449842919E-4</v>
      </c>
      <c r="T1315" s="4">
        <f t="shared" si="83"/>
        <v>1.1271066916791929E-4</v>
      </c>
      <c r="U1315" s="35"/>
      <c r="V1315" s="35"/>
      <c r="W1315" s="35"/>
      <c r="X1315" s="35"/>
    </row>
    <row r="1316" spans="4:24" x14ac:dyDescent="0.3">
      <c r="D1316" s="23">
        <v>41492</v>
      </c>
      <c r="E1316" s="5">
        <v>139.77784700000001</v>
      </c>
      <c r="F1316" s="28">
        <v>60.380189999999999</v>
      </c>
      <c r="G1316" s="28">
        <v>123.97</v>
      </c>
      <c r="H1316" s="28">
        <v>69.673559999999995</v>
      </c>
      <c r="I1316" s="28">
        <v>72.721090000000004</v>
      </c>
      <c r="J1316" s="29"/>
      <c r="K1316" s="29"/>
      <c r="L1316" s="29"/>
      <c r="M1316" s="29"/>
      <c r="N1316" s="29"/>
      <c r="P1316" s="4">
        <f t="shared" si="83"/>
        <v>-5.6983941903335951E-3</v>
      </c>
      <c r="Q1316" s="4">
        <f t="shared" si="83"/>
        <v>-6.1855463837636045E-4</v>
      </c>
      <c r="R1316" s="4">
        <f t="shared" si="83"/>
        <v>-1.3858514746146315E-2</v>
      </c>
      <c r="S1316" s="4">
        <f t="shared" si="83"/>
        <v>-5.9903271261363619E-3</v>
      </c>
      <c r="T1316" s="4">
        <f t="shared" si="83"/>
        <v>-6.569310066135885E-3</v>
      </c>
      <c r="U1316" s="35"/>
      <c r="V1316" s="35"/>
      <c r="W1316" s="35"/>
      <c r="X1316" s="35"/>
    </row>
    <row r="1317" spans="4:24" x14ac:dyDescent="0.3">
      <c r="D1317" s="23">
        <v>41493</v>
      </c>
      <c r="E1317" s="5">
        <v>139.32482899999999</v>
      </c>
      <c r="F1317" s="28">
        <v>60.469920000000002</v>
      </c>
      <c r="G1317" s="28">
        <v>124.15</v>
      </c>
      <c r="H1317" s="28">
        <v>69.546170000000004</v>
      </c>
      <c r="I1317" s="28">
        <v>72.431849999999997</v>
      </c>
      <c r="J1317" s="29"/>
      <c r="K1317" s="29"/>
      <c r="L1317" s="29"/>
      <c r="M1317" s="29"/>
      <c r="N1317" s="29"/>
      <c r="P1317" s="4">
        <f t="shared" ref="P1317:T1332" si="84">LN(E1317/E1316)</f>
        <v>-3.2462490458548417E-3</v>
      </c>
      <c r="Q1317" s="4">
        <f t="shared" si="84"/>
        <v>1.48498030310669E-3</v>
      </c>
      <c r="R1317" s="4">
        <f t="shared" si="84"/>
        <v>1.4509111041202793E-3</v>
      </c>
      <c r="S1317" s="4">
        <f t="shared" si="84"/>
        <v>-1.8300572132064258E-3</v>
      </c>
      <c r="T1317" s="4">
        <f t="shared" si="84"/>
        <v>-3.9853189722170454E-3</v>
      </c>
      <c r="U1317" s="35"/>
      <c r="V1317" s="35"/>
      <c r="W1317" s="35"/>
      <c r="X1317" s="35"/>
    </row>
    <row r="1318" spans="4:24" x14ac:dyDescent="0.3">
      <c r="D1318" s="23">
        <v>41494</v>
      </c>
      <c r="E1318" s="5">
        <v>139.83549500000001</v>
      </c>
      <c r="F1318" s="28">
        <v>60.499859999999998</v>
      </c>
      <c r="G1318" s="28">
        <v>126.86</v>
      </c>
      <c r="H1318" s="28">
        <v>69.891980000000004</v>
      </c>
      <c r="I1318" s="28">
        <v>72.72936</v>
      </c>
      <c r="J1318" s="29"/>
      <c r="K1318" s="29"/>
      <c r="L1318" s="29"/>
      <c r="M1318" s="29"/>
      <c r="N1318" s="29"/>
      <c r="P1318" s="4">
        <f t="shared" si="84"/>
        <v>3.6585898905689986E-3</v>
      </c>
      <c r="Q1318" s="4">
        <f t="shared" si="84"/>
        <v>4.9499967035296832E-4</v>
      </c>
      <c r="R1318" s="4">
        <f t="shared" si="84"/>
        <v>2.1593604251575499E-2</v>
      </c>
      <c r="S1318" s="4">
        <f t="shared" si="84"/>
        <v>4.960058764020025E-3</v>
      </c>
      <c r="T1318" s="4">
        <f t="shared" si="84"/>
        <v>4.0990346741473392E-3</v>
      </c>
      <c r="U1318" s="35"/>
      <c r="V1318" s="35"/>
      <c r="W1318" s="35"/>
      <c r="X1318" s="35"/>
    </row>
    <row r="1319" spans="4:24" x14ac:dyDescent="0.3">
      <c r="D1319" s="23">
        <v>41495</v>
      </c>
      <c r="E1319" s="5">
        <v>139.43193099999999</v>
      </c>
      <c r="F1319" s="28">
        <v>60.574669999999998</v>
      </c>
      <c r="G1319" s="28">
        <v>126.86</v>
      </c>
      <c r="H1319" s="28">
        <v>69.609830000000002</v>
      </c>
      <c r="I1319" s="28">
        <v>72.547560000000004</v>
      </c>
      <c r="J1319" s="29"/>
      <c r="K1319" s="29"/>
      <c r="L1319" s="29"/>
      <c r="M1319" s="29"/>
      <c r="N1319" s="29"/>
      <c r="P1319" s="4">
        <f t="shared" si="84"/>
        <v>-2.8901636449049722E-3</v>
      </c>
      <c r="Q1319" s="4">
        <f t="shared" si="84"/>
        <v>1.2357679112252403E-3</v>
      </c>
      <c r="R1319" s="4">
        <f t="shared" si="84"/>
        <v>0</v>
      </c>
      <c r="S1319" s="4">
        <f t="shared" si="84"/>
        <v>-4.0451143212228919E-3</v>
      </c>
      <c r="T1319" s="4">
        <f t="shared" si="84"/>
        <v>-2.5028076710366313E-3</v>
      </c>
      <c r="U1319" s="35"/>
      <c r="V1319" s="35"/>
      <c r="W1319" s="35"/>
      <c r="X1319" s="35"/>
    </row>
    <row r="1320" spans="4:24" x14ac:dyDescent="0.3">
      <c r="D1320" s="23">
        <v>41498</v>
      </c>
      <c r="E1320" s="5">
        <v>139.26719700000001</v>
      </c>
      <c r="F1320" s="28">
        <v>60.462420000000002</v>
      </c>
      <c r="G1320" s="28">
        <v>129.13</v>
      </c>
      <c r="H1320" s="28">
        <v>69.773690000000002</v>
      </c>
      <c r="I1320" s="28">
        <v>72.497979999999998</v>
      </c>
      <c r="J1320" s="29"/>
      <c r="K1320" s="29"/>
      <c r="L1320" s="29"/>
      <c r="M1320" s="29"/>
      <c r="N1320" s="29"/>
      <c r="P1320" s="4">
        <f t="shared" si="84"/>
        <v>-1.1821638651470063E-3</v>
      </c>
      <c r="Q1320" s="4">
        <f t="shared" si="84"/>
        <v>-1.8548038817044661E-3</v>
      </c>
      <c r="R1320" s="4">
        <f t="shared" si="84"/>
        <v>1.7735532652809083E-2</v>
      </c>
      <c r="S1320" s="4">
        <f t="shared" si="84"/>
        <v>2.351211613647099E-3</v>
      </c>
      <c r="T1320" s="4">
        <f t="shared" si="84"/>
        <v>-6.8364738317416819E-4</v>
      </c>
      <c r="U1320" s="35"/>
      <c r="V1320" s="35"/>
      <c r="W1320" s="35"/>
      <c r="X1320" s="35"/>
    </row>
    <row r="1321" spans="4:24" x14ac:dyDescent="0.3">
      <c r="D1321" s="23">
        <v>41499</v>
      </c>
      <c r="E1321" s="5">
        <v>139.67898600000001</v>
      </c>
      <c r="F1321" s="28">
        <v>60.252960000000002</v>
      </c>
      <c r="G1321" s="28">
        <v>127.74</v>
      </c>
      <c r="H1321" s="28">
        <v>70.164990000000003</v>
      </c>
      <c r="I1321" s="28">
        <v>72.654949999999999</v>
      </c>
      <c r="J1321" s="29"/>
      <c r="K1321" s="29"/>
      <c r="L1321" s="29"/>
      <c r="M1321" s="29"/>
      <c r="N1321" s="29"/>
      <c r="P1321" s="4">
        <f t="shared" si="84"/>
        <v>2.9524641255396947E-3</v>
      </c>
      <c r="Q1321" s="4">
        <f t="shared" si="84"/>
        <v>-3.4703152193540686E-3</v>
      </c>
      <c r="R1321" s="4">
        <f t="shared" si="84"/>
        <v>-1.0822700725117115E-2</v>
      </c>
      <c r="S1321" s="4">
        <f t="shared" si="84"/>
        <v>5.5924640684967379E-3</v>
      </c>
      <c r="T1321" s="4">
        <f t="shared" si="84"/>
        <v>2.1628231850308521E-3</v>
      </c>
      <c r="U1321" s="35"/>
      <c r="V1321" s="35"/>
      <c r="W1321" s="35"/>
      <c r="X1321" s="35"/>
    </row>
    <row r="1322" spans="4:24" x14ac:dyDescent="0.3">
      <c r="D1322" s="23">
        <v>41500</v>
      </c>
      <c r="E1322" s="5">
        <v>138.96253999999999</v>
      </c>
      <c r="F1322" s="28">
        <v>60.223030000000001</v>
      </c>
      <c r="G1322" s="28">
        <v>129</v>
      </c>
      <c r="H1322" s="28">
        <v>69.901049999999998</v>
      </c>
      <c r="I1322" s="28">
        <v>72.274860000000004</v>
      </c>
      <c r="J1322" s="29"/>
      <c r="K1322" s="29"/>
      <c r="L1322" s="29"/>
      <c r="M1322" s="29"/>
      <c r="N1322" s="29"/>
      <c r="P1322" s="4">
        <f t="shared" si="84"/>
        <v>-5.1424322076376447E-3</v>
      </c>
      <c r="Q1322" s="4">
        <f t="shared" si="84"/>
        <v>-4.968624970957188E-4</v>
      </c>
      <c r="R1322" s="4">
        <f t="shared" si="84"/>
        <v>9.8154562282290522E-3</v>
      </c>
      <c r="S1322" s="4">
        <f t="shared" si="84"/>
        <v>-3.7687980957178424E-3</v>
      </c>
      <c r="T1322" s="4">
        <f t="shared" si="84"/>
        <v>-5.2451717340107435E-3</v>
      </c>
      <c r="U1322" s="35"/>
      <c r="V1322" s="35"/>
      <c r="W1322" s="35"/>
      <c r="X1322" s="35"/>
    </row>
    <row r="1323" spans="4:24" x14ac:dyDescent="0.3">
      <c r="D1323" s="23">
        <v>41501</v>
      </c>
      <c r="E1323" s="5">
        <v>137.018967</v>
      </c>
      <c r="F1323" s="28">
        <v>60.006050000000002</v>
      </c>
      <c r="G1323" s="28">
        <v>131.69</v>
      </c>
      <c r="H1323" s="28">
        <v>68.718019999999996</v>
      </c>
      <c r="I1323" s="28">
        <v>71.200559999999996</v>
      </c>
      <c r="J1323" s="29"/>
      <c r="K1323" s="29"/>
      <c r="L1323" s="29"/>
      <c r="M1323" s="29"/>
      <c r="N1323" s="29"/>
      <c r="P1323" s="4">
        <f t="shared" si="84"/>
        <v>-1.4085038906193314E-2</v>
      </c>
      <c r="Q1323" s="4">
        <f t="shared" si="84"/>
        <v>-3.6094468255071493E-3</v>
      </c>
      <c r="R1323" s="4">
        <f t="shared" si="84"/>
        <v>2.0638271360456574E-2</v>
      </c>
      <c r="S1323" s="4">
        <f t="shared" si="84"/>
        <v>-1.7069205898020353E-2</v>
      </c>
      <c r="T1323" s="4">
        <f t="shared" si="84"/>
        <v>-1.4975667298989852E-2</v>
      </c>
      <c r="U1323" s="35"/>
      <c r="V1323" s="35"/>
      <c r="W1323" s="35"/>
      <c r="X1323" s="35"/>
    </row>
    <row r="1324" spans="4:24" x14ac:dyDescent="0.3">
      <c r="D1324" s="23">
        <v>41502</v>
      </c>
      <c r="E1324" s="5">
        <v>136.566025</v>
      </c>
      <c r="F1324" s="28">
        <v>59.848930000000003</v>
      </c>
      <c r="G1324" s="28">
        <v>132.58000000000001</v>
      </c>
      <c r="H1324" s="28">
        <v>68.690690000000004</v>
      </c>
      <c r="I1324" s="28">
        <v>70.969189999999998</v>
      </c>
      <c r="J1324" s="29"/>
      <c r="K1324" s="29"/>
      <c r="L1324" s="29"/>
      <c r="M1324" s="29"/>
      <c r="N1324" s="29"/>
      <c r="P1324" s="4">
        <f t="shared" si="84"/>
        <v>-3.3111641871839833E-3</v>
      </c>
      <c r="Q1324" s="4">
        <f t="shared" si="84"/>
        <v>-2.6218366563312474E-3</v>
      </c>
      <c r="R1324" s="4">
        <f t="shared" si="84"/>
        <v>6.7355610911167697E-3</v>
      </c>
      <c r="S1324" s="4">
        <f t="shared" si="84"/>
        <v>-3.977913825168443E-4</v>
      </c>
      <c r="T1324" s="4">
        <f t="shared" si="84"/>
        <v>-3.2548443569934606E-3</v>
      </c>
      <c r="U1324" s="35"/>
      <c r="V1324" s="35"/>
      <c r="W1324" s="35"/>
      <c r="X1324" s="35"/>
    </row>
    <row r="1325" spans="4:24" x14ac:dyDescent="0.3">
      <c r="D1325" s="23">
        <v>41505</v>
      </c>
      <c r="E1325" s="5">
        <v>135.69311500000001</v>
      </c>
      <c r="F1325" s="28">
        <v>59.676839999999999</v>
      </c>
      <c r="G1325" s="28">
        <v>132.01</v>
      </c>
      <c r="H1325" s="28">
        <v>68.572389999999999</v>
      </c>
      <c r="I1325" s="28">
        <v>70.489879999999999</v>
      </c>
      <c r="J1325" s="29"/>
      <c r="K1325" s="29"/>
      <c r="L1325" s="29"/>
      <c r="M1325" s="29"/>
      <c r="N1325" s="29"/>
      <c r="P1325" s="4">
        <f t="shared" si="84"/>
        <v>-6.4123686797688661E-3</v>
      </c>
      <c r="Q1325" s="4">
        <f t="shared" si="84"/>
        <v>-2.8795483837718867E-3</v>
      </c>
      <c r="R1325" s="4">
        <f t="shared" si="84"/>
        <v>-4.3085595205774891E-3</v>
      </c>
      <c r="S1325" s="4">
        <f t="shared" si="84"/>
        <v>-1.7236977239681762E-3</v>
      </c>
      <c r="T1325" s="4">
        <f t="shared" si="84"/>
        <v>-6.7766857833407136E-3</v>
      </c>
      <c r="U1325" s="35"/>
      <c r="V1325" s="35"/>
      <c r="W1325" s="35"/>
      <c r="X1325" s="35"/>
    </row>
    <row r="1326" spans="4:24" x14ac:dyDescent="0.3">
      <c r="D1326" s="23">
        <v>41506</v>
      </c>
      <c r="E1326" s="5">
        <v>136.36019899999999</v>
      </c>
      <c r="F1326" s="28">
        <v>59.848930000000003</v>
      </c>
      <c r="G1326" s="28">
        <v>132.44999999999999</v>
      </c>
      <c r="H1326" s="28">
        <v>68.872739999999993</v>
      </c>
      <c r="I1326" s="28">
        <v>70.952610000000007</v>
      </c>
      <c r="J1326" s="29"/>
      <c r="K1326" s="29"/>
      <c r="L1326" s="29"/>
      <c r="M1326" s="29"/>
      <c r="N1326" s="29"/>
      <c r="P1326" s="4">
        <f t="shared" si="84"/>
        <v>4.9040780069005887E-3</v>
      </c>
      <c r="Q1326" s="4">
        <f t="shared" si="84"/>
        <v>2.8795483837719352E-3</v>
      </c>
      <c r="R1326" s="4">
        <f t="shared" si="84"/>
        <v>3.327538425410509E-3</v>
      </c>
      <c r="S1326" s="4">
        <f t="shared" si="84"/>
        <v>4.3704782859016449E-3</v>
      </c>
      <c r="T1326" s="4">
        <f t="shared" si="84"/>
        <v>6.5430359835860156E-3</v>
      </c>
      <c r="U1326" s="35"/>
      <c r="V1326" s="35"/>
      <c r="W1326" s="35"/>
      <c r="X1326" s="35"/>
    </row>
    <row r="1327" spans="4:24" x14ac:dyDescent="0.3">
      <c r="D1327" s="23">
        <v>41507</v>
      </c>
      <c r="E1327" s="5">
        <v>135.52014199999999</v>
      </c>
      <c r="F1327" s="28">
        <v>59.616990000000001</v>
      </c>
      <c r="G1327" s="28">
        <v>132.07</v>
      </c>
      <c r="H1327" s="28">
        <v>68.636129999999994</v>
      </c>
      <c r="I1327" s="28">
        <v>70.539479999999998</v>
      </c>
      <c r="J1327" s="29"/>
      <c r="K1327" s="29"/>
      <c r="L1327" s="29"/>
      <c r="M1327" s="29"/>
      <c r="N1327" s="29"/>
      <c r="P1327" s="4">
        <f t="shared" si="84"/>
        <v>-6.1796279218715063E-3</v>
      </c>
      <c r="Q1327" s="4">
        <f t="shared" si="84"/>
        <v>-3.882953254275485E-3</v>
      </c>
      <c r="R1327" s="4">
        <f t="shared" si="84"/>
        <v>-2.8731306623657198E-3</v>
      </c>
      <c r="S1327" s="4">
        <f t="shared" si="84"/>
        <v>-3.441381396216726E-3</v>
      </c>
      <c r="T1327" s="4">
        <f t="shared" si="84"/>
        <v>-5.8396363220537591E-3</v>
      </c>
      <c r="U1327" s="35"/>
      <c r="V1327" s="35"/>
      <c r="W1327" s="35"/>
      <c r="X1327" s="35"/>
    </row>
    <row r="1328" spans="4:24" x14ac:dyDescent="0.3">
      <c r="D1328" s="23">
        <v>41508</v>
      </c>
      <c r="E1328" s="5">
        <v>136.75543200000001</v>
      </c>
      <c r="F1328" s="28">
        <v>59.676839999999999</v>
      </c>
      <c r="G1328" s="28">
        <v>132.81</v>
      </c>
      <c r="H1328" s="28">
        <v>69.309529999999995</v>
      </c>
      <c r="I1328" s="28">
        <v>71.167529999999999</v>
      </c>
      <c r="J1328" s="29"/>
      <c r="K1328" s="29"/>
      <c r="L1328" s="29"/>
      <c r="M1328" s="29"/>
      <c r="N1328" s="29"/>
      <c r="P1328" s="4">
        <f t="shared" si="84"/>
        <v>9.0738839148304488E-3</v>
      </c>
      <c r="Q1328" s="4">
        <f t="shared" si="84"/>
        <v>1.0034048705036388E-3</v>
      </c>
      <c r="R1328" s="4">
        <f t="shared" si="84"/>
        <v>5.5874503564463324E-3</v>
      </c>
      <c r="S1328" s="4">
        <f t="shared" si="84"/>
        <v>9.763342307286425E-3</v>
      </c>
      <c r="T1328" s="4">
        <f t="shared" si="84"/>
        <v>8.8641219977916817E-3</v>
      </c>
      <c r="U1328" s="35"/>
      <c r="V1328" s="35"/>
      <c r="W1328" s="35"/>
      <c r="X1328" s="35"/>
    </row>
    <row r="1329" spans="4:24" x14ac:dyDescent="0.3">
      <c r="D1329" s="23">
        <v>41509</v>
      </c>
      <c r="E1329" s="5">
        <v>137.21662900000001</v>
      </c>
      <c r="F1329" s="28">
        <v>59.848930000000003</v>
      </c>
      <c r="G1329" s="28">
        <v>134.9</v>
      </c>
      <c r="H1329" s="28">
        <v>69.773690000000002</v>
      </c>
      <c r="I1329" s="28">
        <v>71.465000000000003</v>
      </c>
      <c r="J1329" s="29"/>
      <c r="K1329" s="29"/>
      <c r="L1329" s="29"/>
      <c r="M1329" s="29"/>
      <c r="N1329" s="29"/>
      <c r="P1329" s="4">
        <f t="shared" si="84"/>
        <v>3.3667479374008243E-3</v>
      </c>
      <c r="Q1329" s="4">
        <f t="shared" si="84"/>
        <v>2.8795483837719352E-3</v>
      </c>
      <c r="R1329" s="4">
        <f t="shared" si="84"/>
        <v>1.5614227801550798E-2</v>
      </c>
      <c r="S1329" s="4">
        <f t="shared" si="84"/>
        <v>6.6745898347552717E-3</v>
      </c>
      <c r="T1329" s="4">
        <f t="shared" si="84"/>
        <v>4.1711442865497812E-3</v>
      </c>
      <c r="U1329" s="35"/>
      <c r="V1329" s="35"/>
      <c r="W1329" s="35"/>
      <c r="X1329" s="35"/>
    </row>
    <row r="1330" spans="4:24" x14ac:dyDescent="0.3">
      <c r="D1330" s="23">
        <v>41512</v>
      </c>
      <c r="E1330" s="5">
        <v>136.706039</v>
      </c>
      <c r="F1330" s="28">
        <v>59.953699999999998</v>
      </c>
      <c r="G1330" s="28">
        <v>135.44999999999999</v>
      </c>
      <c r="H1330" s="28">
        <v>69.810059999999993</v>
      </c>
      <c r="I1330" s="28">
        <v>71.283190000000005</v>
      </c>
      <c r="J1330" s="29"/>
      <c r="K1330" s="29"/>
      <c r="L1330" s="29"/>
      <c r="M1330" s="29"/>
      <c r="N1330" s="29"/>
      <c r="P1330" s="4">
        <f t="shared" si="84"/>
        <v>-3.7279907871266968E-3</v>
      </c>
      <c r="Q1330" s="4">
        <f t="shared" si="84"/>
        <v>1.7490438516911356E-3</v>
      </c>
      <c r="R1330" s="4">
        <f t="shared" si="84"/>
        <v>4.0688053173938803E-3</v>
      </c>
      <c r="S1330" s="4">
        <f t="shared" si="84"/>
        <v>5.211208442683046E-4</v>
      </c>
      <c r="T1330" s="4">
        <f t="shared" si="84"/>
        <v>-2.547284113494364E-3</v>
      </c>
      <c r="U1330" s="35"/>
      <c r="V1330" s="35"/>
      <c r="W1330" s="35"/>
      <c r="X1330" s="35"/>
    </row>
    <row r="1331" spans="4:24" x14ac:dyDescent="0.3">
      <c r="D1331" s="23">
        <v>41513</v>
      </c>
      <c r="E1331" s="5">
        <v>134.507217</v>
      </c>
      <c r="F1331" s="28">
        <v>60.103319999999997</v>
      </c>
      <c r="G1331" s="28">
        <v>136.75</v>
      </c>
      <c r="H1331" s="28">
        <v>68.381290000000007</v>
      </c>
      <c r="I1331" s="28">
        <v>70.01885</v>
      </c>
      <c r="J1331" s="29"/>
      <c r="K1331" s="29"/>
      <c r="L1331" s="29"/>
      <c r="M1331" s="29"/>
      <c r="N1331" s="29"/>
      <c r="P1331" s="4">
        <f t="shared" si="84"/>
        <v>-1.6215064189200053E-2</v>
      </c>
      <c r="Q1331" s="4">
        <f t="shared" si="84"/>
        <v>2.4924836125233578E-3</v>
      </c>
      <c r="R1331" s="4">
        <f t="shared" si="84"/>
        <v>9.5518727709865067E-3</v>
      </c>
      <c r="S1331" s="4">
        <f t="shared" si="84"/>
        <v>-2.0678876259197086E-2</v>
      </c>
      <c r="T1331" s="4">
        <f t="shared" si="84"/>
        <v>-1.7896043734829684E-2</v>
      </c>
      <c r="U1331" s="35"/>
      <c r="V1331" s="35"/>
      <c r="W1331" s="35"/>
      <c r="X1331" s="35"/>
    </row>
    <row r="1332" spans="4:24" x14ac:dyDescent="0.3">
      <c r="D1332" s="23">
        <v>41514</v>
      </c>
      <c r="E1332" s="5">
        <v>134.98481799999999</v>
      </c>
      <c r="F1332" s="28">
        <v>59.998559999999998</v>
      </c>
      <c r="G1332" s="28">
        <v>136.71</v>
      </c>
      <c r="H1332" s="28">
        <v>68.645210000000006</v>
      </c>
      <c r="I1332" s="28">
        <v>70.275019999999998</v>
      </c>
      <c r="J1332" s="29"/>
      <c r="K1332" s="29"/>
      <c r="L1332" s="29"/>
      <c r="M1332" s="29"/>
      <c r="N1332" s="29"/>
      <c r="P1332" s="4">
        <f t="shared" si="84"/>
        <v>3.54445726023319E-3</v>
      </c>
      <c r="Q1332" s="4">
        <f t="shared" si="84"/>
        <v>-1.7445193458824311E-3</v>
      </c>
      <c r="R1332" s="4">
        <f t="shared" si="84"/>
        <v>-2.9254735818968163E-4</v>
      </c>
      <c r="S1332" s="4">
        <f t="shared" si="84"/>
        <v>3.8521063641398061E-3</v>
      </c>
      <c r="T1332" s="4">
        <f t="shared" si="84"/>
        <v>3.651909876029705E-3</v>
      </c>
      <c r="U1332" s="35"/>
      <c r="V1332" s="35"/>
      <c r="W1332" s="35"/>
      <c r="X1332" s="35"/>
    </row>
    <row r="1333" spans="4:24" x14ac:dyDescent="0.3">
      <c r="D1333" s="23">
        <v>41515</v>
      </c>
      <c r="E1333" s="5">
        <v>135.198959</v>
      </c>
      <c r="F1333" s="28">
        <v>60.058430000000001</v>
      </c>
      <c r="G1333" s="28">
        <v>135.87</v>
      </c>
      <c r="H1333" s="28">
        <v>69.127499999999998</v>
      </c>
      <c r="I1333" s="28">
        <v>70.465100000000007</v>
      </c>
      <c r="J1333" s="29"/>
      <c r="K1333" s="29"/>
      <c r="L1333" s="29"/>
      <c r="M1333" s="29"/>
      <c r="N1333" s="29"/>
      <c r="P1333" s="4">
        <f t="shared" ref="P1333:T1348" si="85">LN(E1333/E1332)</f>
        <v>1.5851510199253059E-3</v>
      </c>
      <c r="Q1333" s="4">
        <f t="shared" si="85"/>
        <v>9.9735975327827349E-4</v>
      </c>
      <c r="R1333" s="4">
        <f t="shared" si="85"/>
        <v>-6.163347707668688E-3</v>
      </c>
      <c r="S1333" s="4">
        <f t="shared" si="85"/>
        <v>7.0012699911886061E-3</v>
      </c>
      <c r="T1333" s="4">
        <f t="shared" si="85"/>
        <v>2.701150397939384E-3</v>
      </c>
      <c r="U1333" s="35"/>
      <c r="V1333" s="35"/>
      <c r="W1333" s="35"/>
      <c r="X1333" s="35"/>
    </row>
    <row r="1334" spans="4:24" x14ac:dyDescent="0.3">
      <c r="D1334" s="23">
        <v>41516</v>
      </c>
      <c r="E1334" s="5">
        <v>134.770737</v>
      </c>
      <c r="F1334" s="28">
        <v>59.976140000000001</v>
      </c>
      <c r="G1334" s="28">
        <v>134.62</v>
      </c>
      <c r="H1334" s="28">
        <v>68.681619999999995</v>
      </c>
      <c r="I1334" s="28">
        <v>70.051900000000003</v>
      </c>
      <c r="J1334" s="29"/>
      <c r="K1334" s="29"/>
      <c r="L1334" s="29"/>
      <c r="M1334" s="29"/>
      <c r="N1334" s="29"/>
      <c r="P1334" s="4">
        <f t="shared" si="85"/>
        <v>-3.1723735328709497E-3</v>
      </c>
      <c r="Q1334" s="4">
        <f t="shared" si="85"/>
        <v>-1.3711052222974383E-3</v>
      </c>
      <c r="R1334" s="4">
        <f t="shared" si="85"/>
        <v>-9.2425516536651878E-3</v>
      </c>
      <c r="S1334" s="4">
        <f t="shared" si="85"/>
        <v>-6.4710021498186072E-3</v>
      </c>
      <c r="T1334" s="4">
        <f t="shared" si="85"/>
        <v>-5.8811558883161931E-3</v>
      </c>
      <c r="U1334" s="35"/>
      <c r="V1334" s="35"/>
      <c r="W1334" s="35"/>
      <c r="X1334" s="35"/>
    </row>
    <row r="1335" spans="4:24" x14ac:dyDescent="0.3">
      <c r="D1335" s="23">
        <v>41520</v>
      </c>
      <c r="E1335" s="5">
        <v>135.38014200000001</v>
      </c>
      <c r="F1335" s="28">
        <v>59.841900000000003</v>
      </c>
      <c r="G1335" s="28">
        <v>136.41999999999999</v>
      </c>
      <c r="H1335" s="28">
        <v>69.072919999999996</v>
      </c>
      <c r="I1335" s="28">
        <v>70.407240000000002</v>
      </c>
      <c r="J1335" s="29"/>
      <c r="K1335" s="29"/>
      <c r="L1335" s="29"/>
      <c r="M1335" s="29"/>
      <c r="N1335" s="29"/>
      <c r="P1335" s="4">
        <f t="shared" si="85"/>
        <v>4.5115976370980436E-3</v>
      </c>
      <c r="Q1335" s="4">
        <f t="shared" si="85"/>
        <v>-2.2407319660194963E-3</v>
      </c>
      <c r="R1335" s="4">
        <f t="shared" si="85"/>
        <v>1.3282367644006107E-2</v>
      </c>
      <c r="S1335" s="4">
        <f t="shared" si="85"/>
        <v>5.6811347552380344E-3</v>
      </c>
      <c r="T1335" s="4">
        <f t="shared" si="85"/>
        <v>5.0597028869165681E-3</v>
      </c>
      <c r="U1335" s="35"/>
      <c r="V1335" s="35"/>
      <c r="W1335" s="35"/>
      <c r="X1335" s="35"/>
    </row>
    <row r="1336" spans="4:24" x14ac:dyDescent="0.3">
      <c r="D1336" s="23">
        <v>41521</v>
      </c>
      <c r="E1336" s="5">
        <v>136.50015300000001</v>
      </c>
      <c r="F1336" s="28">
        <v>59.766930000000002</v>
      </c>
      <c r="G1336" s="28">
        <v>134.66</v>
      </c>
      <c r="H1336" s="28">
        <v>69.810059999999993</v>
      </c>
      <c r="I1336" s="28">
        <v>71.035259999999994</v>
      </c>
      <c r="J1336" s="29"/>
      <c r="K1336" s="29"/>
      <c r="L1336" s="29"/>
      <c r="M1336" s="29"/>
      <c r="N1336" s="29"/>
      <c r="P1336" s="4">
        <f t="shared" si="85"/>
        <v>8.2390475242014021E-3</v>
      </c>
      <c r="Q1336" s="4">
        <f t="shared" si="85"/>
        <v>-1.2535865423617416E-3</v>
      </c>
      <c r="R1336" s="4">
        <f t="shared" si="85"/>
        <v>-1.298527910943839E-2</v>
      </c>
      <c r="S1336" s="4">
        <f t="shared" si="85"/>
        <v>1.0615367298448936E-2</v>
      </c>
      <c r="T1336" s="4">
        <f t="shared" si="85"/>
        <v>8.8802746995410367E-3</v>
      </c>
      <c r="U1336" s="35"/>
      <c r="V1336" s="35"/>
      <c r="W1336" s="35"/>
      <c r="X1336" s="35"/>
    </row>
    <row r="1337" spans="4:24" x14ac:dyDescent="0.3">
      <c r="D1337" s="23">
        <v>41522</v>
      </c>
      <c r="E1337" s="5">
        <v>136.67306500000001</v>
      </c>
      <c r="F1337" s="28">
        <v>59.35454</v>
      </c>
      <c r="G1337" s="28">
        <v>132.19999999999999</v>
      </c>
      <c r="H1337" s="28">
        <v>69.928380000000004</v>
      </c>
      <c r="I1337" s="28">
        <v>71.117919999999998</v>
      </c>
      <c r="J1337" s="29"/>
      <c r="K1337" s="29"/>
      <c r="L1337" s="29"/>
      <c r="M1337" s="29"/>
      <c r="N1337" s="29"/>
      <c r="P1337" s="4">
        <f t="shared" si="85"/>
        <v>1.2659515040225086E-3</v>
      </c>
      <c r="Q1337" s="4">
        <f t="shared" si="85"/>
        <v>-6.9238844601696384E-3</v>
      </c>
      <c r="R1337" s="4">
        <f t="shared" si="85"/>
        <v>-1.8437155699548919E-2</v>
      </c>
      <c r="S1337" s="4">
        <f t="shared" si="85"/>
        <v>1.6934499666126823E-3</v>
      </c>
      <c r="T1337" s="4">
        <f t="shared" si="85"/>
        <v>1.162970948894412E-3</v>
      </c>
      <c r="U1337" s="35"/>
      <c r="V1337" s="35"/>
      <c r="W1337" s="35"/>
      <c r="X1337" s="35"/>
    </row>
    <row r="1338" spans="4:24" x14ac:dyDescent="0.3">
      <c r="D1338" s="23">
        <v>41523</v>
      </c>
      <c r="E1338" s="5">
        <v>136.73890700000001</v>
      </c>
      <c r="F1338" s="28">
        <v>59.579450000000001</v>
      </c>
      <c r="G1338" s="28">
        <v>134.15</v>
      </c>
      <c r="H1338" s="28">
        <v>70.010289999999998</v>
      </c>
      <c r="I1338" s="28">
        <v>71.175759999999997</v>
      </c>
      <c r="J1338" s="29"/>
      <c r="K1338" s="29"/>
      <c r="L1338" s="29"/>
      <c r="M1338" s="29"/>
      <c r="N1338" s="29"/>
      <c r="P1338" s="4">
        <f t="shared" si="85"/>
        <v>4.8163217426899703E-4</v>
      </c>
      <c r="Q1338" s="4">
        <f t="shared" si="85"/>
        <v>3.7821024603354766E-3</v>
      </c>
      <c r="R1338" s="4">
        <f t="shared" si="85"/>
        <v>1.4642649454047377E-2</v>
      </c>
      <c r="S1338" s="4">
        <f t="shared" si="85"/>
        <v>1.1706558216446011E-3</v>
      </c>
      <c r="T1338" s="4">
        <f t="shared" si="85"/>
        <v>8.1296657990152874E-4</v>
      </c>
      <c r="U1338" s="35"/>
      <c r="V1338" s="35"/>
      <c r="W1338" s="35"/>
      <c r="X1338" s="35"/>
    </row>
    <row r="1339" spans="4:24" x14ac:dyDescent="0.3">
      <c r="D1339" s="23">
        <v>41526</v>
      </c>
      <c r="E1339" s="5">
        <v>138.048416</v>
      </c>
      <c r="F1339" s="28">
        <v>59.729439999999997</v>
      </c>
      <c r="G1339" s="28">
        <v>133.91</v>
      </c>
      <c r="H1339" s="28">
        <v>70.829340000000002</v>
      </c>
      <c r="I1339" s="28">
        <v>71.977350000000001</v>
      </c>
      <c r="J1339" s="29"/>
      <c r="K1339" s="29"/>
      <c r="L1339" s="29"/>
      <c r="M1339" s="29"/>
      <c r="N1339" s="29"/>
      <c r="P1339" s="4">
        <f t="shared" si="85"/>
        <v>9.5311450249509749E-3</v>
      </c>
      <c r="Q1339" s="4">
        <f t="shared" si="85"/>
        <v>2.5143152202150064E-3</v>
      </c>
      <c r="R1339" s="4">
        <f t="shared" si="85"/>
        <v>-1.790644364158396E-3</v>
      </c>
      <c r="S1339" s="4">
        <f t="shared" si="85"/>
        <v>1.1631090390643042E-2</v>
      </c>
      <c r="T1339" s="4">
        <f t="shared" si="85"/>
        <v>1.1199175177344355E-2</v>
      </c>
      <c r="U1339" s="35"/>
      <c r="V1339" s="35"/>
      <c r="W1339" s="35"/>
      <c r="X1339" s="35"/>
    </row>
    <row r="1340" spans="4:24" x14ac:dyDescent="0.3">
      <c r="D1340" s="23">
        <v>41527</v>
      </c>
      <c r="E1340" s="5">
        <v>139.069534</v>
      </c>
      <c r="F1340" s="28">
        <v>59.601970000000001</v>
      </c>
      <c r="G1340" s="28">
        <v>131.74</v>
      </c>
      <c r="H1340" s="28">
        <v>71.175160000000005</v>
      </c>
      <c r="I1340" s="28">
        <v>72.539270000000002</v>
      </c>
      <c r="J1340" s="29"/>
      <c r="K1340" s="29"/>
      <c r="L1340" s="29"/>
      <c r="M1340" s="29"/>
      <c r="N1340" s="29"/>
      <c r="P1340" s="4">
        <f t="shared" si="85"/>
        <v>7.3695884476386673E-3</v>
      </c>
      <c r="Q1340" s="4">
        <f t="shared" si="85"/>
        <v>-2.1364039607583529E-3</v>
      </c>
      <c r="R1340" s="4">
        <f t="shared" si="85"/>
        <v>-1.6337649294927876E-2</v>
      </c>
      <c r="S1340" s="4">
        <f t="shared" si="85"/>
        <v>4.8705595053442101E-3</v>
      </c>
      <c r="T1340" s="4">
        <f t="shared" si="85"/>
        <v>7.7765841998252783E-3</v>
      </c>
      <c r="U1340" s="35"/>
      <c r="V1340" s="35"/>
      <c r="W1340" s="35"/>
      <c r="X1340" s="35"/>
    </row>
    <row r="1341" spans="4:24" x14ac:dyDescent="0.3">
      <c r="D1341" s="23">
        <v>41528</v>
      </c>
      <c r="E1341" s="5">
        <v>139.50602699999999</v>
      </c>
      <c r="F1341" s="28">
        <v>59.766930000000002</v>
      </c>
      <c r="G1341" s="28">
        <v>131.69999999999999</v>
      </c>
      <c r="H1341" s="28">
        <v>71.038640000000001</v>
      </c>
      <c r="I1341" s="28">
        <v>72.72936</v>
      </c>
      <c r="J1341" s="29"/>
      <c r="K1341" s="29"/>
      <c r="L1341" s="29"/>
      <c r="M1341" s="29"/>
      <c r="N1341" s="29"/>
      <c r="P1341" s="4">
        <f t="shared" si="85"/>
        <v>3.1337519748281472E-3</v>
      </c>
      <c r="Q1341" s="4">
        <f t="shared" si="85"/>
        <v>2.7638707403775165E-3</v>
      </c>
      <c r="R1341" s="4">
        <f t="shared" si="85"/>
        <v>-3.0367446331166706E-4</v>
      </c>
      <c r="S1341" s="4">
        <f t="shared" si="85"/>
        <v>-1.9199267853857987E-3</v>
      </c>
      <c r="T1341" s="4">
        <f t="shared" si="85"/>
        <v>2.6170840668889484E-3</v>
      </c>
      <c r="U1341" s="35"/>
      <c r="V1341" s="35"/>
      <c r="W1341" s="35"/>
      <c r="X1341" s="35"/>
    </row>
    <row r="1342" spans="4:24" x14ac:dyDescent="0.3">
      <c r="D1342" s="23">
        <v>41529</v>
      </c>
      <c r="E1342" s="5">
        <v>139.135468</v>
      </c>
      <c r="F1342" s="28">
        <v>59.751919999999998</v>
      </c>
      <c r="G1342" s="28">
        <v>127.67</v>
      </c>
      <c r="H1342" s="28">
        <v>70.99315</v>
      </c>
      <c r="I1342" s="28">
        <v>72.506240000000005</v>
      </c>
      <c r="J1342" s="29"/>
      <c r="K1342" s="29"/>
      <c r="L1342" s="29"/>
      <c r="M1342" s="29"/>
      <c r="N1342" s="29"/>
      <c r="P1342" s="4">
        <f t="shared" si="85"/>
        <v>-2.6597561748931127E-3</v>
      </c>
      <c r="Q1342" s="4">
        <f t="shared" si="85"/>
        <v>-2.5117377014451727E-4</v>
      </c>
      <c r="R1342" s="4">
        <f t="shared" si="85"/>
        <v>-3.1077798916975829E-2</v>
      </c>
      <c r="S1342" s="4">
        <f t="shared" si="85"/>
        <v>-6.4056084282891927E-4</v>
      </c>
      <c r="T1342" s="4">
        <f t="shared" si="85"/>
        <v>-3.072527335294064E-3</v>
      </c>
      <c r="U1342" s="35"/>
      <c r="V1342" s="35"/>
      <c r="W1342" s="35"/>
      <c r="X1342" s="35"/>
    </row>
    <row r="1343" spans="4:24" x14ac:dyDescent="0.3">
      <c r="D1343" s="23">
        <v>41530</v>
      </c>
      <c r="E1343" s="5">
        <v>139.44841</v>
      </c>
      <c r="F1343" s="28">
        <v>59.84939</v>
      </c>
      <c r="G1343" s="28">
        <v>127.82</v>
      </c>
      <c r="H1343" s="28">
        <v>71.038640000000001</v>
      </c>
      <c r="I1343" s="28">
        <v>72.654949999999999</v>
      </c>
      <c r="J1343" s="29"/>
      <c r="K1343" s="29"/>
      <c r="L1343" s="29"/>
      <c r="M1343" s="29"/>
      <c r="N1343" s="29"/>
      <c r="P1343" s="4">
        <f t="shared" si="85"/>
        <v>2.2466636179939224E-3</v>
      </c>
      <c r="Q1343" s="4">
        <f t="shared" si="85"/>
        <v>1.6299156184565542E-3</v>
      </c>
      <c r="R1343" s="4">
        <f t="shared" si="85"/>
        <v>1.1742143898762344E-3</v>
      </c>
      <c r="S1343" s="4">
        <f t="shared" si="85"/>
        <v>6.4056084282882364E-4</v>
      </c>
      <c r="T1343" s="4">
        <f t="shared" si="85"/>
        <v>2.0488954661141315E-3</v>
      </c>
      <c r="U1343" s="35"/>
      <c r="V1343" s="35"/>
      <c r="W1343" s="35"/>
      <c r="X1343" s="35"/>
    </row>
    <row r="1344" spans="4:24" x14ac:dyDescent="0.3">
      <c r="D1344" s="23">
        <v>41533</v>
      </c>
      <c r="E1344" s="5">
        <v>140.255493</v>
      </c>
      <c r="F1344" s="28">
        <v>59.924379999999999</v>
      </c>
      <c r="G1344" s="28">
        <v>126.45</v>
      </c>
      <c r="H1344" s="28">
        <v>70.84751</v>
      </c>
      <c r="I1344" s="28">
        <v>73.076419999999999</v>
      </c>
      <c r="J1344" s="29"/>
      <c r="K1344" s="29"/>
      <c r="L1344" s="29"/>
      <c r="M1344" s="29"/>
      <c r="N1344" s="29"/>
      <c r="P1344" s="4">
        <f t="shared" si="85"/>
        <v>5.7709973389302137E-3</v>
      </c>
      <c r="Q1344" s="4">
        <f t="shared" si="85"/>
        <v>1.2521941957513336E-3</v>
      </c>
      <c r="R1344" s="4">
        <f t="shared" si="85"/>
        <v>-1.0776051106161462E-2</v>
      </c>
      <c r="S1344" s="4">
        <f t="shared" si="85"/>
        <v>-2.6941335092599277E-3</v>
      </c>
      <c r="T1344" s="4">
        <f t="shared" si="85"/>
        <v>5.7842203102876112E-3</v>
      </c>
      <c r="U1344" s="35"/>
      <c r="V1344" s="35"/>
      <c r="W1344" s="35"/>
      <c r="X1344" s="35"/>
    </row>
    <row r="1345" spans="4:24" x14ac:dyDescent="0.3">
      <c r="D1345" s="23">
        <v>41534</v>
      </c>
      <c r="E1345" s="5">
        <v>140.88133199999999</v>
      </c>
      <c r="F1345" s="28">
        <v>59.976889999999997</v>
      </c>
      <c r="G1345" s="28">
        <v>126.5</v>
      </c>
      <c r="H1345" s="28">
        <v>71.320769999999996</v>
      </c>
      <c r="I1345" s="28">
        <v>73.464849999999998</v>
      </c>
      <c r="J1345" s="29"/>
      <c r="K1345" s="29"/>
      <c r="L1345" s="29"/>
      <c r="M1345" s="29"/>
      <c r="N1345" s="29"/>
      <c r="P1345" s="4">
        <f t="shared" si="85"/>
        <v>4.4522095872019246E-3</v>
      </c>
      <c r="Q1345" s="4">
        <f t="shared" si="85"/>
        <v>8.7588735894198941E-4</v>
      </c>
      <c r="R1345" s="4">
        <f t="shared" si="85"/>
        <v>3.9533505160080671E-4</v>
      </c>
      <c r="S1345" s="4">
        <f t="shared" si="85"/>
        <v>6.6577684999436625E-3</v>
      </c>
      <c r="T1345" s="4">
        <f t="shared" si="85"/>
        <v>5.3013176383910855E-3</v>
      </c>
      <c r="U1345" s="35"/>
      <c r="V1345" s="35"/>
      <c r="W1345" s="35"/>
      <c r="X1345" s="35"/>
    </row>
    <row r="1346" spans="4:24" x14ac:dyDescent="0.3">
      <c r="D1346" s="23">
        <v>41535</v>
      </c>
      <c r="E1346" s="5">
        <v>142.51194799999999</v>
      </c>
      <c r="F1346" s="28">
        <v>60.45673</v>
      </c>
      <c r="G1346" s="28">
        <v>132.01</v>
      </c>
      <c r="H1346" s="28">
        <v>72.176169999999999</v>
      </c>
      <c r="I1346" s="28">
        <v>74.324240000000003</v>
      </c>
      <c r="J1346" s="29"/>
      <c r="K1346" s="29"/>
      <c r="L1346" s="29"/>
      <c r="M1346" s="29"/>
      <c r="N1346" s="29"/>
      <c r="P1346" s="4">
        <f t="shared" si="85"/>
        <v>1.150792280944354E-2</v>
      </c>
      <c r="Q1346" s="4">
        <f t="shared" si="85"/>
        <v>7.9685811832629194E-3</v>
      </c>
      <c r="R1346" s="4">
        <f t="shared" si="85"/>
        <v>4.2635369125093296E-2</v>
      </c>
      <c r="S1346" s="4">
        <f t="shared" si="85"/>
        <v>1.1922346669643513E-2</v>
      </c>
      <c r="T1346" s="4">
        <f t="shared" si="85"/>
        <v>1.16300829330762E-2</v>
      </c>
      <c r="U1346" s="35"/>
      <c r="V1346" s="35"/>
      <c r="W1346" s="35"/>
      <c r="X1346" s="35"/>
    </row>
    <row r="1347" spans="4:24" x14ac:dyDescent="0.3">
      <c r="D1347" s="23">
        <v>41536</v>
      </c>
      <c r="E1347" s="5">
        <v>142.27311700000001</v>
      </c>
      <c r="F1347" s="28">
        <v>60.38926</v>
      </c>
      <c r="G1347" s="28">
        <v>131.75</v>
      </c>
      <c r="H1347" s="28">
        <v>72.349119999999999</v>
      </c>
      <c r="I1347" s="28">
        <v>74.208569999999995</v>
      </c>
      <c r="J1347" s="29"/>
      <c r="K1347" s="29"/>
      <c r="L1347" s="29"/>
      <c r="M1347" s="29"/>
      <c r="N1347" s="29"/>
      <c r="P1347" s="4">
        <f t="shared" si="85"/>
        <v>-1.6772723386373836E-3</v>
      </c>
      <c r="Q1347" s="4">
        <f t="shared" si="85"/>
        <v>-1.1166279826158342E-3</v>
      </c>
      <c r="R1347" s="4">
        <f t="shared" si="85"/>
        <v>-1.9714898711964148E-3</v>
      </c>
      <c r="S1347" s="4">
        <f t="shared" si="85"/>
        <v>2.3933538906146003E-3</v>
      </c>
      <c r="T1347" s="4">
        <f t="shared" si="85"/>
        <v>-1.5575013141243843E-3</v>
      </c>
      <c r="U1347" s="35"/>
      <c r="V1347" s="35"/>
      <c r="W1347" s="35"/>
      <c r="X1347" s="35"/>
    </row>
    <row r="1348" spans="4:24" x14ac:dyDescent="0.3">
      <c r="D1348" s="23">
        <v>41537</v>
      </c>
      <c r="E1348" s="5">
        <v>141.27839700000001</v>
      </c>
      <c r="F1348" s="28">
        <v>60.381740000000001</v>
      </c>
      <c r="G1348" s="28">
        <v>127.96</v>
      </c>
      <c r="H1348" s="28">
        <v>72.100819999999999</v>
      </c>
      <c r="I1348" s="28">
        <v>73.712720000000004</v>
      </c>
      <c r="J1348" s="29"/>
      <c r="K1348" s="29"/>
      <c r="L1348" s="29"/>
      <c r="M1348" s="29"/>
      <c r="N1348" s="29"/>
      <c r="P1348" s="4">
        <f t="shared" si="85"/>
        <v>-7.0161789407158903E-3</v>
      </c>
      <c r="Q1348" s="4">
        <f t="shared" si="85"/>
        <v>-1.2453320763625657E-4</v>
      </c>
      <c r="R1348" s="4">
        <f t="shared" si="85"/>
        <v>-2.9188472340154491E-2</v>
      </c>
      <c r="S1348" s="4">
        <f t="shared" si="85"/>
        <v>-3.4378725883042363E-3</v>
      </c>
      <c r="T1348" s="4">
        <f t="shared" si="85"/>
        <v>-6.7042662655765837E-3</v>
      </c>
      <c r="U1348" s="35"/>
      <c r="V1348" s="35"/>
      <c r="W1348" s="35"/>
      <c r="X1348" s="35"/>
    </row>
    <row r="1349" spans="4:24" x14ac:dyDescent="0.3">
      <c r="D1349" s="23">
        <v>41540</v>
      </c>
      <c r="E1349" s="5">
        <v>140.62463399999999</v>
      </c>
      <c r="F1349" s="28">
        <v>60.426720000000003</v>
      </c>
      <c r="G1349" s="28">
        <v>127.55</v>
      </c>
      <c r="H1349" s="28">
        <v>71.954790000000003</v>
      </c>
      <c r="I1349" s="28">
        <v>73.379779999999997</v>
      </c>
      <c r="J1349" s="29"/>
      <c r="K1349" s="29"/>
      <c r="L1349" s="29"/>
      <c r="M1349" s="29"/>
      <c r="N1349" s="29"/>
      <c r="P1349" s="4">
        <f t="shared" ref="P1349:T1364" si="86">LN(E1349/E1348)</f>
        <v>-4.6382202399091405E-3</v>
      </c>
      <c r="Q1349" s="4">
        <f t="shared" si="86"/>
        <v>7.4464987101843501E-4</v>
      </c>
      <c r="R1349" s="4">
        <f t="shared" si="86"/>
        <v>-3.2092704934968208E-3</v>
      </c>
      <c r="S1349" s="4">
        <f t="shared" si="86"/>
        <v>-2.0274121920018902E-3</v>
      </c>
      <c r="T1349" s="4">
        <f t="shared" si="86"/>
        <v>-4.5269550600749138E-3</v>
      </c>
      <c r="U1349" s="35"/>
      <c r="V1349" s="35"/>
      <c r="W1349" s="35"/>
      <c r="X1349" s="35"/>
    </row>
    <row r="1350" spans="4:24" x14ac:dyDescent="0.3">
      <c r="D1350" s="23">
        <v>41541</v>
      </c>
      <c r="E1350" s="5">
        <v>140.29361</v>
      </c>
      <c r="F1350" s="28">
        <v>60.554250000000003</v>
      </c>
      <c r="G1350" s="28">
        <v>127.66</v>
      </c>
      <c r="H1350" s="28">
        <v>71.954790000000003</v>
      </c>
      <c r="I1350" s="28">
        <v>73.263540000000006</v>
      </c>
      <c r="J1350" s="29"/>
      <c r="K1350" s="29"/>
      <c r="L1350" s="29"/>
      <c r="M1350" s="29"/>
      <c r="N1350" s="29"/>
      <c r="P1350" s="4">
        <f t="shared" si="86"/>
        <v>-2.3567294775892365E-3</v>
      </c>
      <c r="Q1350" s="4">
        <f t="shared" si="86"/>
        <v>2.108266237854844E-3</v>
      </c>
      <c r="R1350" s="4">
        <f t="shared" si="86"/>
        <v>8.6203524009075775E-4</v>
      </c>
      <c r="S1350" s="4">
        <f t="shared" si="86"/>
        <v>0</v>
      </c>
      <c r="T1350" s="4">
        <f t="shared" si="86"/>
        <v>-1.5853435989532671E-3</v>
      </c>
      <c r="U1350" s="35"/>
      <c r="V1350" s="35"/>
      <c r="W1350" s="35"/>
      <c r="X1350" s="35"/>
    </row>
    <row r="1351" spans="4:24" x14ac:dyDescent="0.3">
      <c r="D1351" s="23">
        <v>41542</v>
      </c>
      <c r="E1351" s="5">
        <v>139.888092</v>
      </c>
      <c r="F1351" s="28">
        <v>60.681690000000003</v>
      </c>
      <c r="G1351" s="28">
        <v>128.79</v>
      </c>
      <c r="H1351" s="28">
        <v>71.708330000000004</v>
      </c>
      <c r="I1351" s="28">
        <v>73.130650000000003</v>
      </c>
      <c r="J1351" s="29"/>
      <c r="K1351" s="29"/>
      <c r="L1351" s="29"/>
      <c r="M1351" s="29"/>
      <c r="N1351" s="29"/>
      <c r="P1351" s="4">
        <f t="shared" si="86"/>
        <v>-2.8946807037304005E-3</v>
      </c>
      <c r="Q1351" s="4">
        <f t="shared" si="86"/>
        <v>2.102347652667624E-3</v>
      </c>
      <c r="R1351" s="4">
        <f t="shared" si="86"/>
        <v>8.8126910766677165E-3</v>
      </c>
      <c r="S1351" s="4">
        <f t="shared" si="86"/>
        <v>-3.4310857481640354E-3</v>
      </c>
      <c r="T1351" s="4">
        <f t="shared" si="86"/>
        <v>-1.815509707062752E-3</v>
      </c>
      <c r="U1351" s="35"/>
      <c r="V1351" s="35"/>
      <c r="W1351" s="35"/>
      <c r="X1351" s="35"/>
    </row>
    <row r="1352" spans="4:24" x14ac:dyDescent="0.3">
      <c r="D1352" s="23">
        <v>41543</v>
      </c>
      <c r="E1352" s="5">
        <v>140.42602500000001</v>
      </c>
      <c r="F1352" s="28">
        <v>60.591720000000002</v>
      </c>
      <c r="G1352" s="28">
        <v>127.79</v>
      </c>
      <c r="H1352" s="28">
        <v>72.265129999999999</v>
      </c>
      <c r="I1352" s="28">
        <v>73.412970000000001</v>
      </c>
      <c r="J1352" s="29"/>
      <c r="K1352" s="29"/>
      <c r="L1352" s="29"/>
      <c r="M1352" s="29"/>
      <c r="N1352" s="29"/>
      <c r="P1352" s="4">
        <f t="shared" si="86"/>
        <v>3.8380775546186068E-3</v>
      </c>
      <c r="Q1352" s="4">
        <f t="shared" si="86"/>
        <v>-1.4837550375794031E-3</v>
      </c>
      <c r="R1352" s="4">
        <f t="shared" si="86"/>
        <v>-7.7948792839668572E-3</v>
      </c>
      <c r="S1352" s="4">
        <f t="shared" si="86"/>
        <v>7.7347974546736874E-3</v>
      </c>
      <c r="T1352" s="4">
        <f t="shared" si="86"/>
        <v>3.8530554831068126E-3</v>
      </c>
      <c r="U1352" s="35"/>
      <c r="V1352" s="35"/>
      <c r="W1352" s="35"/>
      <c r="X1352" s="35"/>
    </row>
    <row r="1353" spans="4:24" x14ac:dyDescent="0.3">
      <c r="D1353" s="23">
        <v>41544</v>
      </c>
      <c r="E1353" s="5">
        <v>139.78054800000001</v>
      </c>
      <c r="F1353" s="28">
        <v>60.60671</v>
      </c>
      <c r="G1353" s="28">
        <v>128.97</v>
      </c>
      <c r="H1353" s="28">
        <v>72.173860000000005</v>
      </c>
      <c r="I1353" s="28">
        <v>73.122349999999997</v>
      </c>
      <c r="J1353" s="29"/>
      <c r="K1353" s="29"/>
      <c r="L1353" s="29"/>
      <c r="M1353" s="29"/>
      <c r="N1353" s="29"/>
      <c r="P1353" s="4">
        <f t="shared" si="86"/>
        <v>-4.6071591742160509E-3</v>
      </c>
      <c r="Q1353" s="4">
        <f t="shared" si="86"/>
        <v>2.4736294152377712E-4</v>
      </c>
      <c r="R1353" s="4">
        <f t="shared" si="86"/>
        <v>9.1915275556879606E-3</v>
      </c>
      <c r="S1353" s="4">
        <f t="shared" si="86"/>
        <v>-1.263786352254246E-3</v>
      </c>
      <c r="T1353" s="4">
        <f t="shared" si="86"/>
        <v>-3.9665574284880843E-3</v>
      </c>
      <c r="U1353" s="35"/>
      <c r="V1353" s="35"/>
      <c r="W1353" s="35"/>
      <c r="X1353" s="35"/>
    </row>
    <row r="1354" spans="4:24" x14ac:dyDescent="0.3">
      <c r="D1354" s="23">
        <v>41547</v>
      </c>
      <c r="E1354" s="5">
        <v>139.035721</v>
      </c>
      <c r="F1354" s="28">
        <v>60.644219999999997</v>
      </c>
      <c r="G1354" s="28">
        <v>128.18</v>
      </c>
      <c r="H1354" s="28">
        <v>72.000410000000002</v>
      </c>
      <c r="I1354" s="28">
        <v>72.781880000000001</v>
      </c>
      <c r="J1354" s="29"/>
      <c r="K1354" s="29"/>
      <c r="L1354" s="29"/>
      <c r="M1354" s="29"/>
      <c r="N1354" s="29"/>
      <c r="P1354" s="4">
        <f t="shared" si="86"/>
        <v>-5.3427927606575195E-3</v>
      </c>
      <c r="Q1354" s="4">
        <f t="shared" si="86"/>
        <v>6.1871692359961406E-4</v>
      </c>
      <c r="R1354" s="4">
        <f t="shared" si="86"/>
        <v>-6.144293100219014E-3</v>
      </c>
      <c r="S1354" s="4">
        <f t="shared" si="86"/>
        <v>-2.4061170371236736E-3</v>
      </c>
      <c r="T1354" s="4">
        <f t="shared" si="86"/>
        <v>-4.6670424564015083E-3</v>
      </c>
      <c r="U1354" s="35"/>
      <c r="V1354" s="35"/>
      <c r="W1354" s="35"/>
      <c r="X1354" s="35"/>
    </row>
    <row r="1355" spans="4:24" x14ac:dyDescent="0.3">
      <c r="D1355" s="23">
        <v>41548</v>
      </c>
      <c r="E1355" s="5">
        <v>140.13639800000001</v>
      </c>
      <c r="F1355" s="28">
        <v>60.570549999999997</v>
      </c>
      <c r="G1355" s="28">
        <v>124.59</v>
      </c>
      <c r="H1355" s="28">
        <v>72.730639999999994</v>
      </c>
      <c r="I1355" s="28">
        <v>73.412970000000001</v>
      </c>
      <c r="J1355" s="29"/>
      <c r="K1355" s="29"/>
      <c r="L1355" s="29"/>
      <c r="M1355" s="29"/>
      <c r="N1355" s="29"/>
      <c r="P1355" s="4">
        <f t="shared" si="86"/>
        <v>7.8853340164470598E-3</v>
      </c>
      <c r="Q1355" s="4">
        <f t="shared" si="86"/>
        <v>-1.2155285873277012E-3</v>
      </c>
      <c r="R1355" s="4">
        <f t="shared" si="86"/>
        <v>-2.8407179765308949E-2</v>
      </c>
      <c r="S1355" s="4">
        <f t="shared" si="86"/>
        <v>1.0090940353458361E-2</v>
      </c>
      <c r="T1355" s="4">
        <f t="shared" si="86"/>
        <v>8.633599884889518E-3</v>
      </c>
      <c r="U1355" s="35"/>
      <c r="V1355" s="35"/>
      <c r="W1355" s="35"/>
      <c r="X1355" s="35"/>
    </row>
    <row r="1356" spans="4:24" x14ac:dyDescent="0.3">
      <c r="D1356" s="23">
        <v>41549</v>
      </c>
      <c r="E1356" s="5">
        <v>140.00402800000001</v>
      </c>
      <c r="F1356" s="28">
        <v>60.638170000000002</v>
      </c>
      <c r="G1356" s="28">
        <v>127.06</v>
      </c>
      <c r="H1356" s="28">
        <v>72.703249999999997</v>
      </c>
      <c r="I1356" s="28">
        <v>73.288449999999997</v>
      </c>
      <c r="J1356" s="29"/>
      <c r="K1356" s="29"/>
      <c r="L1356" s="29"/>
      <c r="M1356" s="29"/>
      <c r="N1356" s="29"/>
      <c r="P1356" s="4">
        <f t="shared" si="86"/>
        <v>-9.4502611951743378E-4</v>
      </c>
      <c r="Q1356" s="4">
        <f t="shared" si="86"/>
        <v>1.115761424015502E-3</v>
      </c>
      <c r="R1356" s="4">
        <f t="shared" si="86"/>
        <v>1.9631069527615272E-2</v>
      </c>
      <c r="S1356" s="4">
        <f t="shared" si="86"/>
        <v>-3.7666599337790894E-4</v>
      </c>
      <c r="T1356" s="4">
        <f t="shared" si="86"/>
        <v>-1.697598154181339E-3</v>
      </c>
      <c r="U1356" s="35"/>
      <c r="V1356" s="35"/>
      <c r="W1356" s="35"/>
      <c r="X1356" s="35"/>
    </row>
    <row r="1357" spans="4:24" x14ac:dyDescent="0.3">
      <c r="D1357" s="23">
        <v>41550</v>
      </c>
      <c r="E1357" s="5">
        <v>138.71301299999999</v>
      </c>
      <c r="F1357" s="28">
        <v>60.668210000000002</v>
      </c>
      <c r="G1357" s="28">
        <v>127.18</v>
      </c>
      <c r="H1357" s="28">
        <v>71.854380000000006</v>
      </c>
      <c r="I1357" s="28">
        <v>72.665629999999993</v>
      </c>
      <c r="J1357" s="29"/>
      <c r="K1357" s="29"/>
      <c r="L1357" s="29"/>
      <c r="M1357" s="29"/>
      <c r="N1357" s="29"/>
      <c r="P1357" s="4">
        <f t="shared" si="86"/>
        <v>-9.2640495073059072E-3</v>
      </c>
      <c r="Q1357" s="4">
        <f t="shared" si="86"/>
        <v>4.9527486706081407E-4</v>
      </c>
      <c r="R1357" s="4">
        <f t="shared" si="86"/>
        <v>9.4399000087459924E-4</v>
      </c>
      <c r="S1357" s="4">
        <f t="shared" si="86"/>
        <v>-1.1744516803309272E-2</v>
      </c>
      <c r="T1357" s="4">
        <f t="shared" si="86"/>
        <v>-8.5345168892558085E-3</v>
      </c>
      <c r="U1357" s="35"/>
      <c r="V1357" s="35"/>
      <c r="W1357" s="35"/>
      <c r="X1357" s="35"/>
    </row>
    <row r="1358" spans="4:24" x14ac:dyDescent="0.3">
      <c r="D1358" s="23">
        <v>41551</v>
      </c>
      <c r="E1358" s="5">
        <v>139.763947</v>
      </c>
      <c r="F1358" s="28">
        <v>60.600610000000003</v>
      </c>
      <c r="G1358" s="28">
        <v>126.53</v>
      </c>
      <c r="H1358" s="28">
        <v>72.475080000000005</v>
      </c>
      <c r="I1358" s="28">
        <v>73.197069999999997</v>
      </c>
      <c r="J1358" s="29"/>
      <c r="K1358" s="29"/>
      <c r="L1358" s="29"/>
      <c r="M1358" s="29"/>
      <c r="N1358" s="29"/>
      <c r="P1358" s="4">
        <f t="shared" si="86"/>
        <v>7.5477625810935166E-3</v>
      </c>
      <c r="Q1358" s="4">
        <f t="shared" si="86"/>
        <v>-1.1148786143375402E-3</v>
      </c>
      <c r="R1358" s="4">
        <f t="shared" si="86"/>
        <v>-5.1239716380894586E-3</v>
      </c>
      <c r="S1358" s="4">
        <f t="shared" si="86"/>
        <v>8.6012076349588889E-3</v>
      </c>
      <c r="T1358" s="4">
        <f t="shared" si="86"/>
        <v>7.2868848795745317E-3</v>
      </c>
      <c r="U1358" s="35"/>
      <c r="V1358" s="35"/>
      <c r="W1358" s="35"/>
      <c r="X1358" s="35"/>
    </row>
    <row r="1359" spans="4:24" x14ac:dyDescent="0.3">
      <c r="D1359" s="23">
        <v>41554</v>
      </c>
      <c r="E1359" s="5">
        <v>138.55578600000001</v>
      </c>
      <c r="F1359" s="28">
        <v>60.645710000000001</v>
      </c>
      <c r="G1359" s="28">
        <v>127.64</v>
      </c>
      <c r="H1359" s="28">
        <v>71.872649999999993</v>
      </c>
      <c r="I1359" s="28">
        <v>72.541070000000005</v>
      </c>
      <c r="J1359" s="29"/>
      <c r="K1359" s="29"/>
      <c r="L1359" s="29"/>
      <c r="M1359" s="29"/>
      <c r="N1359" s="29"/>
      <c r="P1359" s="4">
        <f t="shared" si="86"/>
        <v>-8.681875163679768E-3</v>
      </c>
      <c r="Q1359" s="4">
        <f t="shared" si="86"/>
        <v>7.4394013904965917E-4</v>
      </c>
      <c r="R1359" s="4">
        <f t="shared" si="86"/>
        <v>8.7343672088705058E-3</v>
      </c>
      <c r="S1359" s="4">
        <f t="shared" si="86"/>
        <v>-8.3469757051905531E-3</v>
      </c>
      <c r="T1359" s="4">
        <f t="shared" si="86"/>
        <v>-9.0025086152852873E-3</v>
      </c>
      <c r="U1359" s="35"/>
      <c r="V1359" s="35"/>
      <c r="W1359" s="35"/>
      <c r="X1359" s="35"/>
    </row>
    <row r="1360" spans="4:24" x14ac:dyDescent="0.3">
      <c r="D1360" s="23">
        <v>41555</v>
      </c>
      <c r="E1360" s="5">
        <v>136.942047</v>
      </c>
      <c r="F1360" s="28">
        <v>60.623139999999999</v>
      </c>
      <c r="G1360" s="28">
        <v>127.4</v>
      </c>
      <c r="H1360" s="28">
        <v>70.485209999999995</v>
      </c>
      <c r="I1360" s="28">
        <v>71.577839999999995</v>
      </c>
      <c r="J1360" s="29"/>
      <c r="K1360" s="29"/>
      <c r="L1360" s="29"/>
      <c r="M1360" s="29"/>
      <c r="N1360" s="29"/>
      <c r="P1360" s="4">
        <f t="shared" si="86"/>
        <v>-1.1715209800424106E-2</v>
      </c>
      <c r="Q1360" s="4">
        <f t="shared" si="86"/>
        <v>-3.7223079563473668E-4</v>
      </c>
      <c r="R1360" s="4">
        <f t="shared" si="86"/>
        <v>-1.8820582719797326E-3</v>
      </c>
      <c r="S1360" s="4">
        <f t="shared" si="86"/>
        <v>-1.9492902355065542E-2</v>
      </c>
      <c r="T1360" s="4">
        <f t="shared" si="86"/>
        <v>-1.3367355372710376E-2</v>
      </c>
      <c r="U1360" s="35"/>
      <c r="V1360" s="35"/>
      <c r="W1360" s="35"/>
      <c r="X1360" s="35"/>
    </row>
    <row r="1361" spans="4:24" x14ac:dyDescent="0.3">
      <c r="D1361" s="23">
        <v>41556</v>
      </c>
      <c r="E1361" s="5">
        <v>137.04139699999999</v>
      </c>
      <c r="F1361" s="28">
        <v>60.585569999999997</v>
      </c>
      <c r="G1361" s="28">
        <v>126.11</v>
      </c>
      <c r="H1361" s="28">
        <v>70.266149999999996</v>
      </c>
      <c r="I1361" s="28">
        <v>71.528049999999993</v>
      </c>
      <c r="J1361" s="29"/>
      <c r="K1361" s="29"/>
      <c r="L1361" s="29"/>
      <c r="M1361" s="29"/>
      <c r="N1361" s="29"/>
      <c r="P1361" s="4">
        <f t="shared" si="86"/>
        <v>7.2522633414632241E-4</v>
      </c>
      <c r="Q1361" s="4">
        <f t="shared" si="86"/>
        <v>-6.1992246602069704E-4</v>
      </c>
      <c r="R1361" s="4">
        <f t="shared" si="86"/>
        <v>-1.0177201170279881E-2</v>
      </c>
      <c r="S1361" s="4">
        <f t="shared" si="86"/>
        <v>-3.1127255448724039E-3</v>
      </c>
      <c r="T1361" s="4">
        <f t="shared" si="86"/>
        <v>-6.9584839602404125E-4</v>
      </c>
      <c r="U1361" s="35"/>
      <c r="V1361" s="35"/>
      <c r="W1361" s="35"/>
      <c r="X1361" s="35"/>
    </row>
    <row r="1362" spans="4:24" x14ac:dyDescent="0.3">
      <c r="D1362" s="23">
        <v>41557</v>
      </c>
      <c r="E1362" s="5">
        <v>139.995667</v>
      </c>
      <c r="F1362" s="28">
        <v>60.600610000000003</v>
      </c>
      <c r="G1362" s="28">
        <v>124.27</v>
      </c>
      <c r="H1362" s="28">
        <v>71.753960000000006</v>
      </c>
      <c r="I1362" s="28">
        <v>73.138990000000007</v>
      </c>
      <c r="J1362" s="29"/>
      <c r="K1362" s="29"/>
      <c r="L1362" s="29"/>
      <c r="M1362" s="29"/>
      <c r="N1362" s="29"/>
      <c r="P1362" s="4">
        <f t="shared" si="86"/>
        <v>2.1328424062527093E-2</v>
      </c>
      <c r="Q1362" s="4">
        <f t="shared" si="86"/>
        <v>2.4821312260553326E-4</v>
      </c>
      <c r="R1362" s="4">
        <f t="shared" si="86"/>
        <v>-1.4697924149879879E-2</v>
      </c>
      <c r="S1362" s="4">
        <f t="shared" si="86"/>
        <v>2.0952869723470817E-2</v>
      </c>
      <c r="T1362" s="4">
        <f t="shared" si="86"/>
        <v>2.2271923032992046E-2</v>
      </c>
      <c r="U1362" s="35"/>
      <c r="V1362" s="35"/>
      <c r="W1362" s="35"/>
      <c r="X1362" s="35"/>
    </row>
    <row r="1363" spans="4:24" x14ac:dyDescent="0.3">
      <c r="D1363" s="23">
        <v>41558</v>
      </c>
      <c r="E1363" s="5">
        <v>140.89773600000001</v>
      </c>
      <c r="F1363" s="28">
        <v>60.623139999999999</v>
      </c>
      <c r="G1363" s="28">
        <v>122.6</v>
      </c>
      <c r="H1363" s="28">
        <v>72.319890000000001</v>
      </c>
      <c r="I1363" s="28">
        <v>73.653790000000001</v>
      </c>
      <c r="J1363" s="29"/>
      <c r="K1363" s="29"/>
      <c r="L1363" s="29"/>
      <c r="M1363" s="29"/>
      <c r="N1363" s="29"/>
      <c r="P1363" s="4">
        <f t="shared" si="86"/>
        <v>6.4228785117697385E-3</v>
      </c>
      <c r="Q1363" s="4">
        <f t="shared" si="86"/>
        <v>3.7170934341514464E-4</v>
      </c>
      <c r="R1363" s="4">
        <f t="shared" si="86"/>
        <v>-1.3529594315792247E-2</v>
      </c>
      <c r="S1363" s="4">
        <f t="shared" si="86"/>
        <v>7.8561503107063228E-3</v>
      </c>
      <c r="T1363" s="4">
        <f t="shared" si="86"/>
        <v>7.0139976981658195E-3</v>
      </c>
      <c r="U1363" s="35"/>
      <c r="V1363" s="35"/>
      <c r="W1363" s="35"/>
      <c r="X1363" s="35"/>
    </row>
    <row r="1364" spans="4:24" x14ac:dyDescent="0.3">
      <c r="D1364" s="23">
        <v>41561</v>
      </c>
      <c r="E1364" s="5">
        <v>141.46049500000001</v>
      </c>
      <c r="F1364" s="28">
        <v>60.502949999999998</v>
      </c>
      <c r="G1364" s="28">
        <v>122.83</v>
      </c>
      <c r="H1364" s="28">
        <v>72.831059999999994</v>
      </c>
      <c r="I1364" s="28">
        <v>73.977639999999994</v>
      </c>
      <c r="J1364" s="29"/>
      <c r="K1364" s="29"/>
      <c r="L1364" s="29"/>
      <c r="M1364" s="29"/>
      <c r="N1364" s="29"/>
      <c r="P1364" s="4">
        <f t="shared" si="86"/>
        <v>3.986140182003977E-3</v>
      </c>
      <c r="Q1364" s="4">
        <f t="shared" si="86"/>
        <v>-1.984544195994707E-3</v>
      </c>
      <c r="R1364" s="4">
        <f t="shared" si="86"/>
        <v>1.8742620488920118E-3</v>
      </c>
      <c r="S1364" s="4">
        <f t="shared" si="86"/>
        <v>7.0433175006944342E-3</v>
      </c>
      <c r="T1364" s="4">
        <f t="shared" si="86"/>
        <v>4.3872841909382686E-3</v>
      </c>
      <c r="U1364" s="35"/>
      <c r="V1364" s="35"/>
      <c r="W1364" s="35"/>
      <c r="X1364" s="35"/>
    </row>
    <row r="1365" spans="4:24" x14ac:dyDescent="0.3">
      <c r="D1365" s="23">
        <v>41562</v>
      </c>
      <c r="E1365" s="5">
        <v>140.43426500000001</v>
      </c>
      <c r="F1365" s="28">
        <v>60.487879999999997</v>
      </c>
      <c r="G1365" s="28">
        <v>123.73</v>
      </c>
      <c r="H1365" s="28">
        <v>72.548090000000002</v>
      </c>
      <c r="I1365" s="28">
        <v>73.412970000000001</v>
      </c>
      <c r="J1365" s="29"/>
      <c r="K1365" s="29"/>
      <c r="L1365" s="29"/>
      <c r="M1365" s="29"/>
      <c r="N1365" s="29"/>
      <c r="P1365" s="4">
        <f t="shared" ref="P1365:T1380" si="87">LN(E1365/E1364)</f>
        <v>-7.2809763018704086E-3</v>
      </c>
      <c r="Q1365" s="4">
        <f t="shared" si="87"/>
        <v>-2.4910978919535156E-4</v>
      </c>
      <c r="R1365" s="4">
        <f t="shared" si="87"/>
        <v>7.3004866748814954E-3</v>
      </c>
      <c r="S1365" s="4">
        <f t="shared" si="87"/>
        <v>-3.8928602533769697E-3</v>
      </c>
      <c r="T1365" s="4">
        <f t="shared" si="87"/>
        <v>-7.6622623742139528E-3</v>
      </c>
      <c r="U1365" s="35"/>
      <c r="V1365" s="35"/>
      <c r="W1365" s="35"/>
      <c r="X1365" s="35"/>
    </row>
    <row r="1366" spans="4:24" x14ac:dyDescent="0.3">
      <c r="D1366" s="23">
        <v>41563</v>
      </c>
      <c r="E1366" s="5">
        <v>142.39558400000001</v>
      </c>
      <c r="F1366" s="28">
        <v>60.743400000000001</v>
      </c>
      <c r="G1366" s="28">
        <v>123.54</v>
      </c>
      <c r="H1366" s="28">
        <v>73.369619999999998</v>
      </c>
      <c r="I1366" s="28">
        <v>74.442639999999997</v>
      </c>
      <c r="J1366" s="29"/>
      <c r="K1366" s="29"/>
      <c r="L1366" s="29"/>
      <c r="M1366" s="29"/>
      <c r="N1366" s="29"/>
      <c r="P1366" s="4">
        <f t="shared" si="87"/>
        <v>1.3869472738815964E-2</v>
      </c>
      <c r="Q1366" s="4">
        <f t="shared" si="87"/>
        <v>4.2154199539497514E-3</v>
      </c>
      <c r="R1366" s="4">
        <f t="shared" si="87"/>
        <v>-1.5367819581312307E-3</v>
      </c>
      <c r="S1366" s="4">
        <f t="shared" si="87"/>
        <v>1.1260301171540194E-2</v>
      </c>
      <c r="T1366" s="4">
        <f t="shared" si="87"/>
        <v>1.3928272941448138E-2</v>
      </c>
      <c r="U1366" s="35"/>
      <c r="V1366" s="35"/>
      <c r="W1366" s="35"/>
      <c r="X1366" s="35"/>
    </row>
    <row r="1367" spans="4:24" x14ac:dyDescent="0.3">
      <c r="D1367" s="23">
        <v>41564</v>
      </c>
      <c r="E1367" s="5">
        <v>143.347275</v>
      </c>
      <c r="F1367" s="28">
        <v>60.953780000000002</v>
      </c>
      <c r="G1367" s="28">
        <v>127.42</v>
      </c>
      <c r="H1367" s="28">
        <v>73.789490000000001</v>
      </c>
      <c r="I1367" s="28">
        <v>74.990660000000005</v>
      </c>
      <c r="J1367" s="29"/>
      <c r="K1367" s="29"/>
      <c r="L1367" s="29"/>
      <c r="M1367" s="29"/>
      <c r="N1367" s="29"/>
      <c r="P1367" s="4">
        <f t="shared" si="87"/>
        <v>6.6611954701258965E-3</v>
      </c>
      <c r="Q1367" s="4">
        <f t="shared" si="87"/>
        <v>3.4574377084386019E-3</v>
      </c>
      <c r="R1367" s="4">
        <f t="shared" si="87"/>
        <v>3.092372642058909E-2</v>
      </c>
      <c r="S1367" s="4">
        <f t="shared" si="87"/>
        <v>5.7063560568435655E-3</v>
      </c>
      <c r="T1367" s="4">
        <f t="shared" si="87"/>
        <v>7.3346764990002127E-3</v>
      </c>
      <c r="U1367" s="35"/>
      <c r="V1367" s="35"/>
      <c r="W1367" s="35"/>
      <c r="X1367" s="35"/>
    </row>
    <row r="1368" spans="4:24" x14ac:dyDescent="0.3">
      <c r="D1368" s="23">
        <v>41565</v>
      </c>
      <c r="E1368" s="5">
        <v>144.31547499999999</v>
      </c>
      <c r="F1368" s="28">
        <v>61.021419999999999</v>
      </c>
      <c r="G1368" s="28">
        <v>126.85</v>
      </c>
      <c r="H1368" s="28">
        <v>74.985230000000001</v>
      </c>
      <c r="I1368" s="28">
        <v>75.522080000000003</v>
      </c>
      <c r="J1368" s="29"/>
      <c r="K1368" s="29"/>
      <c r="L1368" s="29"/>
      <c r="M1368" s="29"/>
      <c r="N1368" s="29"/>
      <c r="P1368" s="4">
        <f t="shared" si="87"/>
        <v>6.7315191558820452E-3</v>
      </c>
      <c r="Q1368" s="4">
        <f t="shared" si="87"/>
        <v>1.109078024605134E-3</v>
      </c>
      <c r="R1368" s="4">
        <f t="shared" si="87"/>
        <v>-4.4834306430513102E-3</v>
      </c>
      <c r="S1368" s="4">
        <f t="shared" si="87"/>
        <v>1.6074851268295404E-2</v>
      </c>
      <c r="T1368" s="4">
        <f t="shared" si="87"/>
        <v>7.0614913827846543E-3</v>
      </c>
      <c r="U1368" s="35"/>
      <c r="V1368" s="35"/>
      <c r="W1368" s="35"/>
      <c r="X1368" s="35"/>
    </row>
    <row r="1369" spans="4:24" x14ac:dyDescent="0.3">
      <c r="D1369" s="23">
        <v>41568</v>
      </c>
      <c r="E1369" s="5">
        <v>144.32376099999999</v>
      </c>
      <c r="F1369" s="28">
        <v>60.946260000000002</v>
      </c>
      <c r="G1369" s="28">
        <v>126.98</v>
      </c>
      <c r="H1369" s="28">
        <v>75.149529999999999</v>
      </c>
      <c r="I1369" s="28">
        <v>75.480580000000003</v>
      </c>
      <c r="J1369" s="29"/>
      <c r="K1369" s="29"/>
      <c r="L1369" s="29"/>
      <c r="M1369" s="29"/>
      <c r="N1369" s="29"/>
      <c r="P1369" s="4">
        <f t="shared" si="87"/>
        <v>5.741423180783139E-5</v>
      </c>
      <c r="Q1369" s="4">
        <f t="shared" si="87"/>
        <v>-1.2324578038001434E-3</v>
      </c>
      <c r="R1369" s="4">
        <f t="shared" si="87"/>
        <v>1.0243076970129939E-3</v>
      </c>
      <c r="S1369" s="4">
        <f t="shared" si="87"/>
        <v>2.1887012120143023E-3</v>
      </c>
      <c r="T1369" s="4">
        <f t="shared" si="87"/>
        <v>-5.4965920527296104E-4</v>
      </c>
      <c r="U1369" s="35"/>
      <c r="V1369" s="35"/>
      <c r="W1369" s="35"/>
      <c r="X1369" s="35"/>
    </row>
    <row r="1370" spans="4:24" x14ac:dyDescent="0.3">
      <c r="D1370" s="23">
        <v>41569</v>
      </c>
      <c r="E1370" s="5">
        <v>145.15960699999999</v>
      </c>
      <c r="F1370" s="28">
        <v>61.141579999999998</v>
      </c>
      <c r="G1370" s="28">
        <v>129.34</v>
      </c>
      <c r="H1370" s="28">
        <v>75.259060000000005</v>
      </c>
      <c r="I1370" s="28">
        <v>75.912409999999994</v>
      </c>
      <c r="J1370" s="29"/>
      <c r="K1370" s="29"/>
      <c r="L1370" s="29"/>
      <c r="M1370" s="29"/>
      <c r="N1370" s="29"/>
      <c r="P1370" s="4">
        <f t="shared" si="87"/>
        <v>5.7747588649279839E-3</v>
      </c>
      <c r="Q1370" s="4">
        <f t="shared" si="87"/>
        <v>3.1996661852361392E-3</v>
      </c>
      <c r="R1370" s="4">
        <f t="shared" si="87"/>
        <v>1.8415002276142886E-2</v>
      </c>
      <c r="S1370" s="4">
        <f t="shared" si="87"/>
        <v>1.4564330316670182E-3</v>
      </c>
      <c r="T1370" s="4">
        <f t="shared" si="87"/>
        <v>5.7047710219232054E-3</v>
      </c>
      <c r="U1370" s="35"/>
      <c r="V1370" s="35"/>
      <c r="W1370" s="35"/>
      <c r="X1370" s="35"/>
    </row>
    <row r="1371" spans="4:24" x14ac:dyDescent="0.3">
      <c r="D1371" s="23">
        <v>41570</v>
      </c>
      <c r="E1371" s="5">
        <v>144.464493</v>
      </c>
      <c r="F1371" s="28">
        <v>61.171680000000002</v>
      </c>
      <c r="G1371" s="28">
        <v>128.69</v>
      </c>
      <c r="H1371" s="28">
        <v>74.802670000000006</v>
      </c>
      <c r="I1371" s="28">
        <v>75.555329999999998</v>
      </c>
      <c r="J1371" s="29"/>
      <c r="K1371" s="29"/>
      <c r="L1371" s="29"/>
      <c r="M1371" s="29"/>
      <c r="N1371" s="29"/>
      <c r="P1371" s="4">
        <f t="shared" si="87"/>
        <v>-4.8001208095979023E-3</v>
      </c>
      <c r="Q1371" s="4">
        <f t="shared" si="87"/>
        <v>4.9217886282519629E-4</v>
      </c>
      <c r="R1371" s="4">
        <f t="shared" si="87"/>
        <v>-5.0381845128733152E-3</v>
      </c>
      <c r="S1371" s="4">
        <f t="shared" si="87"/>
        <v>-6.0827155222038225E-3</v>
      </c>
      <c r="T1371" s="4">
        <f t="shared" si="87"/>
        <v>-4.7149401121334544E-3</v>
      </c>
      <c r="U1371" s="35"/>
      <c r="V1371" s="35"/>
      <c r="W1371" s="35"/>
      <c r="X1371" s="35"/>
    </row>
    <row r="1372" spans="4:24" x14ac:dyDescent="0.3">
      <c r="D1372" s="23">
        <v>41571</v>
      </c>
      <c r="E1372" s="5">
        <v>144.944458</v>
      </c>
      <c r="F1372" s="28">
        <v>61.171680000000002</v>
      </c>
      <c r="G1372" s="28">
        <v>129.9</v>
      </c>
      <c r="H1372" s="28">
        <v>75.131290000000007</v>
      </c>
      <c r="I1372" s="28">
        <v>75.845969999999994</v>
      </c>
      <c r="J1372" s="29"/>
      <c r="K1372" s="29"/>
      <c r="L1372" s="29"/>
      <c r="M1372" s="29"/>
      <c r="N1372" s="29"/>
      <c r="P1372" s="4">
        <f t="shared" si="87"/>
        <v>3.3168665887737666E-3</v>
      </c>
      <c r="Q1372" s="4">
        <f t="shared" si="87"/>
        <v>0</v>
      </c>
      <c r="R1372" s="4">
        <f t="shared" si="87"/>
        <v>9.3585121709803994E-3</v>
      </c>
      <c r="S1372" s="4">
        <f t="shared" si="87"/>
        <v>4.3835369413768215E-3</v>
      </c>
      <c r="T1372" s="4">
        <f t="shared" si="87"/>
        <v>3.8393376677102074E-3</v>
      </c>
      <c r="U1372" s="35"/>
      <c r="V1372" s="35"/>
      <c r="W1372" s="35"/>
      <c r="X1372" s="35"/>
    </row>
    <row r="1373" spans="4:24" x14ac:dyDescent="0.3">
      <c r="D1373" s="23">
        <v>41572</v>
      </c>
      <c r="E1373" s="5">
        <v>145.60644500000001</v>
      </c>
      <c r="F1373" s="28">
        <v>61.2393</v>
      </c>
      <c r="G1373" s="28">
        <v>130.46</v>
      </c>
      <c r="H1373" s="28">
        <v>75.669790000000006</v>
      </c>
      <c r="I1373" s="28">
        <v>76.119969999999995</v>
      </c>
      <c r="J1373" s="29"/>
      <c r="K1373" s="29"/>
      <c r="L1373" s="29"/>
      <c r="M1373" s="29"/>
      <c r="N1373" s="29"/>
      <c r="P1373" s="4">
        <f t="shared" si="87"/>
        <v>4.5567791298230156E-3</v>
      </c>
      <c r="Q1373" s="4">
        <f t="shared" si="87"/>
        <v>1.1048029658454136E-3</v>
      </c>
      <c r="R1373" s="4">
        <f t="shared" si="87"/>
        <v>4.3017426913961711E-3</v>
      </c>
      <c r="S1373" s="4">
        <f t="shared" si="87"/>
        <v>7.1418890225225119E-3</v>
      </c>
      <c r="T1373" s="4">
        <f t="shared" si="87"/>
        <v>3.6060751102453843E-3</v>
      </c>
      <c r="U1373" s="35"/>
      <c r="V1373" s="35"/>
      <c r="W1373" s="35"/>
      <c r="X1373" s="35"/>
    </row>
    <row r="1374" spans="4:24" x14ac:dyDescent="0.3">
      <c r="D1374" s="23">
        <v>41575</v>
      </c>
      <c r="E1374" s="5">
        <v>145.83815000000001</v>
      </c>
      <c r="F1374" s="28">
        <v>61.186689999999999</v>
      </c>
      <c r="G1374" s="28">
        <v>130.56</v>
      </c>
      <c r="H1374" s="28">
        <v>75.688040000000001</v>
      </c>
      <c r="I1374" s="28">
        <v>76.178129999999996</v>
      </c>
      <c r="J1374" s="29"/>
      <c r="K1374" s="29"/>
      <c r="L1374" s="29"/>
      <c r="M1374" s="29"/>
      <c r="N1374" s="29"/>
      <c r="P1374" s="4">
        <f t="shared" si="87"/>
        <v>1.5900452627522E-3</v>
      </c>
      <c r="Q1374" s="4">
        <f t="shared" si="87"/>
        <v>-8.5945808138367596E-4</v>
      </c>
      <c r="R1374" s="4">
        <f t="shared" si="87"/>
        <v>7.662248478469074E-4</v>
      </c>
      <c r="S1374" s="4">
        <f t="shared" si="87"/>
        <v>2.4115039292574636E-4</v>
      </c>
      <c r="T1374" s="4">
        <f t="shared" si="87"/>
        <v>7.6376531062751158E-4</v>
      </c>
      <c r="U1374" s="35"/>
      <c r="V1374" s="35"/>
      <c r="W1374" s="35"/>
      <c r="X1374" s="35"/>
    </row>
    <row r="1375" spans="4:24" x14ac:dyDescent="0.3">
      <c r="D1375" s="23">
        <v>41576</v>
      </c>
      <c r="E1375" s="5">
        <v>146.61605800000001</v>
      </c>
      <c r="F1375" s="28">
        <v>61.231789999999997</v>
      </c>
      <c r="G1375" s="28">
        <v>129.77000000000001</v>
      </c>
      <c r="H1375" s="28">
        <v>75.815839999999994</v>
      </c>
      <c r="I1375" s="28">
        <v>76.560090000000002</v>
      </c>
      <c r="J1375" s="29"/>
      <c r="K1375" s="29"/>
      <c r="L1375" s="29"/>
      <c r="M1375" s="29"/>
      <c r="N1375" s="29"/>
      <c r="P1375" s="4">
        <f t="shared" si="87"/>
        <v>5.3198744511447817E-3</v>
      </c>
      <c r="Q1375" s="4">
        <f t="shared" si="87"/>
        <v>7.368168930113844E-4</v>
      </c>
      <c r="R1375" s="4">
        <f t="shared" si="87"/>
        <v>-6.0692384666576598E-3</v>
      </c>
      <c r="S1375" s="4">
        <f t="shared" si="87"/>
        <v>1.6870859058217354E-3</v>
      </c>
      <c r="T1375" s="4">
        <f t="shared" si="87"/>
        <v>5.0015090686546804E-3</v>
      </c>
      <c r="U1375" s="35"/>
      <c r="V1375" s="35"/>
      <c r="W1375" s="35"/>
      <c r="X1375" s="35"/>
    </row>
    <row r="1376" spans="4:24" x14ac:dyDescent="0.3">
      <c r="D1376" s="23">
        <v>41577</v>
      </c>
      <c r="E1376" s="5">
        <v>145.88780199999999</v>
      </c>
      <c r="F1376" s="28">
        <v>61.164149999999999</v>
      </c>
      <c r="G1376" s="28">
        <v>129.6</v>
      </c>
      <c r="H1376" s="28">
        <v>75.742840000000001</v>
      </c>
      <c r="I1376" s="28">
        <v>76.111660000000001</v>
      </c>
      <c r="J1376" s="29"/>
      <c r="K1376" s="29"/>
      <c r="L1376" s="29"/>
      <c r="M1376" s="29"/>
      <c r="N1376" s="29"/>
      <c r="P1376" s="4">
        <f t="shared" si="87"/>
        <v>-4.9794727821192014E-3</v>
      </c>
      <c r="Q1376" s="4">
        <f t="shared" si="87"/>
        <v>-1.1052655322687402E-3</v>
      </c>
      <c r="R1376" s="4">
        <f t="shared" si="87"/>
        <v>-1.3108688309649663E-3</v>
      </c>
      <c r="S1376" s="4">
        <f t="shared" si="87"/>
        <v>-9.6332332328678718E-4</v>
      </c>
      <c r="T1376" s="4">
        <f t="shared" si="87"/>
        <v>-5.8744501137632825E-3</v>
      </c>
      <c r="U1376" s="35"/>
      <c r="V1376" s="35"/>
      <c r="W1376" s="35"/>
      <c r="X1376" s="35"/>
    </row>
    <row r="1377" spans="4:24" x14ac:dyDescent="0.3">
      <c r="D1377" s="23">
        <v>41578</v>
      </c>
      <c r="E1377" s="5">
        <v>145.47403</v>
      </c>
      <c r="F1377" s="28">
        <v>61.164149999999999</v>
      </c>
      <c r="G1377" s="28">
        <v>127.74</v>
      </c>
      <c r="H1377" s="28">
        <v>75.569419999999994</v>
      </c>
      <c r="I1377" s="28">
        <v>75.887460000000004</v>
      </c>
      <c r="J1377" s="29"/>
      <c r="K1377" s="29"/>
      <c r="L1377" s="29"/>
      <c r="M1377" s="29"/>
      <c r="N1377" s="29"/>
      <c r="P1377" s="4">
        <f t="shared" si="87"/>
        <v>-2.8402641164175691E-3</v>
      </c>
      <c r="Q1377" s="4">
        <f t="shared" si="87"/>
        <v>0</v>
      </c>
      <c r="R1377" s="4">
        <f t="shared" si="87"/>
        <v>-1.4455835784731202E-2</v>
      </c>
      <c r="S1377" s="4">
        <f t="shared" si="87"/>
        <v>-2.2922144700321069E-3</v>
      </c>
      <c r="T1377" s="4">
        <f t="shared" si="87"/>
        <v>-2.9500192184507561E-3</v>
      </c>
      <c r="U1377" s="35"/>
      <c r="V1377" s="35"/>
      <c r="W1377" s="35"/>
      <c r="X1377" s="35"/>
    </row>
    <row r="1378" spans="4:24" x14ac:dyDescent="0.3">
      <c r="D1378" s="23">
        <v>41579</v>
      </c>
      <c r="E1378" s="5">
        <v>145.821609</v>
      </c>
      <c r="F1378" s="28">
        <v>60.999220000000001</v>
      </c>
      <c r="G1378" s="28">
        <v>126.95</v>
      </c>
      <c r="H1378" s="28">
        <v>75.587649999999996</v>
      </c>
      <c r="I1378" s="28">
        <v>75.987139999999997</v>
      </c>
      <c r="J1378" s="29"/>
      <c r="K1378" s="29"/>
      <c r="L1378" s="29"/>
      <c r="M1378" s="29"/>
      <c r="N1378" s="29"/>
      <c r="P1378" s="4">
        <f t="shared" si="87"/>
        <v>2.386435760937449E-3</v>
      </c>
      <c r="Q1378" s="4">
        <f t="shared" si="87"/>
        <v>-2.7001563595792787E-3</v>
      </c>
      <c r="R1378" s="4">
        <f t="shared" si="87"/>
        <v>-6.2036399827555995E-3</v>
      </c>
      <c r="S1378" s="4">
        <f t="shared" si="87"/>
        <v>2.4120605259658219E-4</v>
      </c>
      <c r="T1378" s="4">
        <f t="shared" si="87"/>
        <v>1.3126620819156483E-3</v>
      </c>
      <c r="U1378" s="35"/>
      <c r="V1378" s="35"/>
      <c r="W1378" s="35"/>
      <c r="X1378" s="35"/>
    </row>
    <row r="1379" spans="4:24" x14ac:dyDescent="0.3">
      <c r="D1379" s="23">
        <v>41582</v>
      </c>
      <c r="E1379" s="5">
        <v>146.33467099999999</v>
      </c>
      <c r="F1379" s="28">
        <v>61.036879999999996</v>
      </c>
      <c r="G1379" s="28">
        <v>126.81</v>
      </c>
      <c r="H1379" s="28">
        <v>75.697209999999998</v>
      </c>
      <c r="I1379" s="28">
        <v>76.335880000000003</v>
      </c>
      <c r="J1379" s="29"/>
      <c r="K1379" s="29"/>
      <c r="L1379" s="29"/>
      <c r="M1379" s="29"/>
      <c r="N1379" s="29"/>
      <c r="P1379" s="4">
        <f t="shared" si="87"/>
        <v>3.5122471262467973E-3</v>
      </c>
      <c r="Q1379" s="4">
        <f t="shared" si="87"/>
        <v>6.1719443993170343E-4</v>
      </c>
      <c r="R1379" s="4">
        <f t="shared" si="87"/>
        <v>-1.1034049038792348E-3</v>
      </c>
      <c r="S1379" s="4">
        <f t="shared" si="87"/>
        <v>1.4483937011715909E-3</v>
      </c>
      <c r="T1379" s="4">
        <f t="shared" si="87"/>
        <v>4.5789613327319179E-3</v>
      </c>
      <c r="U1379" s="35"/>
      <c r="V1379" s="35"/>
      <c r="W1379" s="35"/>
      <c r="X1379" s="35"/>
    </row>
    <row r="1380" spans="4:24" x14ac:dyDescent="0.3">
      <c r="D1380" s="23">
        <v>41583</v>
      </c>
      <c r="E1380" s="5">
        <v>145.87132299999999</v>
      </c>
      <c r="F1380" s="28">
        <v>60.856169999999999</v>
      </c>
      <c r="G1380" s="28">
        <v>126.56</v>
      </c>
      <c r="H1380" s="28">
        <v>75.779340000000005</v>
      </c>
      <c r="I1380" s="28">
        <v>76.111660000000001</v>
      </c>
      <c r="J1380" s="29"/>
      <c r="K1380" s="29"/>
      <c r="L1380" s="29"/>
      <c r="M1380" s="29"/>
      <c r="N1380" s="29"/>
      <c r="P1380" s="4">
        <f t="shared" si="87"/>
        <v>-3.1713818187436749E-3</v>
      </c>
      <c r="Q1380" s="4">
        <f t="shared" si="87"/>
        <v>-2.965060475456192E-3</v>
      </c>
      <c r="R1380" s="4">
        <f t="shared" si="87"/>
        <v>-1.9733992274644768E-3</v>
      </c>
      <c r="S1380" s="4">
        <f t="shared" si="87"/>
        <v>1.0843923768808781E-3</v>
      </c>
      <c r="T1380" s="4">
        <f t="shared" si="87"/>
        <v>-2.9416041961968075E-3</v>
      </c>
      <c r="U1380" s="35"/>
      <c r="V1380" s="35"/>
      <c r="W1380" s="35"/>
      <c r="X1380" s="35"/>
    </row>
    <row r="1381" spans="4:24" x14ac:dyDescent="0.3">
      <c r="D1381" s="23">
        <v>41584</v>
      </c>
      <c r="E1381" s="5">
        <v>146.61605800000001</v>
      </c>
      <c r="F1381" s="28">
        <v>60.961590000000001</v>
      </c>
      <c r="G1381" s="28">
        <v>127.2</v>
      </c>
      <c r="H1381" s="28">
        <v>75.761080000000007</v>
      </c>
      <c r="I1381" s="28">
        <v>76.310959999999994</v>
      </c>
      <c r="J1381" s="29"/>
      <c r="K1381" s="29"/>
      <c r="L1381" s="29"/>
      <c r="M1381" s="29"/>
      <c r="N1381" s="29"/>
      <c r="P1381" s="4">
        <f t="shared" ref="P1381:T1396" si="88">LN(E1381/E1380)</f>
        <v>5.0924358300960225E-3</v>
      </c>
      <c r="Q1381" s="4">
        <f t="shared" si="88"/>
        <v>1.7307825446210652E-3</v>
      </c>
      <c r="R1381" s="4">
        <f t="shared" si="88"/>
        <v>5.0441468866780029E-3</v>
      </c>
      <c r="S1381" s="4">
        <f t="shared" si="88"/>
        <v>-2.4099181048024146E-4</v>
      </c>
      <c r="T1381" s="4">
        <f t="shared" si="88"/>
        <v>2.6150989082865152E-3</v>
      </c>
      <c r="U1381" s="35"/>
      <c r="V1381" s="35"/>
      <c r="W1381" s="35"/>
      <c r="X1381" s="35"/>
    </row>
    <row r="1382" spans="4:24" x14ac:dyDescent="0.3">
      <c r="D1382" s="23">
        <v>41585</v>
      </c>
      <c r="E1382" s="5">
        <v>144.76237499999999</v>
      </c>
      <c r="F1382" s="28">
        <v>61.082070000000002</v>
      </c>
      <c r="G1382" s="28">
        <v>126.16</v>
      </c>
      <c r="H1382" s="28">
        <v>74.33717</v>
      </c>
      <c r="I1382" s="28">
        <v>75.297920000000005</v>
      </c>
      <c r="J1382" s="29"/>
      <c r="K1382" s="29"/>
      <c r="L1382" s="29"/>
      <c r="M1382" s="29"/>
      <c r="N1382" s="29"/>
      <c r="P1382" s="4">
        <f t="shared" si="88"/>
        <v>-1.272371457986997E-2</v>
      </c>
      <c r="Q1382" s="4">
        <f t="shared" si="88"/>
        <v>1.9743760411237367E-3</v>
      </c>
      <c r="R1382" s="4">
        <f t="shared" si="88"/>
        <v>-8.2097082512388245E-3</v>
      </c>
      <c r="S1382" s="4">
        <f t="shared" si="88"/>
        <v>-1.8973608510226024E-2</v>
      </c>
      <c r="T1382" s="4">
        <f t="shared" si="88"/>
        <v>-1.3364059904755813E-2</v>
      </c>
      <c r="U1382" s="35"/>
      <c r="V1382" s="35"/>
      <c r="W1382" s="35"/>
      <c r="X1382" s="35"/>
    </row>
    <row r="1383" spans="4:24" x14ac:dyDescent="0.3">
      <c r="D1383" s="23">
        <v>41586</v>
      </c>
      <c r="E1383" s="5">
        <v>146.71533199999999</v>
      </c>
      <c r="F1383" s="28">
        <v>60.682940000000002</v>
      </c>
      <c r="G1383" s="28">
        <v>124.28</v>
      </c>
      <c r="H1383" s="28">
        <v>75.341210000000004</v>
      </c>
      <c r="I1383" s="28">
        <v>76.302670000000006</v>
      </c>
      <c r="J1383" s="29"/>
      <c r="K1383" s="29"/>
      <c r="L1383" s="29"/>
      <c r="M1383" s="29"/>
      <c r="N1383" s="29"/>
      <c r="P1383" s="4">
        <f t="shared" si="88"/>
        <v>1.3400587271812325E-2</v>
      </c>
      <c r="Q1383" s="4">
        <f t="shared" si="88"/>
        <v>-6.5557655599935852E-3</v>
      </c>
      <c r="R1383" s="4">
        <f t="shared" si="88"/>
        <v>-1.501385812993627E-2</v>
      </c>
      <c r="S1383" s="4">
        <f t="shared" si="88"/>
        <v>1.3416166850733231E-2</v>
      </c>
      <c r="T1383" s="4">
        <f t="shared" si="88"/>
        <v>1.3255419542710343E-2</v>
      </c>
      <c r="U1383" s="35"/>
      <c r="V1383" s="35"/>
      <c r="W1383" s="35"/>
      <c r="X1383" s="35"/>
    </row>
    <row r="1384" spans="4:24" x14ac:dyDescent="0.3">
      <c r="D1384" s="23">
        <v>41589</v>
      </c>
      <c r="E1384" s="5">
        <v>146.740173</v>
      </c>
      <c r="F1384" s="28">
        <v>60.630229999999997</v>
      </c>
      <c r="G1384" s="28">
        <v>123.87</v>
      </c>
      <c r="H1384" s="28">
        <v>75.222560000000001</v>
      </c>
      <c r="I1384" s="28">
        <v>76.35248</v>
      </c>
      <c r="J1384" s="29"/>
      <c r="K1384" s="29"/>
      <c r="L1384" s="29"/>
      <c r="M1384" s="29"/>
      <c r="N1384" s="29"/>
      <c r="P1384" s="4">
        <f t="shared" si="88"/>
        <v>1.6929994248598512E-4</v>
      </c>
      <c r="Q1384" s="4">
        <f t="shared" si="88"/>
        <v>-8.6899061852846872E-4</v>
      </c>
      <c r="R1384" s="4">
        <f t="shared" si="88"/>
        <v>-3.304455958738026E-3</v>
      </c>
      <c r="S1384" s="4">
        <f t="shared" si="88"/>
        <v>-1.5760766957512208E-3</v>
      </c>
      <c r="T1384" s="4">
        <f t="shared" si="88"/>
        <v>6.5258200286957434E-4</v>
      </c>
      <c r="U1384" s="35"/>
      <c r="V1384" s="35"/>
      <c r="W1384" s="35"/>
      <c r="X1384" s="35"/>
    </row>
    <row r="1385" spans="4:24" x14ac:dyDescent="0.3">
      <c r="D1385" s="23">
        <v>41590</v>
      </c>
      <c r="E1385" s="5">
        <v>146.44227599999999</v>
      </c>
      <c r="F1385" s="28">
        <v>60.600099999999998</v>
      </c>
      <c r="G1385" s="28">
        <v>122.45</v>
      </c>
      <c r="H1385" s="28">
        <v>75.341210000000004</v>
      </c>
      <c r="I1385" s="28">
        <v>76.236239999999995</v>
      </c>
      <c r="J1385" s="29"/>
      <c r="K1385" s="29"/>
      <c r="L1385" s="29"/>
      <c r="M1385" s="29"/>
      <c r="N1385" s="29"/>
      <c r="P1385" s="4">
        <f t="shared" si="88"/>
        <v>-2.0321619082888914E-3</v>
      </c>
      <c r="Q1385" s="4">
        <f t="shared" si="88"/>
        <v>-4.9707033908710134E-4</v>
      </c>
      <c r="R1385" s="4">
        <f t="shared" si="88"/>
        <v>-1.1529845167931877E-2</v>
      </c>
      <c r="S1385" s="4">
        <f t="shared" si="88"/>
        <v>1.5760766957512162E-3</v>
      </c>
      <c r="T1385" s="4">
        <f t="shared" si="88"/>
        <v>-1.5235729415046463E-3</v>
      </c>
      <c r="U1385" s="35"/>
      <c r="V1385" s="35"/>
      <c r="W1385" s="35"/>
      <c r="X1385" s="35"/>
    </row>
    <row r="1386" spans="4:24" x14ac:dyDescent="0.3">
      <c r="D1386" s="23">
        <v>41591</v>
      </c>
      <c r="E1386" s="5">
        <v>147.61743200000001</v>
      </c>
      <c r="F1386" s="28">
        <v>60.765790000000003</v>
      </c>
      <c r="G1386" s="28">
        <v>122.85</v>
      </c>
      <c r="H1386" s="28">
        <v>76.253990000000002</v>
      </c>
      <c r="I1386" s="28">
        <v>76.883930000000007</v>
      </c>
      <c r="J1386" s="29"/>
      <c r="K1386" s="29"/>
      <c r="L1386" s="29"/>
      <c r="M1386" s="29"/>
      <c r="N1386" s="29"/>
      <c r="P1386" s="4">
        <f t="shared" si="88"/>
        <v>7.9926778409530816E-3</v>
      </c>
      <c r="Q1386" s="4">
        <f t="shared" si="88"/>
        <v>2.7304229044552721E-3</v>
      </c>
      <c r="R1386" s="4">
        <f t="shared" si="88"/>
        <v>3.2613155690112854E-3</v>
      </c>
      <c r="S1386" s="4">
        <f t="shared" si="88"/>
        <v>1.2042479326774902E-2</v>
      </c>
      <c r="T1386" s="4">
        <f t="shared" si="88"/>
        <v>8.4599417955155565E-3</v>
      </c>
      <c r="U1386" s="35"/>
      <c r="V1386" s="35"/>
      <c r="W1386" s="35"/>
      <c r="X1386" s="35"/>
    </row>
    <row r="1387" spans="4:24" x14ac:dyDescent="0.3">
      <c r="D1387" s="23">
        <v>41592</v>
      </c>
      <c r="E1387" s="5">
        <v>148.353882</v>
      </c>
      <c r="F1387" s="28">
        <v>60.938989999999997</v>
      </c>
      <c r="G1387" s="28">
        <v>124.27</v>
      </c>
      <c r="H1387" s="28">
        <v>76.491299999999995</v>
      </c>
      <c r="I1387" s="28">
        <v>77.249290000000002</v>
      </c>
      <c r="J1387" s="29"/>
      <c r="K1387" s="29"/>
      <c r="L1387" s="29"/>
      <c r="M1387" s="29"/>
      <c r="N1387" s="29"/>
      <c r="P1387" s="4">
        <f t="shared" si="88"/>
        <v>4.9765060669740308E-3</v>
      </c>
      <c r="Q1387" s="4">
        <f t="shared" si="88"/>
        <v>2.8462335978105277E-3</v>
      </c>
      <c r="R1387" s="4">
        <f t="shared" si="88"/>
        <v>1.14925188507152E-2</v>
      </c>
      <c r="S1387" s="4">
        <f t="shared" si="88"/>
        <v>3.1072668877418085E-3</v>
      </c>
      <c r="T1387" s="4">
        <f t="shared" si="88"/>
        <v>4.7408428151510364E-3</v>
      </c>
      <c r="U1387" s="35"/>
      <c r="V1387" s="35"/>
      <c r="W1387" s="35"/>
      <c r="X1387" s="35"/>
    </row>
    <row r="1388" spans="4:24" x14ac:dyDescent="0.3">
      <c r="D1388" s="23">
        <v>41593</v>
      </c>
      <c r="E1388" s="5">
        <v>148.99932899999999</v>
      </c>
      <c r="F1388" s="28">
        <v>60.961590000000001</v>
      </c>
      <c r="G1388" s="28">
        <v>124.32</v>
      </c>
      <c r="H1388" s="28">
        <v>76.637370000000004</v>
      </c>
      <c r="I1388" s="28">
        <v>77.589749999999995</v>
      </c>
      <c r="J1388" s="29"/>
      <c r="K1388" s="29"/>
      <c r="L1388" s="29"/>
      <c r="M1388" s="29"/>
      <c r="N1388" s="29"/>
      <c r="P1388" s="4">
        <f t="shared" si="88"/>
        <v>4.3412883388460844E-3</v>
      </c>
      <c r="Q1388" s="4">
        <f t="shared" si="88"/>
        <v>3.7079397421956804E-4</v>
      </c>
      <c r="R1388" s="4">
        <f t="shared" si="88"/>
        <v>4.0226880143402847E-4</v>
      </c>
      <c r="S1388" s="4">
        <f t="shared" si="88"/>
        <v>1.9078079148029841E-3</v>
      </c>
      <c r="T1388" s="4">
        <f t="shared" si="88"/>
        <v>4.3976060388614072E-3</v>
      </c>
      <c r="U1388" s="35"/>
      <c r="V1388" s="35"/>
      <c r="W1388" s="35"/>
      <c r="X1388" s="35"/>
    </row>
    <row r="1389" spans="4:24" x14ac:dyDescent="0.3">
      <c r="D1389" s="23">
        <v>41596</v>
      </c>
      <c r="E1389" s="5">
        <v>148.47804300000001</v>
      </c>
      <c r="F1389" s="28">
        <v>61.074570000000001</v>
      </c>
      <c r="G1389" s="28">
        <v>122.9</v>
      </c>
      <c r="H1389" s="28">
        <v>75.888869999999997</v>
      </c>
      <c r="I1389" s="28">
        <v>77.224369999999993</v>
      </c>
      <c r="J1389" s="29"/>
      <c r="K1389" s="29"/>
      <c r="L1389" s="29"/>
      <c r="M1389" s="29"/>
      <c r="N1389" s="29"/>
      <c r="P1389" s="4">
        <f t="shared" si="88"/>
        <v>-3.504713854876748E-3</v>
      </c>
      <c r="Q1389" s="4">
        <f t="shared" si="88"/>
        <v>1.851582879664491E-3</v>
      </c>
      <c r="R1389" s="4">
        <f t="shared" si="88"/>
        <v>-1.1487870047348048E-2</v>
      </c>
      <c r="S1389" s="4">
        <f t="shared" si="88"/>
        <v>-9.8147834572269027E-3</v>
      </c>
      <c r="T1389" s="4">
        <f t="shared" si="88"/>
        <v>-4.7202500445278732E-3</v>
      </c>
      <c r="U1389" s="35"/>
      <c r="V1389" s="35"/>
      <c r="W1389" s="35"/>
      <c r="X1389" s="35"/>
    </row>
    <row r="1390" spans="4:24" x14ac:dyDescent="0.3">
      <c r="D1390" s="23">
        <v>41597</v>
      </c>
      <c r="E1390" s="5">
        <v>148.155258</v>
      </c>
      <c r="F1390" s="28">
        <v>60.954079999999998</v>
      </c>
      <c r="G1390" s="28">
        <v>122.95</v>
      </c>
      <c r="H1390" s="28">
        <v>75.669790000000006</v>
      </c>
      <c r="I1390" s="28">
        <v>77.000159999999994</v>
      </c>
      <c r="J1390" s="29"/>
      <c r="K1390" s="29"/>
      <c r="L1390" s="29"/>
      <c r="M1390" s="29"/>
      <c r="N1390" s="29"/>
      <c r="P1390" s="4">
        <f t="shared" si="88"/>
        <v>-2.1763242785940357E-3</v>
      </c>
      <c r="Q1390" s="4">
        <f t="shared" si="88"/>
        <v>-1.9747827933343678E-3</v>
      </c>
      <c r="R1390" s="4">
        <f t="shared" si="88"/>
        <v>4.067520902123965E-4</v>
      </c>
      <c r="S1390" s="4">
        <f t="shared" si="88"/>
        <v>-2.8910278381975366E-3</v>
      </c>
      <c r="T1390" s="4">
        <f t="shared" si="88"/>
        <v>-2.9075810178372007E-3</v>
      </c>
      <c r="U1390" s="35"/>
      <c r="V1390" s="35"/>
      <c r="W1390" s="35"/>
      <c r="X1390" s="35"/>
    </row>
    <row r="1391" spans="4:24" x14ac:dyDescent="0.3">
      <c r="D1391" s="23">
        <v>41598</v>
      </c>
      <c r="E1391" s="5">
        <v>147.691879</v>
      </c>
      <c r="F1391" s="28">
        <v>60.788330000000002</v>
      </c>
      <c r="G1391" s="28">
        <v>120.12</v>
      </c>
      <c r="H1391" s="28">
        <v>75.48724</v>
      </c>
      <c r="I1391" s="28">
        <v>76.759370000000004</v>
      </c>
      <c r="J1391" s="29"/>
      <c r="K1391" s="29"/>
      <c r="L1391" s="29"/>
      <c r="M1391" s="29"/>
      <c r="N1391" s="29"/>
      <c r="P1391" s="4">
        <f t="shared" si="88"/>
        <v>-3.132559494232157E-3</v>
      </c>
      <c r="Q1391" s="4">
        <f t="shared" si="88"/>
        <v>-2.7229640420823819E-3</v>
      </c>
      <c r="R1391" s="4">
        <f t="shared" si="88"/>
        <v>-2.3286525547072046E-2</v>
      </c>
      <c r="S1391" s="4">
        <f t="shared" si="88"/>
        <v>-2.4153701452048555E-3</v>
      </c>
      <c r="T1391" s="4">
        <f t="shared" si="88"/>
        <v>-3.1320360674718184E-3</v>
      </c>
      <c r="U1391" s="35"/>
      <c r="V1391" s="35"/>
      <c r="W1391" s="35"/>
      <c r="X1391" s="35"/>
    </row>
    <row r="1392" spans="4:24" x14ac:dyDescent="0.3">
      <c r="D1392" s="23">
        <v>41599</v>
      </c>
      <c r="E1392" s="5">
        <v>148.88353000000001</v>
      </c>
      <c r="F1392" s="28">
        <v>60.788330000000002</v>
      </c>
      <c r="G1392" s="28">
        <v>119.94</v>
      </c>
      <c r="H1392" s="28">
        <v>76.253990000000002</v>
      </c>
      <c r="I1392" s="28">
        <v>77.448560000000001</v>
      </c>
      <c r="J1392" s="29"/>
      <c r="K1392" s="29"/>
      <c r="L1392" s="29"/>
      <c r="M1392" s="29"/>
      <c r="N1392" s="29"/>
      <c r="P1392" s="4">
        <f t="shared" si="88"/>
        <v>8.0361174717661094E-3</v>
      </c>
      <c r="Q1392" s="4">
        <f t="shared" si="88"/>
        <v>0</v>
      </c>
      <c r="R1392" s="4">
        <f t="shared" si="88"/>
        <v>-1.4996253747658359E-3</v>
      </c>
      <c r="S1392" s="4">
        <f t="shared" si="88"/>
        <v>1.010610663808446E-2</v>
      </c>
      <c r="T1392" s="4">
        <f t="shared" si="88"/>
        <v>8.938510343488134E-3</v>
      </c>
      <c r="U1392" s="35"/>
      <c r="V1392" s="35"/>
      <c r="W1392" s="35"/>
      <c r="X1392" s="35"/>
    </row>
    <row r="1393" spans="4:24" x14ac:dyDescent="0.3">
      <c r="D1393" s="23">
        <v>41600</v>
      </c>
      <c r="E1393" s="5">
        <v>149.62829600000001</v>
      </c>
      <c r="F1393" s="28">
        <v>60.923960000000001</v>
      </c>
      <c r="G1393" s="28">
        <v>119.92</v>
      </c>
      <c r="H1393" s="28">
        <v>76.664739999999995</v>
      </c>
      <c r="I1393" s="28">
        <v>77.830560000000006</v>
      </c>
      <c r="J1393" s="29"/>
      <c r="K1393" s="29"/>
      <c r="L1393" s="29"/>
      <c r="M1393" s="29"/>
      <c r="N1393" s="29"/>
      <c r="P1393" s="4">
        <f t="shared" si="88"/>
        <v>4.9898696161822503E-3</v>
      </c>
      <c r="Q1393" s="4">
        <f t="shared" si="88"/>
        <v>2.2286994376764578E-3</v>
      </c>
      <c r="R1393" s="4">
        <f t="shared" si="88"/>
        <v>-1.6676394602134628E-4</v>
      </c>
      <c r="S1393" s="4">
        <f t="shared" si="88"/>
        <v>5.3721475172100082E-3</v>
      </c>
      <c r="T1393" s="4">
        <f t="shared" si="88"/>
        <v>4.9201820647506661E-3</v>
      </c>
      <c r="U1393" s="35"/>
      <c r="V1393" s="35"/>
      <c r="W1393" s="35"/>
      <c r="X1393" s="35"/>
    </row>
    <row r="1394" spans="4:24" x14ac:dyDescent="0.3">
      <c r="D1394" s="23">
        <v>41603</v>
      </c>
      <c r="E1394" s="5">
        <v>149.47938500000001</v>
      </c>
      <c r="F1394" s="28">
        <v>60.969119999999997</v>
      </c>
      <c r="G1394" s="28">
        <v>120.46</v>
      </c>
      <c r="H1394" s="28">
        <v>76.847309999999993</v>
      </c>
      <c r="I1394" s="28">
        <v>77.747489999999999</v>
      </c>
      <c r="J1394" s="29"/>
      <c r="K1394" s="29"/>
      <c r="L1394" s="29"/>
      <c r="M1394" s="29"/>
      <c r="N1394" s="29"/>
      <c r="P1394" s="4">
        <f t="shared" si="88"/>
        <v>-9.9570169381777416E-4</v>
      </c>
      <c r="Q1394" s="4">
        <f t="shared" si="88"/>
        <v>7.4097729036367286E-4</v>
      </c>
      <c r="R1394" s="4">
        <f t="shared" si="88"/>
        <v>4.4928938212326621E-3</v>
      </c>
      <c r="S1394" s="4">
        <f t="shared" si="88"/>
        <v>2.3785766143578141E-3</v>
      </c>
      <c r="T1394" s="4">
        <f t="shared" si="88"/>
        <v>-1.0678885343315355E-3</v>
      </c>
      <c r="U1394" s="35"/>
      <c r="V1394" s="35"/>
      <c r="W1394" s="35"/>
      <c r="X1394" s="35"/>
    </row>
    <row r="1395" spans="4:24" x14ac:dyDescent="0.3">
      <c r="D1395" s="23">
        <v>41604</v>
      </c>
      <c r="E1395" s="5">
        <v>149.52072100000001</v>
      </c>
      <c r="F1395" s="28">
        <v>60.976640000000003</v>
      </c>
      <c r="G1395" s="28">
        <v>119.82</v>
      </c>
      <c r="H1395" s="28">
        <v>77.248900000000006</v>
      </c>
      <c r="I1395" s="28">
        <v>77.822220000000002</v>
      </c>
      <c r="J1395" s="29"/>
      <c r="K1395" s="29"/>
      <c r="L1395" s="29"/>
      <c r="M1395" s="29"/>
      <c r="N1395" s="29"/>
      <c r="P1395" s="4">
        <f t="shared" si="88"/>
        <v>2.7649488701739087E-4</v>
      </c>
      <c r="Q1395" s="4">
        <f t="shared" si="88"/>
        <v>1.2333352155160208E-4</v>
      </c>
      <c r="R1395" s="4">
        <f t="shared" si="88"/>
        <v>-5.3271309597961811E-3</v>
      </c>
      <c r="S1395" s="4">
        <f t="shared" si="88"/>
        <v>5.2122100753856961E-3</v>
      </c>
      <c r="T1395" s="4">
        <f t="shared" si="88"/>
        <v>9.6072694032735869E-4</v>
      </c>
      <c r="U1395" s="35"/>
      <c r="V1395" s="35"/>
      <c r="W1395" s="35"/>
      <c r="X1395" s="35"/>
    </row>
    <row r="1396" spans="4:24" x14ac:dyDescent="0.3">
      <c r="D1396" s="23">
        <v>41605</v>
      </c>
      <c r="E1396" s="5">
        <v>149.88484199999999</v>
      </c>
      <c r="F1396" s="28">
        <v>60.954079999999998</v>
      </c>
      <c r="G1396" s="28">
        <v>119.46</v>
      </c>
      <c r="H1396" s="28">
        <v>77.787499999999994</v>
      </c>
      <c r="I1396" s="28">
        <v>78.046419999999998</v>
      </c>
      <c r="J1396" s="29"/>
      <c r="K1396" s="29"/>
      <c r="L1396" s="29"/>
      <c r="M1396" s="29"/>
      <c r="N1396" s="29"/>
      <c r="P1396" s="4">
        <f t="shared" si="88"/>
        <v>2.4322940152803072E-3</v>
      </c>
      <c r="Q1396" s="4">
        <f t="shared" si="88"/>
        <v>-3.7004620750935135E-4</v>
      </c>
      <c r="R1396" s="4">
        <f t="shared" si="88"/>
        <v>-3.0090293516189053E-3</v>
      </c>
      <c r="S1396" s="4">
        <f t="shared" si="88"/>
        <v>6.9480737010642543E-3</v>
      </c>
      <c r="T1396" s="4">
        <f t="shared" si="88"/>
        <v>2.8767833557931106E-3</v>
      </c>
      <c r="U1396" s="35"/>
      <c r="V1396" s="35"/>
      <c r="W1396" s="35"/>
      <c r="X1396" s="35"/>
    </row>
    <row r="1397" spans="4:24" x14ac:dyDescent="0.3">
      <c r="D1397" s="23">
        <v>41607</v>
      </c>
      <c r="E1397" s="5">
        <v>149.785538</v>
      </c>
      <c r="F1397" s="28">
        <v>60.984189999999998</v>
      </c>
      <c r="G1397" s="28">
        <v>120.7</v>
      </c>
      <c r="H1397" s="28">
        <v>78.253</v>
      </c>
      <c r="I1397" s="28">
        <v>77.938509999999994</v>
      </c>
      <c r="J1397" s="29"/>
      <c r="K1397" s="29"/>
      <c r="L1397" s="29"/>
      <c r="M1397" s="29"/>
      <c r="N1397" s="29"/>
      <c r="P1397" s="4">
        <f t="shared" ref="P1397:T1412" si="89">LN(E1397/E1396)</f>
        <v>-6.6275488177960451E-4</v>
      </c>
      <c r="Q1397" s="4">
        <f t="shared" si="89"/>
        <v>4.9385645067750029E-4</v>
      </c>
      <c r="R1397" s="4">
        <f t="shared" si="89"/>
        <v>1.0326540799326047E-2</v>
      </c>
      <c r="S1397" s="4">
        <f t="shared" si="89"/>
        <v>5.9664174481658342E-3</v>
      </c>
      <c r="T1397" s="4">
        <f t="shared" si="89"/>
        <v>-1.3835954180275009E-3</v>
      </c>
      <c r="U1397" s="35"/>
      <c r="V1397" s="35"/>
      <c r="W1397" s="35"/>
      <c r="X1397" s="35"/>
    </row>
    <row r="1398" spans="4:24" x14ac:dyDescent="0.3">
      <c r="D1398" s="23">
        <v>41610</v>
      </c>
      <c r="E1398" s="5">
        <v>149.396591</v>
      </c>
      <c r="F1398" s="28">
        <v>60.753979999999999</v>
      </c>
      <c r="G1398" s="28">
        <v>117.58</v>
      </c>
      <c r="H1398" s="28">
        <v>78.024799999999999</v>
      </c>
      <c r="I1398" s="28">
        <v>77.772450000000006</v>
      </c>
      <c r="J1398" s="29"/>
      <c r="K1398" s="29"/>
      <c r="L1398" s="29"/>
      <c r="M1398" s="29"/>
      <c r="N1398" s="29"/>
      <c r="P1398" s="4">
        <f t="shared" si="89"/>
        <v>-2.6000698665965831E-3</v>
      </c>
      <c r="Q1398" s="4">
        <f t="shared" si="89"/>
        <v>-3.7820557744414618E-3</v>
      </c>
      <c r="R1398" s="4">
        <f t="shared" si="89"/>
        <v>-2.618917512937699E-2</v>
      </c>
      <c r="S1398" s="4">
        <f t="shared" si="89"/>
        <v>-2.9204424709437572E-3</v>
      </c>
      <c r="T1398" s="4">
        <f t="shared" si="89"/>
        <v>-2.1329270971779191E-3</v>
      </c>
      <c r="U1398" s="35"/>
      <c r="V1398" s="35"/>
      <c r="W1398" s="35"/>
      <c r="X1398" s="35"/>
    </row>
    <row r="1399" spans="4:24" x14ac:dyDescent="0.3">
      <c r="D1399" s="23">
        <v>41611</v>
      </c>
      <c r="E1399" s="5">
        <v>148.75114400000001</v>
      </c>
      <c r="F1399" s="28">
        <v>60.814360000000001</v>
      </c>
      <c r="G1399" s="28">
        <v>117.96</v>
      </c>
      <c r="H1399" s="28">
        <v>77.960880000000003</v>
      </c>
      <c r="I1399" s="28">
        <v>77.473489999999998</v>
      </c>
      <c r="J1399" s="29"/>
      <c r="K1399" s="29"/>
      <c r="L1399" s="29"/>
      <c r="M1399" s="29"/>
      <c r="N1399" s="29"/>
      <c r="P1399" s="4">
        <f t="shared" si="89"/>
        <v>-4.3297193474954275E-3</v>
      </c>
      <c r="Q1399" s="4">
        <f t="shared" si="89"/>
        <v>9.9335081757272311E-4</v>
      </c>
      <c r="R1399" s="4">
        <f t="shared" si="89"/>
        <v>3.2266309729665774E-3</v>
      </c>
      <c r="S1399" s="4">
        <f t="shared" si="89"/>
        <v>-8.1956245698735488E-4</v>
      </c>
      <c r="T1399" s="4">
        <f t="shared" si="89"/>
        <v>-3.8514420351924146E-3</v>
      </c>
      <c r="U1399" s="35"/>
      <c r="V1399" s="35"/>
      <c r="W1399" s="35"/>
      <c r="X1399" s="35"/>
    </row>
    <row r="1400" spans="4:24" x14ac:dyDescent="0.3">
      <c r="D1400" s="23">
        <v>41612</v>
      </c>
      <c r="E1400" s="5">
        <v>148.73460399999999</v>
      </c>
      <c r="F1400" s="28">
        <v>60.72383</v>
      </c>
      <c r="G1400" s="28">
        <v>119.96</v>
      </c>
      <c r="H1400" s="28">
        <v>78.033910000000006</v>
      </c>
      <c r="I1400" s="28">
        <v>77.365530000000007</v>
      </c>
      <c r="J1400" s="29"/>
      <c r="K1400" s="29"/>
      <c r="L1400" s="29"/>
      <c r="M1400" s="29"/>
      <c r="N1400" s="29"/>
      <c r="P1400" s="4">
        <f t="shared" si="89"/>
        <v>-1.1119860449295407E-4</v>
      </c>
      <c r="Q1400" s="4">
        <f t="shared" si="89"/>
        <v>-1.4897377810696858E-3</v>
      </c>
      <c r="R1400" s="4">
        <f t="shared" si="89"/>
        <v>1.6812769933732874E-2</v>
      </c>
      <c r="S1400" s="4">
        <f t="shared" si="89"/>
        <v>9.3631339015032343E-4</v>
      </c>
      <c r="T1400" s="4">
        <f t="shared" si="89"/>
        <v>-1.3944807645346559E-3</v>
      </c>
      <c r="U1400" s="35"/>
      <c r="V1400" s="35"/>
      <c r="W1400" s="35"/>
      <c r="X1400" s="35"/>
    </row>
    <row r="1401" spans="4:24" x14ac:dyDescent="0.3">
      <c r="D1401" s="23">
        <v>41613</v>
      </c>
      <c r="E1401" s="5">
        <v>148.08085600000001</v>
      </c>
      <c r="F1401" s="28">
        <v>60.618169999999999</v>
      </c>
      <c r="G1401" s="28">
        <v>118.3</v>
      </c>
      <c r="H1401" s="28">
        <v>77.933520000000001</v>
      </c>
      <c r="I1401" s="28">
        <v>77.14134</v>
      </c>
      <c r="J1401" s="29"/>
      <c r="K1401" s="29"/>
      <c r="L1401" s="29"/>
      <c r="M1401" s="29"/>
      <c r="N1401" s="29"/>
      <c r="P1401" s="4">
        <f t="shared" si="89"/>
        <v>-4.4050876403377371E-3</v>
      </c>
      <c r="Q1401" s="4">
        <f t="shared" si="89"/>
        <v>-1.7415243972366422E-3</v>
      </c>
      <c r="R1401" s="4">
        <f t="shared" si="89"/>
        <v>-1.3934582896467197E-2</v>
      </c>
      <c r="S1401" s="4">
        <f t="shared" si="89"/>
        <v>-1.287320229150477E-3</v>
      </c>
      <c r="T1401" s="4">
        <f t="shared" si="89"/>
        <v>-2.9020089182774248E-3</v>
      </c>
      <c r="U1401" s="35"/>
      <c r="V1401" s="35"/>
      <c r="W1401" s="35"/>
      <c r="X1401" s="35"/>
    </row>
    <row r="1402" spans="4:24" x14ac:dyDescent="0.3">
      <c r="D1402" s="23">
        <v>41614</v>
      </c>
      <c r="E1402" s="5">
        <v>149.73585499999999</v>
      </c>
      <c r="F1402" s="28">
        <v>60.708730000000003</v>
      </c>
      <c r="G1402" s="28">
        <v>118.55</v>
      </c>
      <c r="H1402" s="28">
        <v>78.499420000000001</v>
      </c>
      <c r="I1402" s="28">
        <v>77.938509999999994</v>
      </c>
      <c r="J1402" s="29"/>
      <c r="K1402" s="29"/>
      <c r="L1402" s="29"/>
      <c r="M1402" s="29"/>
      <c r="N1402" s="29"/>
      <c r="P1402" s="4">
        <f t="shared" si="89"/>
        <v>1.1114326197489042E-2</v>
      </c>
      <c r="Q1402" s="4">
        <f t="shared" si="89"/>
        <v>1.4928266825902905E-3</v>
      </c>
      <c r="R1402" s="4">
        <f t="shared" si="89"/>
        <v>2.1110415270734202E-3</v>
      </c>
      <c r="S1402" s="4">
        <f t="shared" si="89"/>
        <v>7.2350806494647785E-3</v>
      </c>
      <c r="T1402" s="4">
        <f t="shared" si="89"/>
        <v>1.0280858815182399E-2</v>
      </c>
      <c r="U1402" s="35"/>
      <c r="V1402" s="35"/>
      <c r="W1402" s="35"/>
      <c r="X1402" s="35"/>
    </row>
    <row r="1403" spans="4:24" x14ac:dyDescent="0.3">
      <c r="D1403" s="23">
        <v>41617</v>
      </c>
      <c r="E1403" s="5">
        <v>150.11660800000001</v>
      </c>
      <c r="F1403" s="28">
        <v>60.769069999999999</v>
      </c>
      <c r="G1403" s="28">
        <v>119.72</v>
      </c>
      <c r="H1403" s="28">
        <v>78.818920000000006</v>
      </c>
      <c r="I1403" s="28">
        <v>78.112859999999998</v>
      </c>
      <c r="J1403" s="29"/>
      <c r="K1403" s="29"/>
      <c r="L1403" s="29"/>
      <c r="M1403" s="29"/>
      <c r="N1403" s="29"/>
      <c r="P1403" s="4">
        <f t="shared" si="89"/>
        <v>2.5396036492895202E-3</v>
      </c>
      <c r="Q1403" s="4">
        <f t="shared" si="89"/>
        <v>9.9343262657870606E-4</v>
      </c>
      <c r="R1403" s="4">
        <f t="shared" si="89"/>
        <v>9.8208704730837933E-3</v>
      </c>
      <c r="S1403" s="4">
        <f t="shared" si="89"/>
        <v>4.0618333408828878E-3</v>
      </c>
      <c r="T1403" s="4">
        <f t="shared" si="89"/>
        <v>2.2345215238466598E-3</v>
      </c>
      <c r="U1403" s="35"/>
      <c r="V1403" s="35"/>
      <c r="W1403" s="35"/>
      <c r="X1403" s="35"/>
    </row>
    <row r="1404" spans="4:24" x14ac:dyDescent="0.3">
      <c r="D1404" s="23">
        <v>41618</v>
      </c>
      <c r="E1404" s="5">
        <v>149.57867400000001</v>
      </c>
      <c r="F1404" s="28">
        <v>60.897370000000002</v>
      </c>
      <c r="G1404" s="28">
        <v>121.82</v>
      </c>
      <c r="H1404" s="28">
        <v>78.764150000000001</v>
      </c>
      <c r="I1404" s="28">
        <v>77.855450000000005</v>
      </c>
      <c r="J1404" s="29"/>
      <c r="K1404" s="29"/>
      <c r="L1404" s="29"/>
      <c r="M1404" s="29"/>
      <c r="N1404" s="29"/>
      <c r="P1404" s="4">
        <f t="shared" si="89"/>
        <v>-3.589876851687233E-3</v>
      </c>
      <c r="Q1404" s="4">
        <f t="shared" si="89"/>
        <v>2.1090458068358034E-3</v>
      </c>
      <c r="R1404" s="4">
        <f t="shared" si="89"/>
        <v>1.7388862423840374E-2</v>
      </c>
      <c r="S1404" s="4">
        <f t="shared" si="89"/>
        <v>-6.9512546246760078E-4</v>
      </c>
      <c r="T1404" s="4">
        <f t="shared" si="89"/>
        <v>-3.3008017296981339E-3</v>
      </c>
      <c r="U1404" s="35"/>
      <c r="V1404" s="35"/>
      <c r="W1404" s="35"/>
      <c r="X1404" s="35"/>
    </row>
    <row r="1405" spans="4:24" x14ac:dyDescent="0.3">
      <c r="D1405" s="23">
        <v>41619</v>
      </c>
      <c r="E1405" s="5">
        <v>147.898697</v>
      </c>
      <c r="F1405" s="28">
        <v>60.791730000000001</v>
      </c>
      <c r="G1405" s="28">
        <v>120.86</v>
      </c>
      <c r="H1405" s="28">
        <v>77.750950000000003</v>
      </c>
      <c r="I1405" s="28">
        <v>76.892219999999995</v>
      </c>
      <c r="J1405" s="29"/>
      <c r="K1405" s="29"/>
      <c r="L1405" s="29"/>
      <c r="M1405" s="29"/>
      <c r="N1405" s="29"/>
      <c r="P1405" s="4">
        <f t="shared" si="89"/>
        <v>-1.1294942231544203E-2</v>
      </c>
      <c r="Q1405" s="4">
        <f t="shared" si="89"/>
        <v>-1.7362282494907072E-3</v>
      </c>
      <c r="R1405" s="4">
        <f t="shared" si="89"/>
        <v>-7.9116944749259965E-3</v>
      </c>
      <c r="S1405" s="4">
        <f t="shared" si="89"/>
        <v>-1.2947174470236781E-2</v>
      </c>
      <c r="T1405" s="4">
        <f t="shared" si="89"/>
        <v>-1.2449201209852065E-2</v>
      </c>
      <c r="U1405" s="35"/>
      <c r="V1405" s="35"/>
      <c r="W1405" s="35"/>
      <c r="X1405" s="35"/>
    </row>
    <row r="1406" spans="4:24" x14ac:dyDescent="0.3">
      <c r="D1406" s="23">
        <v>41620</v>
      </c>
      <c r="E1406" s="5">
        <v>147.410507</v>
      </c>
      <c r="F1406" s="28">
        <v>60.63326</v>
      </c>
      <c r="G1406" s="28">
        <v>118.29</v>
      </c>
      <c r="H1406" s="28">
        <v>77.550160000000005</v>
      </c>
      <c r="I1406" s="28">
        <v>76.751059999999995</v>
      </c>
      <c r="J1406" s="29"/>
      <c r="K1406" s="29"/>
      <c r="L1406" s="29"/>
      <c r="M1406" s="29"/>
      <c r="N1406" s="29"/>
      <c r="P1406" s="4">
        <f t="shared" si="89"/>
        <v>-3.306300231167908E-3</v>
      </c>
      <c r="Q1406" s="4">
        <f t="shared" si="89"/>
        <v>-2.6101725842653653E-3</v>
      </c>
      <c r="R1406" s="4">
        <f t="shared" si="89"/>
        <v>-2.1493614375766908E-2</v>
      </c>
      <c r="S1406" s="4">
        <f t="shared" si="89"/>
        <v>-2.5858168287527477E-3</v>
      </c>
      <c r="T1406" s="4">
        <f t="shared" si="89"/>
        <v>-1.8375035955746754E-3</v>
      </c>
      <c r="U1406" s="35"/>
      <c r="V1406" s="35"/>
      <c r="W1406" s="35"/>
      <c r="X1406" s="35"/>
    </row>
    <row r="1407" spans="4:24" x14ac:dyDescent="0.3">
      <c r="D1407" s="23">
        <v>41621</v>
      </c>
      <c r="E1407" s="5">
        <v>147.39392100000001</v>
      </c>
      <c r="F1407" s="28">
        <v>60.701149999999998</v>
      </c>
      <c r="G1407" s="28">
        <v>119.38</v>
      </c>
      <c r="H1407" s="28">
        <v>77.449740000000006</v>
      </c>
      <c r="I1407" s="28">
        <v>76.775970000000001</v>
      </c>
      <c r="J1407" s="29"/>
      <c r="K1407" s="29"/>
      <c r="L1407" s="29"/>
      <c r="M1407" s="29"/>
      <c r="N1407" s="29"/>
      <c r="P1407" s="4">
        <f t="shared" si="89"/>
        <v>-1.1252205490950132E-4</v>
      </c>
      <c r="Q1407" s="4">
        <f t="shared" si="89"/>
        <v>1.1190561207625577E-3</v>
      </c>
      <c r="R1407" s="4">
        <f t="shared" si="89"/>
        <v>9.1724461828582102E-3</v>
      </c>
      <c r="S1407" s="4">
        <f t="shared" si="89"/>
        <v>-1.2957429527374875E-3</v>
      </c>
      <c r="T1407" s="4">
        <f t="shared" si="89"/>
        <v>3.2450312128870398E-4</v>
      </c>
      <c r="U1407" s="35"/>
      <c r="V1407" s="35"/>
      <c r="W1407" s="35"/>
      <c r="X1407" s="35"/>
    </row>
    <row r="1408" spans="4:24" x14ac:dyDescent="0.3">
      <c r="D1408" s="23">
        <v>41624</v>
      </c>
      <c r="E1408" s="5">
        <v>148.31251499999999</v>
      </c>
      <c r="F1408" s="28">
        <v>60.72383</v>
      </c>
      <c r="G1408" s="28">
        <v>119.69</v>
      </c>
      <c r="H1408" s="28">
        <v>77.878739999999993</v>
      </c>
      <c r="I1408" s="28">
        <v>77.315719999999999</v>
      </c>
      <c r="J1408" s="29"/>
      <c r="K1408" s="29"/>
      <c r="L1408" s="29"/>
      <c r="M1408" s="29"/>
      <c r="N1408" s="29"/>
      <c r="P1408" s="4">
        <f t="shared" si="89"/>
        <v>6.212897948670304E-3</v>
      </c>
      <c r="Q1408" s="4">
        <f t="shared" si="89"/>
        <v>3.7356399422501253E-4</v>
      </c>
      <c r="R1408" s="4">
        <f t="shared" si="89"/>
        <v>2.5933841447753595E-3</v>
      </c>
      <c r="S1408" s="4">
        <f t="shared" si="89"/>
        <v>5.5237917838800643E-3</v>
      </c>
      <c r="T1408" s="4">
        <f t="shared" si="89"/>
        <v>7.005597868435201E-3</v>
      </c>
      <c r="U1408" s="35"/>
      <c r="V1408" s="35"/>
      <c r="W1408" s="35"/>
      <c r="X1408" s="35"/>
    </row>
    <row r="1409" spans="4:24" x14ac:dyDescent="0.3">
      <c r="D1409" s="23">
        <v>41625</v>
      </c>
      <c r="E1409" s="5">
        <v>147.84082000000001</v>
      </c>
      <c r="F1409" s="28">
        <v>60.837049999999998</v>
      </c>
      <c r="G1409" s="28">
        <v>118.65</v>
      </c>
      <c r="H1409" s="28">
        <v>77.723590000000002</v>
      </c>
      <c r="I1409" s="28">
        <v>77.083209999999994</v>
      </c>
      <c r="J1409" s="29"/>
      <c r="K1409" s="29"/>
      <c r="L1409" s="29"/>
      <c r="M1409" s="29"/>
      <c r="N1409" s="29"/>
      <c r="P1409" s="4">
        <f t="shared" si="89"/>
        <v>-3.1854809189887641E-3</v>
      </c>
      <c r="Q1409" s="4">
        <f t="shared" si="89"/>
        <v>1.8627708640912345E-3</v>
      </c>
      <c r="R1409" s="4">
        <f t="shared" si="89"/>
        <v>-8.7270840035064152E-3</v>
      </c>
      <c r="S1409" s="4">
        <f t="shared" si="89"/>
        <v>-1.9941867376464845E-3</v>
      </c>
      <c r="T1409" s="4">
        <f t="shared" si="89"/>
        <v>-3.0118107134321911E-3</v>
      </c>
      <c r="U1409" s="35"/>
      <c r="V1409" s="35"/>
      <c r="W1409" s="35"/>
      <c r="X1409" s="35"/>
    </row>
    <row r="1410" spans="4:24" x14ac:dyDescent="0.3">
      <c r="D1410" s="23">
        <v>41626</v>
      </c>
      <c r="E1410" s="5">
        <v>150.36483799999999</v>
      </c>
      <c r="F1410" s="28">
        <v>60.814360000000001</v>
      </c>
      <c r="G1410" s="28">
        <v>117.61</v>
      </c>
      <c r="H1410" s="28">
        <v>78.62724</v>
      </c>
      <c r="I1410" s="28">
        <v>78.328789999999998</v>
      </c>
      <c r="J1410" s="29"/>
      <c r="K1410" s="29"/>
      <c r="L1410" s="29"/>
      <c r="M1410" s="29"/>
      <c r="N1410" s="29"/>
      <c r="P1410" s="4">
        <f t="shared" si="89"/>
        <v>1.6928439874216234E-2</v>
      </c>
      <c r="Q1410" s="4">
        <f t="shared" si="89"/>
        <v>-3.7303308302157002E-4</v>
      </c>
      <c r="R1410" s="4">
        <f t="shared" si="89"/>
        <v>-8.8039170188274254E-3</v>
      </c>
      <c r="S1410" s="4">
        <f t="shared" si="89"/>
        <v>1.1559389381961088E-2</v>
      </c>
      <c r="T1410" s="4">
        <f t="shared" si="89"/>
        <v>1.6029736070839393E-2</v>
      </c>
      <c r="U1410" s="35"/>
      <c r="V1410" s="35"/>
      <c r="W1410" s="35"/>
      <c r="X1410" s="35"/>
    </row>
    <row r="1411" spans="4:24" x14ac:dyDescent="0.3">
      <c r="D1411" s="23">
        <v>41627</v>
      </c>
      <c r="E1411" s="5">
        <v>150.191101</v>
      </c>
      <c r="F1411" s="28">
        <v>60.701149999999998</v>
      </c>
      <c r="G1411" s="28">
        <v>114.82</v>
      </c>
      <c r="H1411" s="28">
        <v>78.408169999999998</v>
      </c>
      <c r="I1411" s="28">
        <v>78.220830000000007</v>
      </c>
      <c r="J1411" s="29"/>
      <c r="K1411" s="29"/>
      <c r="L1411" s="29"/>
      <c r="M1411" s="29"/>
      <c r="N1411" s="29"/>
      <c r="P1411" s="4">
        <f t="shared" si="89"/>
        <v>-1.1561043839567401E-3</v>
      </c>
      <c r="Q1411" s="4">
        <f t="shared" si="89"/>
        <v>-1.863301775294706E-3</v>
      </c>
      <c r="R1411" s="4">
        <f t="shared" si="89"/>
        <v>-2.4008381123454499E-2</v>
      </c>
      <c r="S1411" s="4">
        <f t="shared" si="89"/>
        <v>-2.7900731702826635E-3</v>
      </c>
      <c r="T1411" s="4">
        <f t="shared" si="89"/>
        <v>-1.3792434260071959E-3</v>
      </c>
      <c r="U1411" s="35"/>
      <c r="V1411" s="35"/>
      <c r="W1411" s="35"/>
      <c r="X1411" s="35"/>
    </row>
    <row r="1412" spans="4:24" x14ac:dyDescent="0.3">
      <c r="D1412" s="23">
        <v>41628</v>
      </c>
      <c r="E1412" s="5">
        <v>151.06471300000001</v>
      </c>
      <c r="F1412" s="28">
        <v>60.814360000000001</v>
      </c>
      <c r="G1412" s="28">
        <v>115.94</v>
      </c>
      <c r="H1412" s="28">
        <v>79.206639999999993</v>
      </c>
      <c r="I1412" s="28">
        <v>78.741709999999998</v>
      </c>
      <c r="J1412" s="29"/>
      <c r="K1412" s="29"/>
      <c r="L1412" s="29"/>
      <c r="M1412" s="29"/>
      <c r="N1412" s="29"/>
      <c r="P1412" s="4">
        <f t="shared" si="89"/>
        <v>5.7998180169268757E-3</v>
      </c>
      <c r="Q1412" s="4">
        <f t="shared" si="89"/>
        <v>1.8633017752948285E-3</v>
      </c>
      <c r="R1412" s="4">
        <f t="shared" si="89"/>
        <v>9.7071311720960587E-3</v>
      </c>
      <c r="S1412" s="4">
        <f t="shared" si="89"/>
        <v>1.013200257934186E-2</v>
      </c>
      <c r="T1412" s="4">
        <f t="shared" si="89"/>
        <v>6.6370219552368808E-3</v>
      </c>
      <c r="U1412" s="35"/>
      <c r="V1412" s="35"/>
      <c r="W1412" s="35"/>
      <c r="X1412" s="35"/>
    </row>
    <row r="1413" spans="4:24" x14ac:dyDescent="0.3">
      <c r="D1413" s="23">
        <v>41631</v>
      </c>
      <c r="E1413" s="5">
        <v>151.87176500000001</v>
      </c>
      <c r="F1413" s="28">
        <v>60.738889999999998</v>
      </c>
      <c r="G1413" s="28">
        <v>115.57</v>
      </c>
      <c r="H1413" s="28">
        <v>80.039929999999998</v>
      </c>
      <c r="I1413" s="28">
        <v>79.209149999999994</v>
      </c>
      <c r="J1413" s="29"/>
      <c r="K1413" s="29"/>
      <c r="L1413" s="29"/>
      <c r="M1413" s="29"/>
      <c r="N1413" s="29"/>
      <c r="P1413" s="4">
        <f t="shared" ref="P1413:T1428" si="90">LN(E1413/E1412)</f>
        <v>5.3282055344582727E-3</v>
      </c>
      <c r="Q1413" s="4">
        <f t="shared" si="90"/>
        <v>-1.2417604580330847E-3</v>
      </c>
      <c r="R1413" s="4">
        <f t="shared" si="90"/>
        <v>-3.1964089242368494E-3</v>
      </c>
      <c r="S1413" s="4">
        <f t="shared" si="90"/>
        <v>1.0465501462453957E-2</v>
      </c>
      <c r="T1413" s="4">
        <f t="shared" si="90"/>
        <v>5.9188201270850057E-3</v>
      </c>
      <c r="U1413" s="35"/>
      <c r="V1413" s="35"/>
      <c r="W1413" s="35"/>
      <c r="X1413" s="35"/>
    </row>
    <row r="1414" spans="4:24" x14ac:dyDescent="0.3">
      <c r="D1414" s="23">
        <v>41632</v>
      </c>
      <c r="E1414" s="5">
        <v>152.20452900000001</v>
      </c>
      <c r="F1414" s="28">
        <v>60.610959999999999</v>
      </c>
      <c r="G1414" s="28">
        <v>116.1</v>
      </c>
      <c r="H1414" s="28">
        <v>80.076530000000005</v>
      </c>
      <c r="I1414" s="28">
        <v>79.426190000000005</v>
      </c>
      <c r="J1414" s="29"/>
      <c r="K1414" s="29"/>
      <c r="L1414" s="29"/>
      <c r="M1414" s="29"/>
      <c r="N1414" s="29"/>
      <c r="P1414" s="4">
        <f t="shared" si="90"/>
        <v>2.1886884272418567E-3</v>
      </c>
      <c r="Q1414" s="4">
        <f t="shared" si="90"/>
        <v>-2.1084500292894662E-3</v>
      </c>
      <c r="R1414" s="4">
        <f t="shared" si="90"/>
        <v>4.5754817164957813E-3</v>
      </c>
      <c r="S1414" s="4">
        <f t="shared" si="90"/>
        <v>4.5716724735817455E-4</v>
      </c>
      <c r="T1414" s="4">
        <f t="shared" si="90"/>
        <v>2.7363402811121837E-3</v>
      </c>
      <c r="U1414" s="35"/>
      <c r="V1414" s="35"/>
      <c r="W1414" s="35"/>
      <c r="X1414" s="35"/>
    </row>
    <row r="1415" spans="4:24" x14ac:dyDescent="0.3">
      <c r="D1415" s="23">
        <v>41634</v>
      </c>
      <c r="E1415" s="5">
        <v>152.978317</v>
      </c>
      <c r="F1415" s="28">
        <v>60.520119999999999</v>
      </c>
      <c r="G1415" s="28">
        <v>116.74</v>
      </c>
      <c r="H1415" s="28">
        <v>80.342060000000004</v>
      </c>
      <c r="I1415" s="28">
        <v>79.801810000000003</v>
      </c>
      <c r="J1415" s="29"/>
      <c r="K1415" s="29"/>
      <c r="L1415" s="29"/>
      <c r="M1415" s="29"/>
      <c r="N1415" s="29"/>
      <c r="P1415" s="4">
        <f t="shared" si="90"/>
        <v>5.0709905114320842E-3</v>
      </c>
      <c r="Q1415" s="4">
        <f t="shared" si="90"/>
        <v>-1.4998630744379187E-3</v>
      </c>
      <c r="R1415" s="4">
        <f t="shared" si="90"/>
        <v>5.4973510717992056E-3</v>
      </c>
      <c r="S1415" s="4">
        <f t="shared" si="90"/>
        <v>3.3104672282620044E-3</v>
      </c>
      <c r="T1415" s="4">
        <f t="shared" si="90"/>
        <v>4.718023171386837E-3</v>
      </c>
      <c r="U1415" s="35"/>
      <c r="V1415" s="35"/>
      <c r="W1415" s="35"/>
      <c r="X1415" s="35"/>
    </row>
    <row r="1416" spans="4:24" x14ac:dyDescent="0.3">
      <c r="D1416" s="23">
        <v>41635</v>
      </c>
      <c r="E1416" s="5">
        <v>152.970078</v>
      </c>
      <c r="F1416" s="28">
        <v>60.520119999999999</v>
      </c>
      <c r="G1416" s="28">
        <v>117.12</v>
      </c>
      <c r="H1416" s="28">
        <v>80.140640000000005</v>
      </c>
      <c r="I1416" s="28">
        <v>79.751750000000001</v>
      </c>
      <c r="J1416" s="29"/>
      <c r="K1416" s="29"/>
      <c r="L1416" s="29"/>
      <c r="M1416" s="29"/>
      <c r="N1416" s="29"/>
      <c r="P1416" s="4">
        <f t="shared" si="90"/>
        <v>-5.385875616041999E-5</v>
      </c>
      <c r="Q1416" s="4">
        <f t="shared" si="90"/>
        <v>0</v>
      </c>
      <c r="R1416" s="4">
        <f t="shared" si="90"/>
        <v>3.2498104373566384E-3</v>
      </c>
      <c r="S1416" s="4">
        <f t="shared" si="90"/>
        <v>-2.5101784274840656E-3</v>
      </c>
      <c r="T1416" s="4">
        <f t="shared" si="90"/>
        <v>-6.2750090493285534E-4</v>
      </c>
      <c r="U1416" s="35"/>
      <c r="V1416" s="35"/>
      <c r="W1416" s="35"/>
      <c r="X1416" s="35"/>
    </row>
    <row r="1417" spans="4:24" x14ac:dyDescent="0.3">
      <c r="D1417" s="23">
        <v>41638</v>
      </c>
      <c r="E1417" s="5">
        <v>152.94512900000001</v>
      </c>
      <c r="F1417" s="28">
        <v>60.618499999999997</v>
      </c>
      <c r="G1417" s="28">
        <v>115.39</v>
      </c>
      <c r="H1417" s="28">
        <v>80.021609999999995</v>
      </c>
      <c r="I1417" s="28">
        <v>79.776759999999996</v>
      </c>
      <c r="J1417" s="29"/>
      <c r="K1417" s="29"/>
      <c r="L1417" s="29"/>
      <c r="M1417" s="29"/>
      <c r="N1417" s="29"/>
      <c r="P1417" s="4">
        <f t="shared" si="90"/>
        <v>-1.6311055798740739E-4</v>
      </c>
      <c r="Q1417" s="4">
        <f t="shared" si="90"/>
        <v>1.6242552809151928E-3</v>
      </c>
      <c r="R1417" s="4">
        <f t="shared" si="90"/>
        <v>-1.4881355006425069E-2</v>
      </c>
      <c r="S1417" s="4">
        <f t="shared" si="90"/>
        <v>-1.4863680038751316E-3</v>
      </c>
      <c r="T1417" s="4">
        <f t="shared" si="90"/>
        <v>3.135489725930047E-4</v>
      </c>
      <c r="U1417" s="35"/>
      <c r="V1417" s="35"/>
      <c r="W1417" s="35"/>
      <c r="X1417" s="35"/>
    </row>
    <row r="1418" spans="4:24" x14ac:dyDescent="0.3">
      <c r="D1418" s="23">
        <v>41639</v>
      </c>
      <c r="E1418" s="5">
        <v>153.66899100000001</v>
      </c>
      <c r="F1418" s="28">
        <v>60.595860000000002</v>
      </c>
      <c r="G1418" s="28">
        <v>116.12</v>
      </c>
      <c r="H1418" s="28">
        <v>80.543559999999999</v>
      </c>
      <c r="I1418" s="28">
        <v>80.068939999999998</v>
      </c>
      <c r="J1418" s="29"/>
      <c r="K1418" s="29"/>
      <c r="L1418" s="29"/>
      <c r="M1418" s="29"/>
      <c r="N1418" s="29"/>
      <c r="P1418" s="4">
        <f t="shared" si="90"/>
        <v>4.7216569466346312E-3</v>
      </c>
      <c r="Q1418" s="4">
        <f t="shared" si="90"/>
        <v>-3.7355310481798556E-4</v>
      </c>
      <c r="R1418" s="4">
        <f t="shared" si="90"/>
        <v>6.3064439498529265E-3</v>
      </c>
      <c r="S1418" s="4">
        <f t="shared" si="90"/>
        <v>6.5014328886890795E-3</v>
      </c>
      <c r="T1418" s="4">
        <f t="shared" si="90"/>
        <v>3.6557796100702838E-3</v>
      </c>
      <c r="U1418" s="35"/>
      <c r="V1418" s="35"/>
      <c r="W1418" s="35"/>
      <c r="X1418" s="35"/>
    </row>
    <row r="1419" spans="4:24" x14ac:dyDescent="0.3">
      <c r="D1419" s="23">
        <v>41641</v>
      </c>
      <c r="E1419" s="5">
        <v>152.19622799999999</v>
      </c>
      <c r="F1419" s="28">
        <v>60.648829999999997</v>
      </c>
      <c r="G1419" s="28">
        <v>118</v>
      </c>
      <c r="H1419" s="28">
        <v>79.911739999999995</v>
      </c>
      <c r="I1419" s="28">
        <v>79.367779999999996</v>
      </c>
      <c r="J1419" s="29"/>
      <c r="K1419" s="29"/>
      <c r="L1419" s="29"/>
      <c r="M1419" s="29"/>
      <c r="N1419" s="29"/>
      <c r="P1419" s="4">
        <f t="shared" si="90"/>
        <v>-9.6302180871428739E-3</v>
      </c>
      <c r="Q1419" s="4">
        <f t="shared" si="90"/>
        <v>8.737702800856649E-4</v>
      </c>
      <c r="R1419" s="4">
        <f t="shared" si="90"/>
        <v>1.6060485309235501E-2</v>
      </c>
      <c r="S1419" s="4">
        <f t="shared" si="90"/>
        <v>-7.875380439762816E-3</v>
      </c>
      <c r="T1419" s="4">
        <f t="shared" si="90"/>
        <v>-8.7955211347626773E-3</v>
      </c>
      <c r="U1419" s="35"/>
      <c r="V1419" s="35"/>
      <c r="W1419" s="35"/>
      <c r="X1419" s="35"/>
    </row>
    <row r="1420" spans="4:24" x14ac:dyDescent="0.3">
      <c r="D1420" s="23">
        <v>41642</v>
      </c>
      <c r="E1420" s="5">
        <v>152.17128</v>
      </c>
      <c r="F1420" s="28">
        <v>60.656379999999999</v>
      </c>
      <c r="G1420" s="28">
        <v>119.29</v>
      </c>
      <c r="H1420" s="28">
        <v>79.33484</v>
      </c>
      <c r="I1420" s="28">
        <v>79.351060000000004</v>
      </c>
      <c r="J1420" s="29"/>
      <c r="K1420" s="29"/>
      <c r="L1420" s="29"/>
      <c r="M1420" s="29"/>
      <c r="N1420" s="29"/>
      <c r="P1420" s="4">
        <f t="shared" si="90"/>
        <v>-1.6393339893476514E-4</v>
      </c>
      <c r="Q1420" s="4">
        <f t="shared" si="90"/>
        <v>1.2447940215850261E-4</v>
      </c>
      <c r="R1420" s="4">
        <f t="shared" si="90"/>
        <v>1.0872878828189662E-2</v>
      </c>
      <c r="S1420" s="4">
        <f t="shared" si="90"/>
        <v>-7.2453992259532141E-3</v>
      </c>
      <c r="T1420" s="4">
        <f t="shared" si="90"/>
        <v>-2.1068702444952873E-4</v>
      </c>
      <c r="U1420" s="35"/>
      <c r="V1420" s="35"/>
      <c r="W1420" s="35"/>
      <c r="X1420" s="35"/>
    </row>
    <row r="1421" spans="4:24" x14ac:dyDescent="0.3">
      <c r="D1421" s="23">
        <v>41645</v>
      </c>
      <c r="E1421" s="5">
        <v>151.73034699999999</v>
      </c>
      <c r="F1421" s="28">
        <v>60.709400000000002</v>
      </c>
      <c r="G1421" s="28">
        <v>119.5</v>
      </c>
      <c r="H1421" s="28">
        <v>79.041809999999998</v>
      </c>
      <c r="I1421" s="28">
        <v>79.14237</v>
      </c>
      <c r="J1421" s="29"/>
      <c r="K1421" s="29"/>
      <c r="L1421" s="29"/>
      <c r="M1421" s="29"/>
      <c r="N1421" s="29"/>
      <c r="P1421" s="4">
        <f t="shared" si="90"/>
        <v>-2.9018160498867737E-3</v>
      </c>
      <c r="Q1421" s="4">
        <f t="shared" si="90"/>
        <v>8.737224508081566E-4</v>
      </c>
      <c r="R1421" s="4">
        <f t="shared" si="90"/>
        <v>1.7588680777109033E-3</v>
      </c>
      <c r="S1421" s="4">
        <f t="shared" si="90"/>
        <v>-3.7004234446787313E-3</v>
      </c>
      <c r="T1421" s="4">
        <f t="shared" si="90"/>
        <v>-2.6334229829459389E-3</v>
      </c>
      <c r="U1421" s="35"/>
      <c r="V1421" s="35"/>
      <c r="W1421" s="35"/>
      <c r="X1421" s="35"/>
    </row>
    <row r="1422" spans="4:24" x14ac:dyDescent="0.3">
      <c r="D1422" s="23">
        <v>41646</v>
      </c>
      <c r="E1422" s="5">
        <v>152.66218599999999</v>
      </c>
      <c r="F1422" s="28">
        <v>60.785110000000003</v>
      </c>
      <c r="G1422" s="28">
        <v>118.82</v>
      </c>
      <c r="H1422" s="28">
        <v>79.774389999999997</v>
      </c>
      <c r="I1422" s="28">
        <v>79.651589999999999</v>
      </c>
      <c r="J1422" s="29"/>
      <c r="K1422" s="29"/>
      <c r="L1422" s="29"/>
      <c r="M1422" s="29"/>
      <c r="N1422" s="29"/>
      <c r="P1422" s="4">
        <f t="shared" si="90"/>
        <v>6.1226331787671666E-3</v>
      </c>
      <c r="Q1422" s="4">
        <f t="shared" si="90"/>
        <v>1.2463116201707591E-3</v>
      </c>
      <c r="R1422" s="4">
        <f t="shared" si="90"/>
        <v>-5.7066284439700275E-3</v>
      </c>
      <c r="S1422" s="4">
        <f t="shared" si="90"/>
        <v>9.2255726542879966E-3</v>
      </c>
      <c r="T1422" s="4">
        <f t="shared" si="90"/>
        <v>6.413616053659396E-3</v>
      </c>
      <c r="U1422" s="35"/>
      <c r="V1422" s="35"/>
      <c r="W1422" s="35"/>
      <c r="X1422" s="35"/>
    </row>
    <row r="1423" spans="4:24" x14ac:dyDescent="0.3">
      <c r="D1423" s="23">
        <v>41647</v>
      </c>
      <c r="E1423" s="5">
        <v>152.69549599999999</v>
      </c>
      <c r="F1423" s="28">
        <v>60.588259999999998</v>
      </c>
      <c r="G1423" s="28">
        <v>118.12</v>
      </c>
      <c r="H1423" s="28">
        <v>79.948350000000005</v>
      </c>
      <c r="I1423" s="28">
        <v>79.709990000000005</v>
      </c>
      <c r="J1423" s="29"/>
      <c r="K1423" s="29"/>
      <c r="L1423" s="29"/>
      <c r="M1423" s="29"/>
      <c r="N1423" s="29"/>
      <c r="P1423" s="4">
        <f t="shared" si="90"/>
        <v>2.1817037589472795E-4</v>
      </c>
      <c r="Q1423" s="4">
        <f t="shared" si="90"/>
        <v>-3.2437127287350889E-3</v>
      </c>
      <c r="R1423" s="4">
        <f t="shared" si="90"/>
        <v>-5.9086860518733674E-3</v>
      </c>
      <c r="S1423" s="4">
        <f t="shared" si="90"/>
        <v>2.178275539037355E-3</v>
      </c>
      <c r="T1423" s="4">
        <f t="shared" si="90"/>
        <v>7.3292449302105847E-4</v>
      </c>
      <c r="U1423" s="35"/>
      <c r="V1423" s="35"/>
      <c r="W1423" s="35"/>
      <c r="X1423" s="35"/>
    </row>
    <row r="1424" spans="4:24" x14ac:dyDescent="0.3">
      <c r="D1424" s="23">
        <v>41648</v>
      </c>
      <c r="E1424" s="5">
        <v>152.795334</v>
      </c>
      <c r="F1424" s="28">
        <v>60.701799999999999</v>
      </c>
      <c r="G1424" s="28">
        <v>118.46</v>
      </c>
      <c r="H1424" s="28">
        <v>79.682810000000003</v>
      </c>
      <c r="I1424" s="28">
        <v>79.776759999999996</v>
      </c>
      <c r="J1424" s="29"/>
      <c r="K1424" s="29"/>
      <c r="L1424" s="29"/>
      <c r="M1424" s="29"/>
      <c r="N1424" s="29"/>
      <c r="P1424" s="4">
        <f t="shared" si="90"/>
        <v>6.536235706613658E-4</v>
      </c>
      <c r="Q1424" s="4">
        <f t="shared" si="90"/>
        <v>1.8722067276515377E-3</v>
      </c>
      <c r="R1424" s="4">
        <f t="shared" si="90"/>
        <v>2.8742939730970604E-3</v>
      </c>
      <c r="S1424" s="4">
        <f t="shared" si="90"/>
        <v>-3.3269224495453636E-3</v>
      </c>
      <c r="T1424" s="4">
        <f t="shared" si="90"/>
        <v>8.3731098540741232E-4</v>
      </c>
      <c r="U1424" s="35"/>
      <c r="V1424" s="35"/>
      <c r="W1424" s="35"/>
      <c r="X1424" s="35"/>
    </row>
    <row r="1425" spans="4:24" x14ac:dyDescent="0.3">
      <c r="D1425" s="23">
        <v>41649</v>
      </c>
      <c r="E1425" s="5">
        <v>153.21139500000001</v>
      </c>
      <c r="F1425" s="28">
        <v>60.997019999999999</v>
      </c>
      <c r="G1425" s="28">
        <v>120.26</v>
      </c>
      <c r="H1425" s="28">
        <v>79.939189999999996</v>
      </c>
      <c r="I1425" s="28">
        <v>80.002170000000007</v>
      </c>
      <c r="J1425" s="29"/>
      <c r="K1425" s="29"/>
      <c r="L1425" s="29"/>
      <c r="M1425" s="29"/>
      <c r="N1425" s="29"/>
      <c r="P1425" s="4">
        <f t="shared" si="90"/>
        <v>2.7192948190525963E-3</v>
      </c>
      <c r="Q1425" s="4">
        <f t="shared" si="90"/>
        <v>4.8516588589504212E-3</v>
      </c>
      <c r="R1425" s="4">
        <f t="shared" si="90"/>
        <v>1.5080714762603585E-2</v>
      </c>
      <c r="S1425" s="4">
        <f t="shared" si="90"/>
        <v>3.2123419136259328E-3</v>
      </c>
      <c r="T1425" s="4">
        <f t="shared" si="90"/>
        <v>2.821525335547454E-3</v>
      </c>
      <c r="U1425" s="35"/>
      <c r="V1425" s="35"/>
      <c r="W1425" s="35"/>
      <c r="X1425" s="35"/>
    </row>
    <row r="1426" spans="4:24" x14ac:dyDescent="0.3">
      <c r="D1426" s="23">
        <v>41652</v>
      </c>
      <c r="E1426" s="5">
        <v>151.172867</v>
      </c>
      <c r="F1426" s="28">
        <v>61.080280000000002</v>
      </c>
      <c r="G1426" s="28">
        <v>121.02</v>
      </c>
      <c r="H1426" s="28">
        <v>78.75797</v>
      </c>
      <c r="I1426" s="28">
        <v>78.992130000000003</v>
      </c>
      <c r="J1426" s="29"/>
      <c r="K1426" s="29"/>
      <c r="L1426" s="29"/>
      <c r="M1426" s="29"/>
      <c r="N1426" s="29"/>
      <c r="P1426" s="4">
        <f t="shared" si="90"/>
        <v>-1.3394637852041189E-2</v>
      </c>
      <c r="Q1426" s="4">
        <f t="shared" si="90"/>
        <v>1.3640539708817284E-3</v>
      </c>
      <c r="R1426" s="4">
        <f t="shared" si="90"/>
        <v>6.2997555827526194E-3</v>
      </c>
      <c r="S1426" s="4">
        <f t="shared" si="90"/>
        <v>-1.4886741698460892E-2</v>
      </c>
      <c r="T1426" s="4">
        <f t="shared" si="90"/>
        <v>-1.2705532054575594E-2</v>
      </c>
      <c r="U1426" s="35"/>
      <c r="V1426" s="35"/>
      <c r="W1426" s="35"/>
      <c r="X1426" s="35"/>
    </row>
    <row r="1427" spans="4:24" x14ac:dyDescent="0.3">
      <c r="D1427" s="23">
        <v>41653</v>
      </c>
      <c r="E1427" s="5">
        <v>152.82029700000001</v>
      </c>
      <c r="F1427" s="28">
        <v>60.989440000000002</v>
      </c>
      <c r="G1427" s="28">
        <v>119.89</v>
      </c>
      <c r="H1427" s="28">
        <v>80.259690000000006</v>
      </c>
      <c r="I1427" s="28">
        <v>79.860240000000005</v>
      </c>
      <c r="J1427" s="29"/>
      <c r="K1427" s="29"/>
      <c r="L1427" s="29"/>
      <c r="M1427" s="29"/>
      <c r="N1427" s="29"/>
      <c r="P1427" s="4">
        <f t="shared" si="90"/>
        <v>1.0838705096465784E-2</v>
      </c>
      <c r="Q1427" s="4">
        <f t="shared" si="90"/>
        <v>-1.4883300587321343E-3</v>
      </c>
      <c r="R1427" s="4">
        <f t="shared" si="90"/>
        <v>-9.3811654746131061E-3</v>
      </c>
      <c r="S1427" s="4">
        <f t="shared" si="90"/>
        <v>1.888802345033264E-2</v>
      </c>
      <c r="T1427" s="4">
        <f t="shared" si="90"/>
        <v>1.0929879638333213E-2</v>
      </c>
      <c r="U1427" s="35"/>
      <c r="V1427" s="35"/>
      <c r="W1427" s="35"/>
      <c r="X1427" s="35"/>
    </row>
    <row r="1428" spans="4:24" x14ac:dyDescent="0.3">
      <c r="D1428" s="23">
        <v>41654</v>
      </c>
      <c r="E1428" s="5">
        <v>153.64402799999999</v>
      </c>
      <c r="F1428" s="28">
        <v>60.951590000000003</v>
      </c>
      <c r="G1428" s="28">
        <v>119.66</v>
      </c>
      <c r="H1428" s="28">
        <v>80.918959999999998</v>
      </c>
      <c r="I1428" s="28">
        <v>80.260940000000005</v>
      </c>
      <c r="J1428" s="29"/>
      <c r="K1428" s="29"/>
      <c r="L1428" s="29"/>
      <c r="M1428" s="29"/>
      <c r="N1428" s="29"/>
      <c r="P1428" s="4">
        <f t="shared" si="90"/>
        <v>5.3757185845667932E-3</v>
      </c>
      <c r="Q1428" s="4">
        <f t="shared" si="90"/>
        <v>-6.2079188958069848E-4</v>
      </c>
      <c r="R1428" s="4">
        <f t="shared" si="90"/>
        <v>-1.9202677576765608E-3</v>
      </c>
      <c r="S1428" s="4">
        <f t="shared" si="90"/>
        <v>8.1806576329866449E-3</v>
      </c>
      <c r="T1428" s="4">
        <f t="shared" si="90"/>
        <v>5.0049698166306665E-3</v>
      </c>
      <c r="U1428" s="35"/>
      <c r="V1428" s="35"/>
      <c r="W1428" s="35"/>
      <c r="X1428" s="35"/>
    </row>
    <row r="1429" spans="4:24" x14ac:dyDescent="0.3">
      <c r="D1429" s="23">
        <v>41655</v>
      </c>
      <c r="E1429" s="5">
        <v>153.44433599999999</v>
      </c>
      <c r="F1429" s="28">
        <v>61.087879999999998</v>
      </c>
      <c r="G1429" s="28">
        <v>119.79</v>
      </c>
      <c r="H1429" s="28">
        <v>80.928139999999999</v>
      </c>
      <c r="I1429" s="28">
        <v>80.202510000000004</v>
      </c>
      <c r="J1429" s="29"/>
      <c r="K1429" s="29"/>
      <c r="L1429" s="29"/>
      <c r="M1429" s="29"/>
      <c r="N1429" s="29"/>
      <c r="P1429" s="4">
        <f t="shared" ref="P1429:T1444" si="91">LN(E1429/E1428)</f>
        <v>-1.300550926424101E-3</v>
      </c>
      <c r="Q1429" s="4">
        <f t="shared" si="91"/>
        <v>2.2335406186080151E-3</v>
      </c>
      <c r="R1429" s="4">
        <f t="shared" si="91"/>
        <v>1.0858217813539688E-3</v>
      </c>
      <c r="S1429" s="4">
        <f t="shared" si="91"/>
        <v>1.1344040158707464E-4</v>
      </c>
      <c r="T1429" s="4">
        <f t="shared" si="91"/>
        <v>-7.2826556555359492E-4</v>
      </c>
      <c r="U1429" s="35"/>
      <c r="V1429" s="35"/>
      <c r="W1429" s="35"/>
      <c r="X1429" s="35"/>
    </row>
    <row r="1430" spans="4:24" x14ac:dyDescent="0.3">
      <c r="D1430" s="23">
        <v>41656</v>
      </c>
      <c r="E1430" s="5">
        <v>152.795334</v>
      </c>
      <c r="F1430" s="28">
        <v>61.155990000000003</v>
      </c>
      <c r="G1430" s="28">
        <v>120.93</v>
      </c>
      <c r="H1430" s="28">
        <v>80.470309999999998</v>
      </c>
      <c r="I1430" s="28">
        <v>79.893649999999994</v>
      </c>
      <c r="J1430" s="29"/>
      <c r="K1430" s="29"/>
      <c r="L1430" s="29"/>
      <c r="M1430" s="29"/>
      <c r="N1430" s="29"/>
      <c r="P1430" s="4">
        <f t="shared" si="91"/>
        <v>-4.2385297216198841E-3</v>
      </c>
      <c r="Q1430" s="4">
        <f t="shared" si="91"/>
        <v>1.114330019948834E-3</v>
      </c>
      <c r="R1430" s="4">
        <f t="shared" si="91"/>
        <v>9.4716560539444758E-3</v>
      </c>
      <c r="S1430" s="4">
        <f t="shared" si="91"/>
        <v>-5.6733039008750839E-3</v>
      </c>
      <c r="T1430" s="4">
        <f t="shared" si="91"/>
        <v>-3.8584358697929845E-3</v>
      </c>
      <c r="U1430" s="35"/>
      <c r="V1430" s="35"/>
      <c r="W1430" s="35"/>
      <c r="X1430" s="35"/>
    </row>
    <row r="1431" spans="4:24" x14ac:dyDescent="0.3">
      <c r="D1431" s="23">
        <v>41660</v>
      </c>
      <c r="E1431" s="5">
        <v>153.244629</v>
      </c>
      <c r="F1431" s="28">
        <v>61.155990000000003</v>
      </c>
      <c r="G1431" s="28">
        <v>119.7</v>
      </c>
      <c r="H1431" s="28">
        <v>81.083830000000006</v>
      </c>
      <c r="I1431" s="28">
        <v>80.160769999999999</v>
      </c>
      <c r="J1431" s="29"/>
      <c r="K1431" s="29"/>
      <c r="L1431" s="29"/>
      <c r="M1431" s="29"/>
      <c r="N1431" s="29"/>
      <c r="P1431" s="4">
        <f t="shared" si="91"/>
        <v>2.9361872768772245E-3</v>
      </c>
      <c r="Q1431" s="4">
        <f t="shared" si="91"/>
        <v>0</v>
      </c>
      <c r="R1431" s="4">
        <f t="shared" si="91"/>
        <v>-1.0223253233256681E-2</v>
      </c>
      <c r="S1431" s="4">
        <f t="shared" si="91"/>
        <v>7.5952612466876675E-3</v>
      </c>
      <c r="T1431" s="4">
        <f t="shared" si="91"/>
        <v>3.3378678077952586E-3</v>
      </c>
      <c r="U1431" s="35"/>
      <c r="V1431" s="35"/>
      <c r="W1431" s="35"/>
      <c r="X1431" s="35"/>
    </row>
    <row r="1432" spans="4:24" x14ac:dyDescent="0.3">
      <c r="D1432" s="23">
        <v>41661</v>
      </c>
      <c r="E1432" s="5">
        <v>153.34446700000001</v>
      </c>
      <c r="F1432" s="28">
        <v>61.05</v>
      </c>
      <c r="G1432" s="28">
        <v>119.19</v>
      </c>
      <c r="H1432" s="28">
        <v>81.294399999999996</v>
      </c>
      <c r="I1432" s="28">
        <v>80.311030000000002</v>
      </c>
      <c r="J1432" s="29"/>
      <c r="K1432" s="29"/>
      <c r="L1432" s="29"/>
      <c r="M1432" s="29"/>
      <c r="N1432" s="29"/>
      <c r="P1432" s="4">
        <f t="shared" si="91"/>
        <v>6.5128215472485943E-4</v>
      </c>
      <c r="Q1432" s="4">
        <f t="shared" si="91"/>
        <v>-1.7346126253867324E-3</v>
      </c>
      <c r="R1432" s="4">
        <f t="shared" si="91"/>
        <v>-4.2697540693102595E-3</v>
      </c>
      <c r="S1432" s="4">
        <f t="shared" si="91"/>
        <v>2.5935757279237095E-3</v>
      </c>
      <c r="T1432" s="4">
        <f t="shared" si="91"/>
        <v>1.8727283412396749E-3</v>
      </c>
      <c r="U1432" s="35"/>
      <c r="V1432" s="35"/>
      <c r="W1432" s="35"/>
      <c r="X1432" s="35"/>
    </row>
    <row r="1433" spans="4:24" x14ac:dyDescent="0.3">
      <c r="D1433" s="23">
        <v>41662</v>
      </c>
      <c r="E1433" s="5">
        <v>152.088043</v>
      </c>
      <c r="F1433" s="28">
        <v>61.216560000000001</v>
      </c>
      <c r="G1433" s="28">
        <v>121.79</v>
      </c>
      <c r="H1433" s="28">
        <v>81.019710000000003</v>
      </c>
      <c r="I1433" s="28">
        <v>79.618179999999995</v>
      </c>
      <c r="J1433" s="29"/>
      <c r="K1433" s="29"/>
      <c r="L1433" s="29"/>
      <c r="M1433" s="29"/>
      <c r="N1433" s="29"/>
      <c r="P1433" s="4">
        <f t="shared" si="91"/>
        <v>-8.2272256282186901E-3</v>
      </c>
      <c r="Q1433" s="4">
        <f t="shared" si="91"/>
        <v>2.7245405944669046E-3</v>
      </c>
      <c r="R1433" s="4">
        <f t="shared" si="91"/>
        <v>2.1579391604401841E-2</v>
      </c>
      <c r="S1433" s="4">
        <f t="shared" si="91"/>
        <v>-3.3846750875559605E-3</v>
      </c>
      <c r="T1433" s="4">
        <f t="shared" si="91"/>
        <v>-8.664512687419133E-3</v>
      </c>
      <c r="U1433" s="35"/>
      <c r="V1433" s="35"/>
      <c r="W1433" s="35"/>
      <c r="X1433" s="35"/>
    </row>
    <row r="1434" spans="4:24" x14ac:dyDescent="0.3">
      <c r="D1434" s="23">
        <v>41663</v>
      </c>
      <c r="E1434" s="5">
        <v>148.84316999999999</v>
      </c>
      <c r="F1434" s="28">
        <v>61.375489999999999</v>
      </c>
      <c r="G1434" s="28">
        <v>122.29</v>
      </c>
      <c r="H1434" s="28">
        <v>79.426419999999993</v>
      </c>
      <c r="I1434" s="28">
        <v>77.898589999999999</v>
      </c>
      <c r="J1434" s="29"/>
      <c r="K1434" s="29"/>
      <c r="L1434" s="29"/>
      <c r="M1434" s="29"/>
      <c r="N1434" s="29"/>
      <c r="P1434" s="4">
        <f t="shared" si="91"/>
        <v>-2.1566382130552529E-2</v>
      </c>
      <c r="Q1434" s="4">
        <f t="shared" si="91"/>
        <v>2.5928286383554598E-3</v>
      </c>
      <c r="R1434" s="4">
        <f t="shared" si="91"/>
        <v>4.0970231022592792E-3</v>
      </c>
      <c r="S1434" s="4">
        <f t="shared" si="91"/>
        <v>-1.986139990752598E-2</v>
      </c>
      <c r="T1434" s="4">
        <f t="shared" si="91"/>
        <v>-2.1834606148139618E-2</v>
      </c>
      <c r="U1434" s="35"/>
      <c r="V1434" s="35"/>
      <c r="W1434" s="35"/>
      <c r="X1434" s="35"/>
    </row>
    <row r="1435" spans="4:24" x14ac:dyDescent="0.3">
      <c r="D1435" s="23">
        <v>41666</v>
      </c>
      <c r="E1435" s="5">
        <v>148.11094700000001</v>
      </c>
      <c r="F1435" s="28">
        <v>61.261949999999999</v>
      </c>
      <c r="G1435" s="28">
        <v>120.96</v>
      </c>
      <c r="H1435" s="28">
        <v>78.657229999999998</v>
      </c>
      <c r="I1435" s="28">
        <v>77.397739999999999</v>
      </c>
      <c r="J1435" s="29"/>
      <c r="K1435" s="29"/>
      <c r="L1435" s="29"/>
      <c r="M1435" s="29"/>
      <c r="N1435" s="29"/>
      <c r="P1435" s="4">
        <f t="shared" si="91"/>
        <v>-4.9315664749146728E-3</v>
      </c>
      <c r="Q1435" s="4">
        <f t="shared" si="91"/>
        <v>-1.8516373538113649E-3</v>
      </c>
      <c r="R1435" s="4">
        <f t="shared" si="91"/>
        <v>-1.0935360770055788E-2</v>
      </c>
      <c r="S1435" s="4">
        <f t="shared" si="91"/>
        <v>-9.7315069626022731E-3</v>
      </c>
      <c r="T1435" s="4">
        <f t="shared" si="91"/>
        <v>-6.4502713815485484E-3</v>
      </c>
      <c r="U1435" s="35"/>
      <c r="V1435" s="35"/>
      <c r="W1435" s="35"/>
      <c r="X1435" s="35"/>
    </row>
    <row r="1436" spans="4:24" x14ac:dyDescent="0.3">
      <c r="D1436" s="23">
        <v>41667</v>
      </c>
      <c r="E1436" s="5">
        <v>148.99293499999999</v>
      </c>
      <c r="F1436" s="28">
        <v>61.314950000000003</v>
      </c>
      <c r="G1436" s="28">
        <v>120.95</v>
      </c>
      <c r="H1436" s="28">
        <v>78.611459999999994</v>
      </c>
      <c r="I1436" s="28">
        <v>77.94032</v>
      </c>
      <c r="J1436" s="29"/>
      <c r="K1436" s="29"/>
      <c r="L1436" s="29"/>
      <c r="M1436" s="29"/>
      <c r="N1436" s="29"/>
      <c r="P1436" s="4">
        <f t="shared" si="91"/>
        <v>5.9372538990285304E-3</v>
      </c>
      <c r="Q1436" s="4">
        <f t="shared" si="91"/>
        <v>8.6476331678910076E-4</v>
      </c>
      <c r="R1436" s="4">
        <f t="shared" si="91"/>
        <v>-8.2675375186513886E-5</v>
      </c>
      <c r="S1436" s="4">
        <f t="shared" si="91"/>
        <v>-5.8206120102128212E-4</v>
      </c>
      <c r="T1436" s="4">
        <f t="shared" si="91"/>
        <v>6.9858244215102831E-3</v>
      </c>
      <c r="U1436" s="35"/>
      <c r="V1436" s="35"/>
      <c r="W1436" s="35"/>
      <c r="X1436" s="35"/>
    </row>
    <row r="1437" spans="4:24" x14ac:dyDescent="0.3">
      <c r="D1437" s="23">
        <v>41668</v>
      </c>
      <c r="E1437" s="5">
        <v>147.561859</v>
      </c>
      <c r="F1437" s="28">
        <v>61.451180000000001</v>
      </c>
      <c r="G1437" s="28">
        <v>122.47</v>
      </c>
      <c r="H1437" s="28">
        <v>77.769009999999994</v>
      </c>
      <c r="I1437" s="28">
        <v>77.138999999999996</v>
      </c>
      <c r="J1437" s="29"/>
      <c r="K1437" s="29"/>
      <c r="L1437" s="29"/>
      <c r="M1437" s="29"/>
      <c r="N1437" s="29"/>
      <c r="P1437" s="4">
        <f t="shared" si="91"/>
        <v>-9.6514177996675169E-3</v>
      </c>
      <c r="Q1437" s="4">
        <f t="shared" si="91"/>
        <v>2.2193426789054462E-3</v>
      </c>
      <c r="R1437" s="4">
        <f t="shared" si="91"/>
        <v>1.2488864977159687E-2</v>
      </c>
      <c r="S1437" s="4">
        <f t="shared" si="91"/>
        <v>-1.0774467552455039E-2</v>
      </c>
      <c r="T1437" s="4">
        <f t="shared" si="91"/>
        <v>-1.0334416371520249E-2</v>
      </c>
      <c r="U1437" s="35"/>
      <c r="V1437" s="35"/>
      <c r="W1437" s="35"/>
      <c r="X1437" s="35"/>
    </row>
    <row r="1438" spans="4:24" x14ac:dyDescent="0.3">
      <c r="D1438" s="23">
        <v>41669</v>
      </c>
      <c r="E1438" s="5">
        <v>149.12603799999999</v>
      </c>
      <c r="F1438" s="28">
        <v>61.451180000000001</v>
      </c>
      <c r="G1438" s="28">
        <v>119.77</v>
      </c>
      <c r="H1438" s="28">
        <v>79.206639999999993</v>
      </c>
      <c r="I1438" s="28">
        <v>78.040509999999998</v>
      </c>
      <c r="J1438" s="29"/>
      <c r="K1438" s="29"/>
      <c r="L1438" s="29"/>
      <c r="M1438" s="29"/>
      <c r="N1438" s="29"/>
      <c r="P1438" s="4">
        <f t="shared" si="91"/>
        <v>1.0544370083145977E-2</v>
      </c>
      <c r="Q1438" s="4">
        <f t="shared" si="91"/>
        <v>0</v>
      </c>
      <c r="R1438" s="4">
        <f t="shared" si="91"/>
        <v>-2.2292865073780605E-2</v>
      </c>
      <c r="S1438" s="4">
        <f t="shared" si="91"/>
        <v>1.8317110908563822E-2</v>
      </c>
      <c r="T1438" s="4">
        <f t="shared" si="91"/>
        <v>1.1619061590791497E-2</v>
      </c>
      <c r="U1438" s="35"/>
      <c r="V1438" s="35"/>
      <c r="W1438" s="35"/>
      <c r="X1438" s="35"/>
    </row>
    <row r="1439" spans="4:24" x14ac:dyDescent="0.3">
      <c r="D1439" s="23">
        <v>41670</v>
      </c>
      <c r="E1439" s="5">
        <v>148.252396</v>
      </c>
      <c r="F1439" s="28">
        <v>61.534509999999997</v>
      </c>
      <c r="G1439" s="28">
        <v>120.09</v>
      </c>
      <c r="H1439" s="28">
        <v>78.996039999999994</v>
      </c>
      <c r="I1439" s="28">
        <v>77.531300000000002</v>
      </c>
      <c r="J1439" s="29"/>
      <c r="K1439" s="29"/>
      <c r="L1439" s="29"/>
      <c r="M1439" s="29"/>
      <c r="N1439" s="29"/>
      <c r="P1439" s="4">
        <f t="shared" si="91"/>
        <v>-5.8756413614412884E-3</v>
      </c>
      <c r="Q1439" s="4">
        <f t="shared" si="91"/>
        <v>1.3551172132606564E-3</v>
      </c>
      <c r="R1439" s="4">
        <f t="shared" si="91"/>
        <v>2.6682247131764921E-3</v>
      </c>
      <c r="S1439" s="4">
        <f t="shared" si="91"/>
        <v>-2.6624090616137819E-3</v>
      </c>
      <c r="T1439" s="4">
        <f t="shared" si="91"/>
        <v>-6.5463250506406024E-3</v>
      </c>
      <c r="U1439" s="35"/>
      <c r="V1439" s="35"/>
      <c r="W1439" s="35"/>
      <c r="X1439" s="35"/>
    </row>
    <row r="1440" spans="4:24" x14ac:dyDescent="0.3">
      <c r="D1440" s="23">
        <v>41673</v>
      </c>
      <c r="E1440" s="5">
        <v>144.915955</v>
      </c>
      <c r="F1440" s="28">
        <v>61.732460000000003</v>
      </c>
      <c r="G1440" s="28">
        <v>121.32</v>
      </c>
      <c r="H1440" s="28">
        <v>77.182990000000004</v>
      </c>
      <c r="I1440" s="28">
        <v>75.711579999999998</v>
      </c>
      <c r="J1440" s="29"/>
      <c r="K1440" s="29"/>
      <c r="L1440" s="29"/>
      <c r="M1440" s="29"/>
      <c r="N1440" s="29"/>
      <c r="P1440" s="4">
        <f t="shared" si="91"/>
        <v>-2.276224595002526E-2</v>
      </c>
      <c r="Q1440" s="4">
        <f t="shared" si="91"/>
        <v>3.2117309309713268E-3</v>
      </c>
      <c r="R1440" s="4">
        <f t="shared" si="91"/>
        <v>1.0190221147788238E-2</v>
      </c>
      <c r="S1440" s="4">
        <f t="shared" si="91"/>
        <v>-2.3218628662914232E-2</v>
      </c>
      <c r="T1440" s="4">
        <f t="shared" si="91"/>
        <v>-2.3750604789859086E-2</v>
      </c>
      <c r="U1440" s="35"/>
      <c r="V1440" s="35"/>
      <c r="W1440" s="35"/>
      <c r="X1440" s="35"/>
    </row>
    <row r="1441" spans="4:24" x14ac:dyDescent="0.3">
      <c r="D1441" s="23">
        <v>41674</v>
      </c>
      <c r="E1441" s="5">
        <v>145.93102999999999</v>
      </c>
      <c r="F1441" s="28">
        <v>61.633870000000002</v>
      </c>
      <c r="G1441" s="28">
        <v>120.99</v>
      </c>
      <c r="H1441" s="28">
        <v>77.750699999999995</v>
      </c>
      <c r="I1441" s="28">
        <v>76.287520000000001</v>
      </c>
      <c r="J1441" s="29"/>
      <c r="K1441" s="29"/>
      <c r="L1441" s="29"/>
      <c r="M1441" s="29"/>
      <c r="N1441" s="29"/>
      <c r="P1441" s="4">
        <f t="shared" si="91"/>
        <v>6.9801591474151093E-3</v>
      </c>
      <c r="Q1441" s="4">
        <f t="shared" si="91"/>
        <v>-1.5983294791801837E-3</v>
      </c>
      <c r="R1441" s="4">
        <f t="shared" si="91"/>
        <v>-2.7237852669938266E-3</v>
      </c>
      <c r="S1441" s="4">
        <f t="shared" si="91"/>
        <v>7.3284582687993295E-3</v>
      </c>
      <c r="T1441" s="4">
        <f t="shared" si="91"/>
        <v>7.5782390334698949E-3</v>
      </c>
      <c r="U1441" s="35"/>
      <c r="V1441" s="35"/>
      <c r="W1441" s="35"/>
      <c r="X1441" s="35"/>
    </row>
    <row r="1442" spans="4:24" x14ac:dyDescent="0.3">
      <c r="D1442" s="23">
        <v>41675</v>
      </c>
      <c r="E1442" s="5">
        <v>145.74797100000001</v>
      </c>
      <c r="F1442" s="28">
        <v>61.504890000000003</v>
      </c>
      <c r="G1442" s="28">
        <v>121.29</v>
      </c>
      <c r="H1442" s="28">
        <v>77.549260000000004</v>
      </c>
      <c r="I1442" s="28">
        <v>76.170680000000004</v>
      </c>
      <c r="J1442" s="29"/>
      <c r="K1442" s="29"/>
      <c r="L1442" s="29"/>
      <c r="M1442" s="29"/>
      <c r="N1442" s="29"/>
      <c r="P1442" s="4">
        <f t="shared" si="91"/>
        <v>-1.2552087973919672E-3</v>
      </c>
      <c r="Q1442" s="4">
        <f t="shared" si="91"/>
        <v>-2.0948732498035486E-3</v>
      </c>
      <c r="R1442" s="4">
        <f t="shared" si="91"/>
        <v>2.4764747674028364E-3</v>
      </c>
      <c r="S1442" s="4">
        <f t="shared" si="91"/>
        <v>-2.5942068880471067E-3</v>
      </c>
      <c r="T1442" s="4">
        <f t="shared" si="91"/>
        <v>-1.5327482926404451E-3</v>
      </c>
      <c r="U1442" s="35"/>
      <c r="V1442" s="35"/>
      <c r="W1442" s="35"/>
      <c r="X1442" s="35"/>
    </row>
    <row r="1443" spans="4:24" x14ac:dyDescent="0.3">
      <c r="D1443" s="23">
        <v>41676</v>
      </c>
      <c r="E1443" s="5">
        <v>147.66996800000001</v>
      </c>
      <c r="F1443" s="28">
        <v>61.482140000000001</v>
      </c>
      <c r="G1443" s="28">
        <v>121.24</v>
      </c>
      <c r="H1443" s="28">
        <v>78.538200000000003</v>
      </c>
      <c r="I1443" s="28">
        <v>77.097239999999999</v>
      </c>
      <c r="J1443" s="29"/>
      <c r="K1443" s="29"/>
      <c r="L1443" s="29"/>
      <c r="M1443" s="29"/>
      <c r="N1443" s="29"/>
      <c r="P1443" s="4">
        <f t="shared" si="91"/>
        <v>1.3100933750329594E-2</v>
      </c>
      <c r="Q1443" s="4">
        <f t="shared" si="91"/>
        <v>-3.6995771439442623E-4</v>
      </c>
      <c r="R1443" s="4">
        <f t="shared" si="91"/>
        <v>-4.1232013118684951E-4</v>
      </c>
      <c r="S1443" s="4">
        <f t="shared" si="91"/>
        <v>1.2671783282822258E-2</v>
      </c>
      <c r="T1443" s="4">
        <f t="shared" si="91"/>
        <v>1.2090870519076072E-2</v>
      </c>
      <c r="U1443" s="35"/>
      <c r="V1443" s="35"/>
      <c r="W1443" s="35"/>
      <c r="X1443" s="35"/>
    </row>
    <row r="1444" spans="4:24" x14ac:dyDescent="0.3">
      <c r="D1444" s="23">
        <v>41677</v>
      </c>
      <c r="E1444" s="5">
        <v>149.500473</v>
      </c>
      <c r="F1444" s="28">
        <v>61.557969999999997</v>
      </c>
      <c r="G1444" s="28">
        <v>122.17</v>
      </c>
      <c r="H1444" s="28">
        <v>79.939189999999996</v>
      </c>
      <c r="I1444" s="28">
        <v>78.09057</v>
      </c>
      <c r="J1444" s="29"/>
      <c r="K1444" s="29"/>
      <c r="L1444" s="29"/>
      <c r="M1444" s="29"/>
      <c r="N1444" s="29"/>
      <c r="P1444" s="4">
        <f t="shared" si="91"/>
        <v>1.2319718919072969E-2</v>
      </c>
      <c r="Q1444" s="4">
        <f t="shared" si="91"/>
        <v>1.2326063362723388E-3</v>
      </c>
      <c r="R1444" s="4">
        <f t="shared" si="91"/>
        <v>7.6414652263660753E-3</v>
      </c>
      <c r="S1444" s="4">
        <f t="shared" si="91"/>
        <v>1.7681090003368868E-2</v>
      </c>
      <c r="T1444" s="4">
        <f t="shared" si="91"/>
        <v>1.2801824654854738E-2</v>
      </c>
      <c r="U1444" s="35"/>
      <c r="V1444" s="35"/>
      <c r="W1444" s="35"/>
      <c r="X1444" s="35"/>
    </row>
    <row r="1445" spans="4:24" x14ac:dyDescent="0.3">
      <c r="D1445" s="23">
        <v>41680</v>
      </c>
      <c r="E1445" s="5">
        <v>149.77500900000001</v>
      </c>
      <c r="F1445" s="28">
        <v>61.595959999999998</v>
      </c>
      <c r="G1445" s="28">
        <v>122.92</v>
      </c>
      <c r="H1445" s="28">
        <v>80.397030000000001</v>
      </c>
      <c r="I1445" s="28">
        <v>78.182429999999997</v>
      </c>
      <c r="J1445" s="29"/>
      <c r="K1445" s="29"/>
      <c r="L1445" s="29"/>
      <c r="M1445" s="29"/>
      <c r="N1445" s="29"/>
      <c r="P1445" s="4">
        <f t="shared" ref="P1445:T1460" si="92">LN(E1445/E1444)</f>
        <v>1.8346713547874401E-3</v>
      </c>
      <c r="Q1445" s="4">
        <f t="shared" si="92"/>
        <v>6.1695150459290297E-4</v>
      </c>
      <c r="R1445" s="4">
        <f t="shared" si="92"/>
        <v>6.1202198463155373E-3</v>
      </c>
      <c r="S1445" s="4">
        <f t="shared" si="92"/>
        <v>5.7110145717109333E-3</v>
      </c>
      <c r="T1445" s="4">
        <f t="shared" si="92"/>
        <v>1.1756350819414282E-3</v>
      </c>
      <c r="U1445" s="35"/>
      <c r="V1445" s="35"/>
      <c r="W1445" s="35"/>
      <c r="X1445" s="35"/>
    </row>
    <row r="1446" spans="4:24" x14ac:dyDescent="0.3">
      <c r="D1446" s="23">
        <v>41681</v>
      </c>
      <c r="E1446" s="5">
        <v>151.414185</v>
      </c>
      <c r="F1446" s="28">
        <v>61.466940000000001</v>
      </c>
      <c r="G1446" s="28">
        <v>124.36</v>
      </c>
      <c r="H1446" s="28">
        <v>81.312730000000002</v>
      </c>
      <c r="I1446" s="28">
        <v>79.075609999999998</v>
      </c>
      <c r="J1446" s="29"/>
      <c r="K1446" s="29"/>
      <c r="L1446" s="29"/>
      <c r="M1446" s="29"/>
      <c r="N1446" s="29"/>
      <c r="P1446" s="4">
        <f t="shared" si="92"/>
        <v>1.0884800760462377E-2</v>
      </c>
      <c r="Q1446" s="4">
        <f t="shared" si="92"/>
        <v>-2.0968146739774496E-3</v>
      </c>
      <c r="R1446" s="4">
        <f t="shared" si="92"/>
        <v>1.164684792826905E-2</v>
      </c>
      <c r="S1446" s="4">
        <f t="shared" si="92"/>
        <v>1.1325349658009624E-2</v>
      </c>
      <c r="T1446" s="4">
        <f t="shared" si="92"/>
        <v>1.1359541357383927E-2</v>
      </c>
      <c r="U1446" s="35"/>
      <c r="V1446" s="35"/>
      <c r="W1446" s="35"/>
      <c r="X1446" s="35"/>
    </row>
    <row r="1447" spans="4:24" x14ac:dyDescent="0.3">
      <c r="D1447" s="23">
        <v>41682</v>
      </c>
      <c r="E1447" s="5">
        <v>151.48904400000001</v>
      </c>
      <c r="F1447" s="28">
        <v>61.360759999999999</v>
      </c>
      <c r="G1447" s="28">
        <v>124.43</v>
      </c>
      <c r="H1447" s="28">
        <v>81.468369999999993</v>
      </c>
      <c r="I1447" s="28">
        <v>79.184110000000004</v>
      </c>
      <c r="J1447" s="29"/>
      <c r="K1447" s="29"/>
      <c r="L1447" s="29"/>
      <c r="M1447" s="29"/>
      <c r="N1447" s="29"/>
      <c r="P1447" s="4">
        <f t="shared" si="92"/>
        <v>4.9427668216802301E-4</v>
      </c>
      <c r="Q1447" s="4">
        <f t="shared" si="92"/>
        <v>-1.728926397698894E-3</v>
      </c>
      <c r="R1447" s="4">
        <f t="shared" si="92"/>
        <v>5.6272359698676005E-4</v>
      </c>
      <c r="S1447" s="4">
        <f t="shared" si="92"/>
        <v>1.9122618956129754E-3</v>
      </c>
      <c r="T1447" s="4">
        <f t="shared" si="92"/>
        <v>1.3711640207522485E-3</v>
      </c>
      <c r="U1447" s="35"/>
      <c r="V1447" s="35"/>
      <c r="W1447" s="35"/>
      <c r="X1447" s="35"/>
    </row>
    <row r="1448" spans="4:24" x14ac:dyDescent="0.3">
      <c r="D1448" s="23">
        <v>41683</v>
      </c>
      <c r="E1448" s="5">
        <v>152.271118</v>
      </c>
      <c r="F1448" s="28">
        <v>61.51249</v>
      </c>
      <c r="G1448" s="28">
        <v>125.49</v>
      </c>
      <c r="H1448" s="28">
        <v>82.072730000000007</v>
      </c>
      <c r="I1448" s="28">
        <v>79.668270000000007</v>
      </c>
      <c r="J1448" s="29"/>
      <c r="K1448" s="29"/>
      <c r="L1448" s="29"/>
      <c r="M1448" s="29"/>
      <c r="N1448" s="29"/>
      <c r="P1448" s="4">
        <f t="shared" si="92"/>
        <v>5.1492975439892067E-3</v>
      </c>
      <c r="Q1448" s="4">
        <f t="shared" si="92"/>
        <v>2.469700722038227E-3</v>
      </c>
      <c r="R1448" s="4">
        <f t="shared" si="92"/>
        <v>8.4827653346767808E-3</v>
      </c>
      <c r="S1448" s="4">
        <f t="shared" si="92"/>
        <v>7.3909586172345859E-3</v>
      </c>
      <c r="T1448" s="4">
        <f t="shared" si="92"/>
        <v>6.0957412058034177E-3</v>
      </c>
      <c r="U1448" s="35"/>
      <c r="V1448" s="35"/>
      <c r="W1448" s="35"/>
      <c r="X1448" s="35"/>
    </row>
    <row r="1449" spans="4:24" x14ac:dyDescent="0.3">
      <c r="D1449" s="23">
        <v>41684</v>
      </c>
      <c r="E1449" s="5">
        <v>153.11149599999999</v>
      </c>
      <c r="F1449" s="28">
        <v>61.489699999999999</v>
      </c>
      <c r="G1449" s="28">
        <v>127.15</v>
      </c>
      <c r="H1449" s="28">
        <v>82.237539999999996</v>
      </c>
      <c r="I1449" s="28">
        <v>80.052279999999996</v>
      </c>
      <c r="J1449" s="29"/>
      <c r="K1449" s="29"/>
      <c r="L1449" s="29"/>
      <c r="M1449" s="29"/>
      <c r="N1449" s="29"/>
      <c r="P1449" s="4">
        <f t="shared" si="92"/>
        <v>5.5037849755816392E-3</v>
      </c>
      <c r="Q1449" s="4">
        <f t="shared" si="92"/>
        <v>-3.7056251211111459E-4</v>
      </c>
      <c r="R1449" s="4">
        <f t="shared" si="92"/>
        <v>1.3141417745912071E-2</v>
      </c>
      <c r="S1449" s="4">
        <f t="shared" si="92"/>
        <v>2.0060834331457763E-3</v>
      </c>
      <c r="T1449" s="4">
        <f t="shared" si="92"/>
        <v>4.8085326518413768E-3</v>
      </c>
      <c r="U1449" s="35"/>
      <c r="V1449" s="35"/>
      <c r="W1449" s="35"/>
      <c r="X1449" s="35"/>
    </row>
    <row r="1450" spans="4:24" x14ac:dyDescent="0.3">
      <c r="D1450" s="23">
        <v>41688</v>
      </c>
      <c r="E1450" s="5">
        <v>153.29454000000001</v>
      </c>
      <c r="F1450" s="28">
        <v>61.573169999999998</v>
      </c>
      <c r="G1450" s="28">
        <v>127.4</v>
      </c>
      <c r="H1450" s="28">
        <v>82.640469999999993</v>
      </c>
      <c r="I1450" s="28">
        <v>80.285989999999998</v>
      </c>
      <c r="J1450" s="29"/>
      <c r="K1450" s="29"/>
      <c r="L1450" s="29"/>
      <c r="M1450" s="29"/>
      <c r="N1450" s="29"/>
      <c r="P1450" s="4">
        <f t="shared" si="92"/>
        <v>1.1947807828084115E-3</v>
      </c>
      <c r="Q1450" s="4">
        <f t="shared" si="92"/>
        <v>1.3565425997326753E-3</v>
      </c>
      <c r="R1450" s="4">
        <f t="shared" si="92"/>
        <v>1.9642512699343485E-3</v>
      </c>
      <c r="S1450" s="4">
        <f t="shared" si="92"/>
        <v>4.8876233055933204E-3</v>
      </c>
      <c r="T1450" s="4">
        <f t="shared" si="92"/>
        <v>2.9152137604427429E-3</v>
      </c>
      <c r="U1450" s="35"/>
      <c r="V1450" s="35"/>
      <c r="W1450" s="35"/>
      <c r="X1450" s="35"/>
    </row>
    <row r="1451" spans="4:24" x14ac:dyDescent="0.3">
      <c r="D1451" s="23">
        <v>41689</v>
      </c>
      <c r="E1451" s="5">
        <v>152.27948000000001</v>
      </c>
      <c r="F1451" s="28">
        <v>61.520060000000001</v>
      </c>
      <c r="G1451" s="28">
        <v>126.27</v>
      </c>
      <c r="H1451" s="28">
        <v>82.072730000000007</v>
      </c>
      <c r="I1451" s="28">
        <v>79.751750000000001</v>
      </c>
      <c r="J1451" s="29"/>
      <c r="K1451" s="29"/>
      <c r="L1451" s="29"/>
      <c r="M1451" s="29"/>
      <c r="N1451" s="29"/>
      <c r="P1451" s="4">
        <f t="shared" si="92"/>
        <v>-6.6436520589456313E-3</v>
      </c>
      <c r="Q1451" s="4">
        <f t="shared" si="92"/>
        <v>-8.629232216204732E-4</v>
      </c>
      <c r="R1451" s="4">
        <f t="shared" si="92"/>
        <v>-8.909271687474081E-3</v>
      </c>
      <c r="S1451" s="4">
        <f t="shared" si="92"/>
        <v>-6.8937067387392316E-3</v>
      </c>
      <c r="T1451" s="4">
        <f t="shared" si="92"/>
        <v>-6.6764499983171504E-3</v>
      </c>
      <c r="U1451" s="35"/>
      <c r="V1451" s="35"/>
      <c r="W1451" s="35"/>
      <c r="X1451" s="35"/>
    </row>
    <row r="1452" spans="4:24" x14ac:dyDescent="0.3">
      <c r="D1452" s="23">
        <v>41690</v>
      </c>
      <c r="E1452" s="5">
        <v>153.17804000000001</v>
      </c>
      <c r="F1452" s="28">
        <v>61.51249</v>
      </c>
      <c r="G1452" s="28">
        <v>127.6</v>
      </c>
      <c r="H1452" s="28">
        <v>82.457319999999996</v>
      </c>
      <c r="I1452" s="28">
        <v>80.285989999999998</v>
      </c>
      <c r="J1452" s="29"/>
      <c r="K1452" s="29"/>
      <c r="L1452" s="29"/>
      <c r="M1452" s="29"/>
      <c r="N1452" s="29"/>
      <c r="P1452" s="4">
        <f t="shared" si="92"/>
        <v>5.8833882492995053E-3</v>
      </c>
      <c r="Q1452" s="4">
        <f t="shared" si="92"/>
        <v>-1.2305686600100571E-4</v>
      </c>
      <c r="R1452" s="4">
        <f t="shared" si="92"/>
        <v>1.0477899460100436E-2</v>
      </c>
      <c r="S1452" s="4">
        <f t="shared" si="92"/>
        <v>4.6750207692822449E-3</v>
      </c>
      <c r="T1452" s="4">
        <f t="shared" si="92"/>
        <v>6.6764499983172033E-3</v>
      </c>
      <c r="U1452" s="35"/>
      <c r="V1452" s="35"/>
      <c r="W1452" s="35"/>
      <c r="X1452" s="35"/>
    </row>
    <row r="1453" spans="4:24" x14ac:dyDescent="0.3">
      <c r="D1453" s="23">
        <v>41691</v>
      </c>
      <c r="E1453" s="5">
        <v>153.00329600000001</v>
      </c>
      <c r="F1453" s="28">
        <v>61.557969999999997</v>
      </c>
      <c r="G1453" s="28">
        <v>127.58</v>
      </c>
      <c r="H1453" s="28">
        <v>82.347440000000006</v>
      </c>
      <c r="I1453" s="28">
        <v>80.219210000000004</v>
      </c>
      <c r="J1453" s="29"/>
      <c r="K1453" s="29"/>
      <c r="L1453" s="29"/>
      <c r="M1453" s="29"/>
      <c r="N1453" s="29"/>
      <c r="P1453" s="4">
        <f t="shared" si="92"/>
        <v>-1.1414413514261859E-3</v>
      </c>
      <c r="Q1453" s="4">
        <f t="shared" si="92"/>
        <v>7.3908884504529421E-4</v>
      </c>
      <c r="R1453" s="4">
        <f t="shared" si="92"/>
        <v>-1.5675209688025259E-4</v>
      </c>
      <c r="S1453" s="4">
        <f t="shared" si="92"/>
        <v>-1.3334568283285622E-3</v>
      </c>
      <c r="T1453" s="4">
        <f t="shared" si="92"/>
        <v>-8.3212262099115067E-4</v>
      </c>
      <c r="U1453" s="35"/>
      <c r="V1453" s="35"/>
      <c r="W1453" s="35"/>
      <c r="X1453" s="35"/>
    </row>
    <row r="1454" spans="4:24" x14ac:dyDescent="0.3">
      <c r="D1454" s="23">
        <v>41694</v>
      </c>
      <c r="E1454" s="5">
        <v>153.852036</v>
      </c>
      <c r="F1454" s="28">
        <v>61.542850000000001</v>
      </c>
      <c r="G1454" s="28">
        <v>128.99</v>
      </c>
      <c r="H1454" s="28">
        <v>82.786959999999993</v>
      </c>
      <c r="I1454" s="28">
        <v>80.678319999999999</v>
      </c>
      <c r="J1454" s="29"/>
      <c r="K1454" s="29"/>
      <c r="L1454" s="29"/>
      <c r="M1454" s="29"/>
      <c r="N1454" s="29"/>
      <c r="P1454" s="4">
        <f t="shared" si="92"/>
        <v>5.5318717055851474E-3</v>
      </c>
      <c r="Q1454" s="4">
        <f t="shared" si="92"/>
        <v>-2.4565230476982918E-4</v>
      </c>
      <c r="R1454" s="4">
        <f t="shared" si="92"/>
        <v>1.0991263163235633E-2</v>
      </c>
      <c r="S1454" s="4">
        <f t="shared" si="92"/>
        <v>5.3231917500689398E-3</v>
      </c>
      <c r="T1454" s="4">
        <f t="shared" si="92"/>
        <v>5.7068774895563321E-3</v>
      </c>
      <c r="U1454" s="35"/>
      <c r="V1454" s="35"/>
      <c r="W1454" s="35"/>
      <c r="X1454" s="35"/>
    </row>
    <row r="1455" spans="4:24" x14ac:dyDescent="0.3">
      <c r="D1455" s="23">
        <v>41695</v>
      </c>
      <c r="E1455" s="5">
        <v>153.79379299999999</v>
      </c>
      <c r="F1455" s="28">
        <v>61.664230000000003</v>
      </c>
      <c r="G1455" s="28">
        <v>129.21</v>
      </c>
      <c r="H1455" s="28">
        <v>82.695419999999999</v>
      </c>
      <c r="I1455" s="28">
        <v>80.644909999999996</v>
      </c>
      <c r="J1455" s="29"/>
      <c r="K1455" s="29"/>
      <c r="L1455" s="29"/>
      <c r="M1455" s="29"/>
      <c r="N1455" s="29"/>
      <c r="P1455" s="4">
        <f t="shared" si="92"/>
        <v>-3.7863669977360756E-4</v>
      </c>
      <c r="Q1455" s="4">
        <f t="shared" si="92"/>
        <v>1.9703419522471076E-3</v>
      </c>
      <c r="R1455" s="4">
        <f t="shared" si="92"/>
        <v>1.7041057570840992E-3</v>
      </c>
      <c r="S1455" s="4">
        <f t="shared" si="92"/>
        <v>-1.1063414647167935E-3</v>
      </c>
      <c r="T1455" s="4">
        <f t="shared" si="92"/>
        <v>-4.1419949845608562E-4</v>
      </c>
      <c r="U1455" s="35"/>
      <c r="V1455" s="35"/>
      <c r="W1455" s="35"/>
      <c r="X1455" s="35"/>
    </row>
    <row r="1456" spans="4:24" x14ac:dyDescent="0.3">
      <c r="D1456" s="23">
        <v>41696</v>
      </c>
      <c r="E1456" s="5">
        <v>153.80213900000001</v>
      </c>
      <c r="F1456" s="28">
        <v>61.793140000000001</v>
      </c>
      <c r="G1456" s="28">
        <v>128.11000000000001</v>
      </c>
      <c r="H1456" s="28">
        <v>82.622129999999999</v>
      </c>
      <c r="I1456" s="28">
        <v>80.728369999999998</v>
      </c>
      <c r="J1456" s="29"/>
      <c r="K1456" s="29"/>
      <c r="L1456" s="29"/>
      <c r="M1456" s="29"/>
      <c r="N1456" s="29"/>
      <c r="P1456" s="4">
        <f t="shared" si="92"/>
        <v>5.4265997263420603E-5</v>
      </c>
      <c r="Q1456" s="4">
        <f t="shared" si="92"/>
        <v>2.0883329500616362E-3</v>
      </c>
      <c r="R1456" s="4">
        <f t="shared" si="92"/>
        <v>-8.5497178657865242E-3</v>
      </c>
      <c r="S1456" s="4">
        <f t="shared" si="92"/>
        <v>-8.8665728232092944E-4</v>
      </c>
      <c r="T1456" s="4">
        <f t="shared" si="92"/>
        <v>1.034372077475611E-3</v>
      </c>
      <c r="U1456" s="35"/>
      <c r="V1456" s="35"/>
      <c r="W1456" s="35"/>
      <c r="X1456" s="35"/>
    </row>
    <row r="1457" spans="4:24" x14ac:dyDescent="0.3">
      <c r="D1457" s="23">
        <v>41697</v>
      </c>
      <c r="E1457" s="5">
        <v>154.609161</v>
      </c>
      <c r="F1457" s="28">
        <v>61.869019999999999</v>
      </c>
      <c r="G1457" s="28">
        <v>128.19999999999999</v>
      </c>
      <c r="H1457" s="28">
        <v>83.158199999999994</v>
      </c>
      <c r="I1457" s="28">
        <v>81.154110000000003</v>
      </c>
      <c r="J1457" s="29"/>
      <c r="K1457" s="29"/>
      <c r="L1457" s="29"/>
      <c r="M1457" s="29"/>
      <c r="N1457" s="29"/>
      <c r="P1457" s="4">
        <f t="shared" si="92"/>
        <v>5.2334258955010803E-3</v>
      </c>
      <c r="Q1457" s="4">
        <f t="shared" si="92"/>
        <v>1.2272146875533724E-3</v>
      </c>
      <c r="R1457" s="4">
        <f t="shared" si="92"/>
        <v>7.0227461822714083E-4</v>
      </c>
      <c r="S1457" s="4">
        <f t="shared" si="92"/>
        <v>6.4672554149643917E-3</v>
      </c>
      <c r="T1457" s="4">
        <f t="shared" si="92"/>
        <v>5.2598771844124944E-3</v>
      </c>
      <c r="U1457" s="35"/>
      <c r="V1457" s="35"/>
      <c r="W1457" s="35"/>
      <c r="X1457" s="35"/>
    </row>
    <row r="1458" spans="4:24" x14ac:dyDescent="0.3">
      <c r="D1458" s="23">
        <v>41698</v>
      </c>
      <c r="E1458" s="5">
        <v>155.000214</v>
      </c>
      <c r="F1458" s="28">
        <v>61.823509999999999</v>
      </c>
      <c r="G1458" s="28">
        <v>127.62</v>
      </c>
      <c r="H1458" s="28">
        <v>83.06626</v>
      </c>
      <c r="I1458" s="28">
        <v>81.304389999999998</v>
      </c>
      <c r="J1458" s="29"/>
      <c r="K1458" s="29"/>
      <c r="L1458" s="29"/>
      <c r="M1458" s="29"/>
      <c r="N1458" s="29"/>
      <c r="P1458" s="4">
        <f t="shared" si="92"/>
        <v>2.5261070208192431E-3</v>
      </c>
      <c r="Q1458" s="4">
        <f t="shared" si="92"/>
        <v>-7.3585691963103952E-4</v>
      </c>
      <c r="R1458" s="4">
        <f t="shared" si="92"/>
        <v>-4.5344460463687631E-3</v>
      </c>
      <c r="S1458" s="4">
        <f t="shared" si="92"/>
        <v>-1.1062151668372532E-3</v>
      </c>
      <c r="T1458" s="4">
        <f t="shared" si="92"/>
        <v>1.8500730077463737E-3</v>
      </c>
      <c r="U1458" s="35"/>
      <c r="V1458" s="35"/>
      <c r="W1458" s="35"/>
      <c r="X1458" s="35"/>
    </row>
    <row r="1459" spans="4:24" x14ac:dyDescent="0.3">
      <c r="D1459" s="23">
        <v>41701</v>
      </c>
      <c r="E1459" s="5">
        <v>153.91030900000001</v>
      </c>
      <c r="F1459" s="28">
        <v>61.954239999999999</v>
      </c>
      <c r="G1459" s="28">
        <v>130.29</v>
      </c>
      <c r="H1459" s="28">
        <v>82.450199999999995</v>
      </c>
      <c r="I1459" s="28">
        <v>80.711690000000004</v>
      </c>
      <c r="J1459" s="29"/>
      <c r="K1459" s="29"/>
      <c r="L1459" s="29"/>
      <c r="M1459" s="29"/>
      <c r="N1459" s="29"/>
      <c r="P1459" s="4">
        <f t="shared" si="92"/>
        <v>-7.0564739067891999E-3</v>
      </c>
      <c r="Q1459" s="4">
        <f t="shared" si="92"/>
        <v>2.1123351912492399E-3</v>
      </c>
      <c r="R1459" s="4">
        <f t="shared" si="92"/>
        <v>2.0705636774639234E-2</v>
      </c>
      <c r="S1459" s="4">
        <f t="shared" si="92"/>
        <v>-7.4441278518540812E-3</v>
      </c>
      <c r="T1459" s="4">
        <f t="shared" si="92"/>
        <v>-7.3165903539544721E-3</v>
      </c>
      <c r="U1459" s="35"/>
      <c r="V1459" s="35"/>
      <c r="W1459" s="35"/>
      <c r="X1459" s="35"/>
    </row>
    <row r="1460" spans="4:24" x14ac:dyDescent="0.3">
      <c r="D1460" s="23">
        <v>41702</v>
      </c>
      <c r="E1460" s="5">
        <v>156.073578</v>
      </c>
      <c r="F1460" s="28">
        <v>61.741399999999999</v>
      </c>
      <c r="G1460" s="28">
        <v>128.68</v>
      </c>
      <c r="H1460" s="28">
        <v>83.498419999999996</v>
      </c>
      <c r="I1460" s="28">
        <v>81.980519999999999</v>
      </c>
      <c r="J1460" s="29"/>
      <c r="K1460" s="29"/>
      <c r="L1460" s="29"/>
      <c r="M1460" s="29"/>
      <c r="N1460" s="29"/>
      <c r="P1460" s="4">
        <f t="shared" si="92"/>
        <v>1.3957526245311833E-2</v>
      </c>
      <c r="Q1460" s="4">
        <f t="shared" si="92"/>
        <v>-3.4413534713717319E-3</v>
      </c>
      <c r="R1460" s="4">
        <f t="shared" si="92"/>
        <v>-1.2434032844014458E-2</v>
      </c>
      <c r="S1460" s="4">
        <f t="shared" si="92"/>
        <v>1.2633234806876018E-2</v>
      </c>
      <c r="T1460" s="4">
        <f t="shared" si="92"/>
        <v>1.5598235784593923E-2</v>
      </c>
      <c r="U1460" s="35"/>
      <c r="V1460" s="35"/>
      <c r="W1460" s="35"/>
      <c r="X1460" s="35"/>
    </row>
    <row r="1461" spans="4:24" x14ac:dyDescent="0.3">
      <c r="D1461" s="23">
        <v>41703</v>
      </c>
      <c r="E1461" s="5">
        <v>156.21504200000001</v>
      </c>
      <c r="F1461" s="28">
        <v>61.825020000000002</v>
      </c>
      <c r="G1461" s="28">
        <v>128.88999999999999</v>
      </c>
      <c r="H1461" s="28">
        <v>83.728290000000001</v>
      </c>
      <c r="I1461" s="28">
        <v>81.997219999999999</v>
      </c>
      <c r="J1461" s="29"/>
      <c r="K1461" s="29"/>
      <c r="L1461" s="29"/>
      <c r="M1461" s="29"/>
      <c r="N1461" s="29"/>
      <c r="P1461" s="4">
        <f t="shared" ref="P1461:T1476" si="93">LN(E1461/E1460)</f>
        <v>9.0598248297495186E-4</v>
      </c>
      <c r="Q1461" s="4">
        <f t="shared" si="93"/>
        <v>1.3534423472759086E-3</v>
      </c>
      <c r="R1461" s="4">
        <f t="shared" si="93"/>
        <v>1.6306250458624195E-3</v>
      </c>
      <c r="S1461" s="4">
        <f t="shared" si="93"/>
        <v>2.7492036981664188E-3</v>
      </c>
      <c r="T1461" s="4">
        <f t="shared" si="93"/>
        <v>2.0368618396303847E-4</v>
      </c>
      <c r="U1461" s="35"/>
      <c r="V1461" s="35"/>
      <c r="W1461" s="35"/>
      <c r="X1461" s="35"/>
    </row>
    <row r="1462" spans="4:24" x14ac:dyDescent="0.3">
      <c r="D1462" s="23">
        <v>41704</v>
      </c>
      <c r="E1462" s="5">
        <v>156.57276899999999</v>
      </c>
      <c r="F1462" s="28">
        <v>61.673020000000001</v>
      </c>
      <c r="G1462" s="28">
        <v>130.16999999999999</v>
      </c>
      <c r="H1462" s="28">
        <v>83.654730000000001</v>
      </c>
      <c r="I1462" s="28">
        <v>82.147480000000002</v>
      </c>
      <c r="J1462" s="29"/>
      <c r="K1462" s="29"/>
      <c r="L1462" s="29"/>
      <c r="M1462" s="29"/>
      <c r="N1462" s="29"/>
      <c r="P1462" s="4">
        <f t="shared" si="93"/>
        <v>2.2873471624357405E-3</v>
      </c>
      <c r="Q1462" s="4">
        <f t="shared" si="93"/>
        <v>-2.4615787708373873E-3</v>
      </c>
      <c r="R1462" s="4">
        <f t="shared" si="93"/>
        <v>9.8819610616807472E-3</v>
      </c>
      <c r="S1462" s="4">
        <f t="shared" si="93"/>
        <v>-8.7894225753209403E-4</v>
      </c>
      <c r="T1462" s="4">
        <f t="shared" si="93"/>
        <v>1.8308241688167893E-3</v>
      </c>
      <c r="U1462" s="35"/>
      <c r="V1462" s="35"/>
      <c r="W1462" s="35"/>
      <c r="X1462" s="35"/>
    </row>
    <row r="1463" spans="4:24" x14ac:dyDescent="0.3">
      <c r="D1463" s="23">
        <v>41705</v>
      </c>
      <c r="E1463" s="5">
        <v>156.63932800000001</v>
      </c>
      <c r="F1463" s="28">
        <v>61.49051</v>
      </c>
      <c r="G1463" s="28">
        <v>129.09</v>
      </c>
      <c r="H1463" s="28">
        <v>83.240960000000001</v>
      </c>
      <c r="I1463" s="28">
        <v>82.122420000000005</v>
      </c>
      <c r="J1463" s="29"/>
      <c r="K1463" s="29"/>
      <c r="L1463" s="29"/>
      <c r="M1463" s="29"/>
      <c r="N1463" s="29"/>
      <c r="P1463" s="4">
        <f t="shared" si="93"/>
        <v>4.2500913367909271E-4</v>
      </c>
      <c r="Q1463" s="4">
        <f t="shared" si="93"/>
        <v>-2.9637041677895836E-3</v>
      </c>
      <c r="R1463" s="4">
        <f t="shared" si="93"/>
        <v>-8.331452959750919E-3</v>
      </c>
      <c r="S1463" s="4">
        <f t="shared" si="93"/>
        <v>-4.9584365869321705E-3</v>
      </c>
      <c r="T1463" s="4">
        <f t="shared" si="93"/>
        <v>-3.0510763316227602E-4</v>
      </c>
      <c r="U1463" s="35"/>
      <c r="V1463" s="35"/>
      <c r="W1463" s="35"/>
      <c r="X1463" s="35"/>
    </row>
    <row r="1464" spans="4:24" x14ac:dyDescent="0.3">
      <c r="D1464" s="23">
        <v>41708</v>
      </c>
      <c r="E1464" s="5">
        <v>156.55613700000001</v>
      </c>
      <c r="F1464" s="28">
        <v>61.528559999999999</v>
      </c>
      <c r="G1464" s="28">
        <v>129.13</v>
      </c>
      <c r="H1464" s="28">
        <v>83.314509999999999</v>
      </c>
      <c r="I1464" s="28">
        <v>82.063969999999998</v>
      </c>
      <c r="J1464" s="29"/>
      <c r="K1464" s="29"/>
      <c r="L1464" s="29"/>
      <c r="M1464" s="29"/>
      <c r="N1464" s="29"/>
      <c r="P1464" s="4">
        <f t="shared" si="93"/>
        <v>-5.3124014395605356E-4</v>
      </c>
      <c r="Q1464" s="4">
        <f t="shared" si="93"/>
        <v>6.1860329806399494E-4</v>
      </c>
      <c r="R1464" s="4">
        <f t="shared" si="93"/>
        <v>3.0981333994218571E-4</v>
      </c>
      <c r="S1464" s="4">
        <f t="shared" si="93"/>
        <v>8.8318930361032746E-4</v>
      </c>
      <c r="T1464" s="4">
        <f t="shared" si="93"/>
        <v>-7.1199570767369654E-4</v>
      </c>
      <c r="U1464" s="35"/>
      <c r="V1464" s="35"/>
      <c r="W1464" s="35"/>
      <c r="X1464" s="35"/>
    </row>
    <row r="1465" spans="4:24" x14ac:dyDescent="0.3">
      <c r="D1465" s="23">
        <v>41709</v>
      </c>
      <c r="E1465" s="5">
        <v>155.782364</v>
      </c>
      <c r="F1465" s="28">
        <v>61.520919999999997</v>
      </c>
      <c r="G1465" s="28">
        <v>129.86000000000001</v>
      </c>
      <c r="H1465" s="28">
        <v>82.955910000000003</v>
      </c>
      <c r="I1465" s="28">
        <v>81.604879999999994</v>
      </c>
      <c r="J1465" s="29"/>
      <c r="K1465" s="29"/>
      <c r="L1465" s="29"/>
      <c r="M1465" s="29"/>
      <c r="N1465" s="29"/>
      <c r="P1465" s="4">
        <f t="shared" si="93"/>
        <v>-4.9547179133082762E-3</v>
      </c>
      <c r="Q1465" s="4">
        <f t="shared" si="93"/>
        <v>-1.241776886796495E-4</v>
      </c>
      <c r="R1465" s="4">
        <f t="shared" si="93"/>
        <v>5.6372982217806639E-3</v>
      </c>
      <c r="S1465" s="4">
        <f t="shared" si="93"/>
        <v>-4.3134618413511999E-3</v>
      </c>
      <c r="T1465" s="4">
        <f t="shared" si="93"/>
        <v>-5.6100009750621989E-3</v>
      </c>
      <c r="U1465" s="35"/>
      <c r="V1465" s="35"/>
      <c r="W1465" s="35"/>
      <c r="X1465" s="35"/>
    </row>
    <row r="1466" spans="4:24" x14ac:dyDescent="0.3">
      <c r="D1466" s="23">
        <v>41710</v>
      </c>
      <c r="E1466" s="5">
        <v>155.82392899999999</v>
      </c>
      <c r="F1466" s="28">
        <v>61.650149999999996</v>
      </c>
      <c r="G1466" s="28">
        <v>131.76</v>
      </c>
      <c r="H1466" s="28">
        <v>83.268540000000002</v>
      </c>
      <c r="I1466" s="28">
        <v>81.663300000000007</v>
      </c>
      <c r="J1466" s="29"/>
      <c r="K1466" s="29"/>
      <c r="L1466" s="29"/>
      <c r="M1466" s="29"/>
      <c r="N1466" s="29"/>
      <c r="P1466" s="4">
        <f t="shared" si="93"/>
        <v>2.6677895267342529E-4</v>
      </c>
      <c r="Q1466" s="4">
        <f t="shared" si="93"/>
        <v>2.0983831255004322E-3</v>
      </c>
      <c r="R1466" s="4">
        <f t="shared" si="93"/>
        <v>1.4525138789043983E-2</v>
      </c>
      <c r="S1466" s="4">
        <f t="shared" si="93"/>
        <v>3.7615449306340571E-3</v>
      </c>
      <c r="T1466" s="4">
        <f t="shared" si="93"/>
        <v>7.1563243362217908E-4</v>
      </c>
      <c r="U1466" s="35"/>
      <c r="V1466" s="35"/>
      <c r="W1466" s="35"/>
      <c r="X1466" s="35"/>
    </row>
    <row r="1467" spans="4:24" x14ac:dyDescent="0.3">
      <c r="D1467" s="23">
        <v>41711</v>
      </c>
      <c r="E1467" s="5">
        <v>154.07662999999999</v>
      </c>
      <c r="F1467" s="28">
        <v>61.832630000000002</v>
      </c>
      <c r="G1467" s="28">
        <v>132.21</v>
      </c>
      <c r="H1467" s="28">
        <v>82.091629999999995</v>
      </c>
      <c r="I1467" s="28">
        <v>80.720050000000001</v>
      </c>
      <c r="J1467" s="29"/>
      <c r="K1467" s="29"/>
      <c r="L1467" s="29"/>
      <c r="M1467" s="29"/>
      <c r="N1467" s="29"/>
      <c r="P1467" s="4">
        <f t="shared" si="93"/>
        <v>-1.1276633520783948E-2</v>
      </c>
      <c r="Q1467" s="4">
        <f t="shared" si="93"/>
        <v>2.9555559541977789E-3</v>
      </c>
      <c r="R1467" s="4">
        <f t="shared" si="93"/>
        <v>3.4094816526204679E-3</v>
      </c>
      <c r="S1467" s="4">
        <f t="shared" si="93"/>
        <v>-1.4234744350318719E-2</v>
      </c>
      <c r="T1467" s="4">
        <f t="shared" si="93"/>
        <v>-1.1617701066733654E-2</v>
      </c>
      <c r="U1467" s="35"/>
      <c r="V1467" s="35"/>
      <c r="W1467" s="35"/>
      <c r="X1467" s="35"/>
    </row>
    <row r="1468" spans="4:24" x14ac:dyDescent="0.3">
      <c r="D1468" s="23">
        <v>41712</v>
      </c>
      <c r="E1468" s="5">
        <v>153.64402799999999</v>
      </c>
      <c r="F1468" s="28">
        <v>61.794640000000001</v>
      </c>
      <c r="G1468" s="28">
        <v>133.1</v>
      </c>
      <c r="H1468" s="28">
        <v>81.530739999999994</v>
      </c>
      <c r="I1468" s="28">
        <v>80.619870000000006</v>
      </c>
      <c r="J1468" s="29"/>
      <c r="K1468" s="29"/>
      <c r="L1468" s="29"/>
      <c r="M1468" s="29"/>
      <c r="N1468" s="29"/>
      <c r="P1468" s="4">
        <f t="shared" si="93"/>
        <v>-2.8116557906960934E-3</v>
      </c>
      <c r="Q1468" s="4">
        <f t="shared" si="93"/>
        <v>-6.1458934094075926E-4</v>
      </c>
      <c r="R1468" s="4">
        <f t="shared" si="93"/>
        <v>6.7091578790605564E-3</v>
      </c>
      <c r="S1468" s="4">
        <f t="shared" si="93"/>
        <v>-6.855935371152401E-3</v>
      </c>
      <c r="T1468" s="4">
        <f t="shared" si="93"/>
        <v>-1.2418502857163736E-3</v>
      </c>
      <c r="U1468" s="35"/>
      <c r="V1468" s="35"/>
      <c r="W1468" s="35"/>
      <c r="X1468" s="35"/>
    </row>
    <row r="1469" spans="4:24" x14ac:dyDescent="0.3">
      <c r="D1469" s="23">
        <v>41715</v>
      </c>
      <c r="E1469" s="5">
        <v>155.033524</v>
      </c>
      <c r="F1469" s="28">
        <v>61.710999999999999</v>
      </c>
      <c r="G1469" s="28">
        <v>131.63999999999999</v>
      </c>
      <c r="H1469" s="28">
        <v>82.247919999999993</v>
      </c>
      <c r="I1469" s="28">
        <v>81.262630000000001</v>
      </c>
      <c r="J1469" s="29"/>
      <c r="K1469" s="29"/>
      <c r="L1469" s="29"/>
      <c r="M1469" s="29"/>
      <c r="N1469" s="29"/>
      <c r="P1469" s="4">
        <f t="shared" si="93"/>
        <v>9.0029571392333061E-3</v>
      </c>
      <c r="Q1469" s="4">
        <f t="shared" si="93"/>
        <v>-1.3544322799569624E-3</v>
      </c>
      <c r="R1469" s="4">
        <f t="shared" si="93"/>
        <v>-1.1029801325926772E-2</v>
      </c>
      <c r="S1469" s="4">
        <f t="shared" si="93"/>
        <v>8.7579735246967275E-3</v>
      </c>
      <c r="T1469" s="4">
        <f t="shared" si="93"/>
        <v>7.9411100985727467E-3</v>
      </c>
      <c r="U1469" s="35"/>
      <c r="V1469" s="35"/>
      <c r="W1469" s="35"/>
      <c r="X1469" s="35"/>
    </row>
    <row r="1470" spans="4:24" x14ac:dyDescent="0.3">
      <c r="D1470" s="23">
        <v>41716</v>
      </c>
      <c r="E1470" s="5">
        <v>156.14009100000001</v>
      </c>
      <c r="F1470" s="28">
        <v>61.779449999999997</v>
      </c>
      <c r="G1470" s="28">
        <v>130.62</v>
      </c>
      <c r="H1470" s="28">
        <v>83.240960000000001</v>
      </c>
      <c r="I1470" s="28">
        <v>81.955500000000001</v>
      </c>
      <c r="J1470" s="29"/>
      <c r="K1470" s="29"/>
      <c r="L1470" s="29"/>
      <c r="M1470" s="29"/>
      <c r="N1470" s="29"/>
      <c r="P1470" s="4">
        <f t="shared" si="93"/>
        <v>7.1122460980435984E-3</v>
      </c>
      <c r="Q1470" s="4">
        <f t="shared" si="93"/>
        <v>1.1085878626278744E-3</v>
      </c>
      <c r="R1470" s="4">
        <f t="shared" si="93"/>
        <v>-7.7785796006280116E-3</v>
      </c>
      <c r="S1470" s="4">
        <f t="shared" si="93"/>
        <v>1.2001433803881236E-2</v>
      </c>
      <c r="T1470" s="4">
        <f t="shared" si="93"/>
        <v>8.4901617485568358E-3</v>
      </c>
      <c r="U1470" s="35"/>
      <c r="V1470" s="35"/>
      <c r="W1470" s="35"/>
      <c r="X1470" s="35"/>
    </row>
    <row r="1471" spans="4:24" x14ac:dyDescent="0.3">
      <c r="D1471" s="23">
        <v>41717</v>
      </c>
      <c r="E1471" s="5">
        <v>155.30808999999999</v>
      </c>
      <c r="F1471" s="28">
        <v>61.49051</v>
      </c>
      <c r="G1471" s="28">
        <v>128.09</v>
      </c>
      <c r="H1471" s="28">
        <v>82.790409999999994</v>
      </c>
      <c r="I1471" s="28">
        <v>81.488039999999998</v>
      </c>
      <c r="J1471" s="29"/>
      <c r="K1471" s="29"/>
      <c r="L1471" s="29"/>
      <c r="M1471" s="29"/>
      <c r="N1471" s="29"/>
      <c r="P1471" s="4">
        <f t="shared" si="93"/>
        <v>-5.3428019806505593E-3</v>
      </c>
      <c r="Q1471" s="4">
        <f t="shared" si="93"/>
        <v>-4.6879309308127904E-3</v>
      </c>
      <c r="R1471" s="4">
        <f t="shared" si="93"/>
        <v>-1.9559202631466377E-2</v>
      </c>
      <c r="S1471" s="4">
        <f t="shared" si="93"/>
        <v>-5.4273009484212967E-3</v>
      </c>
      <c r="T1471" s="4">
        <f t="shared" si="93"/>
        <v>-5.7201560197987665E-3</v>
      </c>
      <c r="U1471" s="35"/>
      <c r="V1471" s="35"/>
      <c r="W1471" s="35"/>
      <c r="X1471" s="35"/>
    </row>
    <row r="1472" spans="4:24" x14ac:dyDescent="0.3">
      <c r="D1472" s="23">
        <v>41718</v>
      </c>
      <c r="E1472" s="5">
        <v>156.21504200000001</v>
      </c>
      <c r="F1472" s="28">
        <v>61.437330000000003</v>
      </c>
      <c r="G1472" s="28">
        <v>127.86</v>
      </c>
      <c r="H1472" s="28">
        <v>83.020290000000003</v>
      </c>
      <c r="I1472" s="28">
        <v>81.897049999999993</v>
      </c>
      <c r="J1472" s="29"/>
      <c r="K1472" s="29"/>
      <c r="L1472" s="29"/>
      <c r="M1472" s="29"/>
      <c r="N1472" s="29"/>
      <c r="P1472" s="4">
        <f t="shared" si="93"/>
        <v>5.8227108633294418E-3</v>
      </c>
      <c r="Q1472" s="4">
        <f t="shared" si="93"/>
        <v>-8.6522309865027592E-4</v>
      </c>
      <c r="R1472" s="4">
        <f t="shared" si="93"/>
        <v>-1.7972265044639201E-3</v>
      </c>
      <c r="S1472" s="4">
        <f t="shared" si="93"/>
        <v>2.7728023256006623E-3</v>
      </c>
      <c r="T1472" s="4">
        <f t="shared" si="93"/>
        <v>5.0067096623353817E-3</v>
      </c>
      <c r="U1472" s="35"/>
      <c r="V1472" s="35"/>
      <c r="W1472" s="35"/>
      <c r="X1472" s="35"/>
    </row>
    <row r="1473" spans="4:24" x14ac:dyDescent="0.3">
      <c r="D1473" s="23">
        <v>41719</v>
      </c>
      <c r="E1473" s="5">
        <v>155.60907</v>
      </c>
      <c r="F1473" s="28">
        <v>61.612139999999997</v>
      </c>
      <c r="G1473" s="28">
        <v>128.47</v>
      </c>
      <c r="H1473" s="28">
        <v>82.021289999999993</v>
      </c>
      <c r="I1473" s="28">
        <v>81.596549999999993</v>
      </c>
      <c r="J1473" s="29"/>
      <c r="K1473" s="29"/>
      <c r="L1473" s="29"/>
      <c r="M1473" s="29"/>
      <c r="N1473" s="29"/>
      <c r="P1473" s="4">
        <f t="shared" si="93"/>
        <v>-3.8866318510537472E-3</v>
      </c>
      <c r="Q1473" s="4">
        <f t="shared" si="93"/>
        <v>2.8412981803667228E-3</v>
      </c>
      <c r="R1473" s="4">
        <f t="shared" si="93"/>
        <v>4.7594987049374912E-3</v>
      </c>
      <c r="S1473" s="4">
        <f t="shared" si="93"/>
        <v>-1.2106188041493935E-2</v>
      </c>
      <c r="T1473" s="4">
        <f t="shared" si="93"/>
        <v>-3.6759890097879922E-3</v>
      </c>
      <c r="U1473" s="35"/>
      <c r="V1473" s="35"/>
      <c r="W1473" s="35"/>
      <c r="X1473" s="35"/>
    </row>
    <row r="1474" spans="4:24" x14ac:dyDescent="0.3">
      <c r="D1474" s="23">
        <v>41722</v>
      </c>
      <c r="E1474" s="5">
        <v>154.96556100000001</v>
      </c>
      <c r="F1474" s="28">
        <v>61.619779999999999</v>
      </c>
      <c r="G1474" s="28">
        <v>126.18</v>
      </c>
      <c r="H1474" s="28">
        <v>81.302440000000004</v>
      </c>
      <c r="I1474" s="28">
        <v>81.120739999999998</v>
      </c>
      <c r="J1474" s="29"/>
      <c r="K1474" s="29"/>
      <c r="L1474" s="29"/>
      <c r="M1474" s="29"/>
      <c r="N1474" s="29"/>
      <c r="P1474" s="4">
        <f t="shared" si="93"/>
        <v>-4.1439953986359586E-3</v>
      </c>
      <c r="Q1474" s="4">
        <f t="shared" si="93"/>
        <v>1.239938485058802E-4</v>
      </c>
      <c r="R1474" s="4">
        <f t="shared" si="93"/>
        <v>-1.7985955100854843E-2</v>
      </c>
      <c r="S1474" s="4">
        <f t="shared" si="93"/>
        <v>-8.8028193079544084E-3</v>
      </c>
      <c r="T1474" s="4">
        <f t="shared" si="93"/>
        <v>-5.8483195752634231E-3</v>
      </c>
      <c r="U1474" s="35"/>
      <c r="V1474" s="35"/>
      <c r="W1474" s="35"/>
      <c r="X1474" s="35"/>
    </row>
    <row r="1475" spans="4:24" x14ac:dyDescent="0.3">
      <c r="D1475" s="23">
        <v>41723</v>
      </c>
      <c r="E1475" s="5">
        <v>155.70098899999999</v>
      </c>
      <c r="F1475" s="28">
        <v>61.60454</v>
      </c>
      <c r="G1475" s="28">
        <v>126.41</v>
      </c>
      <c r="H1475" s="28">
        <v>81.569730000000007</v>
      </c>
      <c r="I1475" s="28">
        <v>81.408289999999994</v>
      </c>
      <c r="J1475" s="29"/>
      <c r="K1475" s="29"/>
      <c r="L1475" s="29"/>
      <c r="M1475" s="29"/>
      <c r="N1475" s="29"/>
      <c r="P1475" s="4">
        <f t="shared" si="93"/>
        <v>4.7345256434117612E-3</v>
      </c>
      <c r="Q1475" s="4">
        <f t="shared" si="93"/>
        <v>-2.47353770387216E-4</v>
      </c>
      <c r="R1475" s="4">
        <f t="shared" si="93"/>
        <v>1.8211335648027694E-3</v>
      </c>
      <c r="S1475" s="4">
        <f t="shared" si="93"/>
        <v>3.2822088630268952E-3</v>
      </c>
      <c r="T1475" s="4">
        <f t="shared" si="93"/>
        <v>3.5384484854826086E-3</v>
      </c>
      <c r="U1475" s="35"/>
      <c r="V1475" s="35"/>
      <c r="W1475" s="35"/>
      <c r="X1475" s="35"/>
    </row>
    <row r="1476" spans="4:24" x14ac:dyDescent="0.3">
      <c r="D1476" s="23">
        <v>41724</v>
      </c>
      <c r="E1476" s="5">
        <v>154.58119199999999</v>
      </c>
      <c r="F1476" s="28">
        <v>61.77176</v>
      </c>
      <c r="G1476" s="28">
        <v>125.41</v>
      </c>
      <c r="H1476" s="28">
        <v>80.519099999999995</v>
      </c>
      <c r="I1476" s="28">
        <v>80.729200000000006</v>
      </c>
      <c r="J1476" s="29"/>
      <c r="K1476" s="29"/>
      <c r="L1476" s="29"/>
      <c r="M1476" s="29"/>
      <c r="N1476" s="29"/>
      <c r="P1476" s="4">
        <f t="shared" si="93"/>
        <v>-7.2179579121881832E-3</v>
      </c>
      <c r="Q1476" s="4">
        <f t="shared" si="93"/>
        <v>2.7107329753832056E-3</v>
      </c>
      <c r="R1476" s="4">
        <f t="shared" si="93"/>
        <v>-7.9422226715078897E-3</v>
      </c>
      <c r="S1476" s="4">
        <f t="shared" si="93"/>
        <v>-1.2963813904674087E-2</v>
      </c>
      <c r="T1476" s="4">
        <f t="shared" si="93"/>
        <v>-8.3767667920191975E-3</v>
      </c>
      <c r="U1476" s="35"/>
      <c r="V1476" s="35"/>
      <c r="W1476" s="35"/>
      <c r="X1476" s="35"/>
    </row>
    <row r="1477" spans="4:24" x14ac:dyDescent="0.3">
      <c r="D1477" s="23">
        <v>41725</v>
      </c>
      <c r="E1477" s="5">
        <v>154.25528</v>
      </c>
      <c r="F1477" s="28">
        <v>61.832630000000002</v>
      </c>
      <c r="G1477" s="28">
        <v>124.59</v>
      </c>
      <c r="H1477" s="28">
        <v>80.067530000000005</v>
      </c>
      <c r="I1477" s="28">
        <v>80.561530000000005</v>
      </c>
      <c r="J1477" s="29"/>
      <c r="K1477" s="29"/>
      <c r="L1477" s="29"/>
      <c r="M1477" s="29"/>
      <c r="N1477" s="29"/>
      <c r="P1477" s="4">
        <f t="shared" ref="P1477:T1492" si="94">LN(E1477/E1476)</f>
        <v>-2.1105805209599266E-3</v>
      </c>
      <c r="Q1477" s="4">
        <f t="shared" si="94"/>
        <v>9.8491655386413876E-4</v>
      </c>
      <c r="R1477" s="4">
        <f t="shared" si="94"/>
        <v>-6.5600235251864524E-3</v>
      </c>
      <c r="S1477" s="4">
        <f t="shared" si="94"/>
        <v>-5.6240197611408223E-3</v>
      </c>
      <c r="T1477" s="4">
        <f t="shared" si="94"/>
        <v>-2.0791034971261984E-3</v>
      </c>
      <c r="U1477" s="35"/>
      <c r="V1477" s="35"/>
      <c r="W1477" s="35"/>
      <c r="X1477" s="35"/>
    </row>
    <row r="1478" spans="4:24" x14ac:dyDescent="0.3">
      <c r="D1478" s="23">
        <v>41726</v>
      </c>
      <c r="E1478" s="5">
        <v>155.015762</v>
      </c>
      <c r="F1478" s="28">
        <v>61.718620000000001</v>
      </c>
      <c r="G1478" s="28">
        <v>124.56</v>
      </c>
      <c r="H1478" s="28">
        <v>80.224209999999999</v>
      </c>
      <c r="I1478" s="28">
        <v>80.92201</v>
      </c>
      <c r="J1478" s="29"/>
      <c r="K1478" s="29"/>
      <c r="L1478" s="29"/>
      <c r="M1478" s="29"/>
      <c r="N1478" s="29"/>
      <c r="P1478" s="4">
        <f t="shared" si="94"/>
        <v>4.9179097261906777E-3</v>
      </c>
      <c r="Q1478" s="4">
        <f t="shared" si="94"/>
        <v>-1.845550447451913E-3</v>
      </c>
      <c r="R1478" s="4">
        <f t="shared" si="94"/>
        <v>-2.4081878502898641E-4</v>
      </c>
      <c r="S1478" s="4">
        <f t="shared" si="94"/>
        <v>1.9549360422392854E-3</v>
      </c>
      <c r="T1478" s="4">
        <f t="shared" si="94"/>
        <v>4.464611052986095E-3</v>
      </c>
      <c r="U1478" s="35"/>
      <c r="V1478" s="35"/>
      <c r="W1478" s="35"/>
      <c r="X1478" s="35"/>
    </row>
    <row r="1479" spans="4:24" x14ac:dyDescent="0.3">
      <c r="D1479" s="23">
        <v>41729</v>
      </c>
      <c r="E1479" s="5">
        <v>156.28604100000001</v>
      </c>
      <c r="F1479" s="28">
        <v>61.718620000000001</v>
      </c>
      <c r="G1479" s="28">
        <v>123.61</v>
      </c>
      <c r="H1479" s="28">
        <v>80.795569999999998</v>
      </c>
      <c r="I1479" s="28">
        <v>81.718509999999995</v>
      </c>
      <c r="J1479" s="29"/>
      <c r="K1479" s="29"/>
      <c r="L1479" s="29"/>
      <c r="M1479" s="29"/>
      <c r="N1479" s="29"/>
      <c r="P1479" s="4">
        <f t="shared" si="94"/>
        <v>8.1611223463128636E-3</v>
      </c>
      <c r="Q1479" s="4">
        <f t="shared" si="94"/>
        <v>0</v>
      </c>
      <c r="R1479" s="4">
        <f t="shared" si="94"/>
        <v>-7.6560796260111809E-3</v>
      </c>
      <c r="S1479" s="4">
        <f t="shared" si="94"/>
        <v>7.0967976483568155E-3</v>
      </c>
      <c r="T1479" s="4">
        <f t="shared" si="94"/>
        <v>9.7946854539414339E-3</v>
      </c>
      <c r="U1479" s="35"/>
      <c r="V1479" s="35"/>
      <c r="W1479" s="35"/>
      <c r="X1479" s="35"/>
    </row>
    <row r="1480" spans="4:24" x14ac:dyDescent="0.3">
      <c r="D1480" s="23">
        <v>41730</v>
      </c>
      <c r="E1480" s="5">
        <v>157.322327</v>
      </c>
      <c r="F1480" s="28">
        <v>61.650019999999998</v>
      </c>
      <c r="G1480" s="28">
        <v>123.39</v>
      </c>
      <c r="H1480" s="28">
        <v>82.214820000000003</v>
      </c>
      <c r="I1480" s="28">
        <v>82.355689999999996</v>
      </c>
      <c r="J1480" s="29"/>
      <c r="K1480" s="29"/>
      <c r="L1480" s="29"/>
      <c r="M1480" s="29"/>
      <c r="N1480" s="29"/>
      <c r="P1480" s="4">
        <f t="shared" si="94"/>
        <v>6.6088145439408448E-3</v>
      </c>
      <c r="Q1480" s="4">
        <f t="shared" si="94"/>
        <v>-1.1121141818595519E-3</v>
      </c>
      <c r="R1480" s="4">
        <f t="shared" si="94"/>
        <v>-1.781376989289356E-3</v>
      </c>
      <c r="S1480" s="4">
        <f t="shared" si="94"/>
        <v>1.741344049095683E-2</v>
      </c>
      <c r="T1480" s="4">
        <f t="shared" si="94"/>
        <v>7.7670127690119143E-3</v>
      </c>
      <c r="U1480" s="35"/>
      <c r="V1480" s="35"/>
      <c r="W1480" s="35"/>
      <c r="X1480" s="35"/>
    </row>
    <row r="1481" spans="4:24" x14ac:dyDescent="0.3">
      <c r="D1481" s="23">
        <v>41731</v>
      </c>
      <c r="E1481" s="5">
        <v>157.84877</v>
      </c>
      <c r="F1481" s="28">
        <v>61.528080000000003</v>
      </c>
      <c r="G1481" s="28">
        <v>124.32</v>
      </c>
      <c r="H1481" s="28">
        <v>82.426770000000005</v>
      </c>
      <c r="I1481" s="28">
        <v>82.615589999999997</v>
      </c>
      <c r="J1481" s="29"/>
      <c r="K1481" s="29"/>
      <c r="L1481" s="29"/>
      <c r="M1481" s="29"/>
      <c r="N1481" s="29"/>
      <c r="P1481" s="4">
        <f t="shared" si="94"/>
        <v>3.3406838038786252E-3</v>
      </c>
      <c r="Q1481" s="4">
        <f t="shared" si="94"/>
        <v>-1.9798980473589175E-3</v>
      </c>
      <c r="R1481" s="4">
        <f t="shared" si="94"/>
        <v>7.5088157088948901E-3</v>
      </c>
      <c r="S1481" s="4">
        <f t="shared" si="94"/>
        <v>2.574685012271271E-3</v>
      </c>
      <c r="T1481" s="4">
        <f t="shared" si="94"/>
        <v>3.1508540761923938E-3</v>
      </c>
      <c r="U1481" s="35"/>
      <c r="V1481" s="35"/>
      <c r="W1481" s="35"/>
      <c r="X1481" s="35"/>
    </row>
    <row r="1482" spans="4:24" x14ac:dyDescent="0.3">
      <c r="D1482" s="23">
        <v>41732</v>
      </c>
      <c r="E1482" s="5">
        <v>157.639847</v>
      </c>
      <c r="F1482" s="28">
        <v>61.581440000000001</v>
      </c>
      <c r="G1482" s="28">
        <v>123.92</v>
      </c>
      <c r="H1482" s="28">
        <v>81.772480000000002</v>
      </c>
      <c r="I1482" s="28">
        <v>82.389210000000006</v>
      </c>
      <c r="J1482" s="29"/>
      <c r="K1482" s="29"/>
      <c r="L1482" s="29"/>
      <c r="M1482" s="29"/>
      <c r="N1482" s="29"/>
      <c r="P1482" s="4">
        <f t="shared" si="94"/>
        <v>-1.3244410053633664E-3</v>
      </c>
      <c r="Q1482" s="4">
        <f t="shared" si="94"/>
        <v>8.6687046365715623E-4</v>
      </c>
      <c r="R1482" s="4">
        <f t="shared" si="94"/>
        <v>-3.2226905107240384E-3</v>
      </c>
      <c r="S1482" s="4">
        <f t="shared" si="94"/>
        <v>-7.9695061090868657E-3</v>
      </c>
      <c r="T1482" s="4">
        <f t="shared" si="94"/>
        <v>-2.7439218984730311E-3</v>
      </c>
      <c r="U1482" s="35"/>
      <c r="V1482" s="35"/>
      <c r="W1482" s="35"/>
      <c r="X1482" s="35"/>
    </row>
    <row r="1483" spans="4:24" x14ac:dyDescent="0.3">
      <c r="D1483" s="23">
        <v>41733</v>
      </c>
      <c r="E1483" s="5">
        <v>155.77621500000001</v>
      </c>
      <c r="F1483" s="28">
        <v>61.764319999999998</v>
      </c>
      <c r="G1483" s="28">
        <v>125.57</v>
      </c>
      <c r="H1483" s="28">
        <v>79.597499999999997</v>
      </c>
      <c r="I1483" s="28">
        <v>81.257379999999998</v>
      </c>
      <c r="J1483" s="29"/>
      <c r="K1483" s="29"/>
      <c r="L1483" s="29"/>
      <c r="M1483" s="29"/>
      <c r="N1483" s="29"/>
      <c r="P1483" s="4">
        <f t="shared" si="94"/>
        <v>-1.1892523649495763E-2</v>
      </c>
      <c r="Q1483" s="4">
        <f t="shared" si="94"/>
        <v>2.9653250181867039E-3</v>
      </c>
      <c r="R1483" s="4">
        <f t="shared" si="94"/>
        <v>1.3227175892259333E-2</v>
      </c>
      <c r="S1483" s="4">
        <f t="shared" si="94"/>
        <v>-2.6958071363527302E-2</v>
      </c>
      <c r="T1483" s="4">
        <f t="shared" si="94"/>
        <v>-1.3832833885016511E-2</v>
      </c>
      <c r="U1483" s="35"/>
      <c r="V1483" s="35"/>
      <c r="W1483" s="35"/>
      <c r="X1483" s="35"/>
    </row>
    <row r="1484" spans="4:24" x14ac:dyDescent="0.3">
      <c r="D1484" s="23">
        <v>41736</v>
      </c>
      <c r="E1484" s="5">
        <v>154.054688</v>
      </c>
      <c r="F1484" s="28">
        <v>61.878630000000001</v>
      </c>
      <c r="G1484" s="28">
        <v>124.91</v>
      </c>
      <c r="H1484" s="28">
        <v>78.841809999999995</v>
      </c>
      <c r="I1484" s="28">
        <v>80.284840000000003</v>
      </c>
      <c r="J1484" s="29"/>
      <c r="K1484" s="29"/>
      <c r="L1484" s="29"/>
      <c r="M1484" s="29"/>
      <c r="N1484" s="29"/>
      <c r="P1484" s="4">
        <f t="shared" si="94"/>
        <v>-1.111280185332055E-2</v>
      </c>
      <c r="Q1484" s="4">
        <f t="shared" si="94"/>
        <v>1.849034377910654E-3</v>
      </c>
      <c r="R1484" s="4">
        <f t="shared" si="94"/>
        <v>-5.2698940230545312E-3</v>
      </c>
      <c r="S1484" s="4">
        <f t="shared" si="94"/>
        <v>-9.5392454115628515E-3</v>
      </c>
      <c r="T1484" s="4">
        <f t="shared" si="94"/>
        <v>-1.2040836754843541E-2</v>
      </c>
      <c r="U1484" s="35"/>
      <c r="V1484" s="35"/>
      <c r="W1484" s="35"/>
      <c r="X1484" s="35"/>
    </row>
    <row r="1485" spans="4:24" x14ac:dyDescent="0.3">
      <c r="D1485" s="23">
        <v>41737</v>
      </c>
      <c r="E1485" s="5">
        <v>154.68983499999999</v>
      </c>
      <c r="F1485" s="28">
        <v>61.924340000000001</v>
      </c>
      <c r="G1485" s="28">
        <v>126.09</v>
      </c>
      <c r="H1485" s="28">
        <v>79.569860000000006</v>
      </c>
      <c r="I1485" s="28">
        <v>80.636989999999997</v>
      </c>
      <c r="J1485" s="29"/>
      <c r="K1485" s="29"/>
      <c r="L1485" s="29"/>
      <c r="M1485" s="29"/>
      <c r="N1485" s="29"/>
      <c r="P1485" s="4">
        <f t="shared" si="94"/>
        <v>4.1143913409072974E-3</v>
      </c>
      <c r="Q1485" s="4">
        <f t="shared" si="94"/>
        <v>7.3843142982860132E-4</v>
      </c>
      <c r="R1485" s="4">
        <f t="shared" si="94"/>
        <v>9.4024597073171252E-3</v>
      </c>
      <c r="S1485" s="4">
        <f t="shared" si="94"/>
        <v>9.1919380204264784E-3</v>
      </c>
      <c r="T1485" s="4">
        <f t="shared" si="94"/>
        <v>4.3766661381530268E-3</v>
      </c>
      <c r="U1485" s="35"/>
      <c r="V1485" s="35"/>
      <c r="W1485" s="35"/>
      <c r="X1485" s="35"/>
    </row>
    <row r="1486" spans="4:24" x14ac:dyDescent="0.3">
      <c r="D1486" s="23">
        <v>41738</v>
      </c>
      <c r="E1486" s="5">
        <v>156.35287500000001</v>
      </c>
      <c r="F1486" s="28">
        <v>61.909100000000002</v>
      </c>
      <c r="G1486" s="28">
        <v>126.32</v>
      </c>
      <c r="H1486" s="28">
        <v>80.933800000000005</v>
      </c>
      <c r="I1486" s="28">
        <v>81.601140000000001</v>
      </c>
      <c r="J1486" s="29"/>
      <c r="K1486" s="29"/>
      <c r="L1486" s="29"/>
      <c r="M1486" s="29"/>
      <c r="N1486" s="29"/>
      <c r="P1486" s="4">
        <f t="shared" si="94"/>
        <v>1.0693424367743967E-2</v>
      </c>
      <c r="Q1486" s="4">
        <f t="shared" si="94"/>
        <v>-2.4613707051893488E-4</v>
      </c>
      <c r="R1486" s="4">
        <f t="shared" si="94"/>
        <v>1.8224322622514828E-3</v>
      </c>
      <c r="S1486" s="4">
        <f t="shared" si="94"/>
        <v>1.699615863239903E-2</v>
      </c>
      <c r="T1486" s="4">
        <f t="shared" si="94"/>
        <v>1.1885755223186202E-2</v>
      </c>
      <c r="U1486" s="35"/>
      <c r="V1486" s="35"/>
      <c r="W1486" s="35"/>
      <c r="X1486" s="35"/>
    </row>
    <row r="1487" spans="4:24" x14ac:dyDescent="0.3">
      <c r="D1487" s="23">
        <v>41739</v>
      </c>
      <c r="E1487" s="5">
        <v>153.06857299999999</v>
      </c>
      <c r="F1487" s="28">
        <v>62.099580000000003</v>
      </c>
      <c r="G1487" s="28">
        <v>127.01</v>
      </c>
      <c r="H1487" s="28">
        <v>78.427090000000007</v>
      </c>
      <c r="I1487" s="28">
        <v>79.806979999999996</v>
      </c>
      <c r="J1487" s="29"/>
      <c r="K1487" s="29"/>
      <c r="L1487" s="29"/>
      <c r="M1487" s="29"/>
      <c r="N1487" s="29"/>
      <c r="P1487" s="4">
        <f t="shared" si="94"/>
        <v>-2.1229461438334964E-2</v>
      </c>
      <c r="Q1487" s="4">
        <f t="shared" si="94"/>
        <v>3.0720454375287678E-3</v>
      </c>
      <c r="R1487" s="4">
        <f t="shared" si="94"/>
        <v>5.4474535688415412E-3</v>
      </c>
      <c r="S1487" s="4">
        <f t="shared" si="94"/>
        <v>-3.1462133176281666E-2</v>
      </c>
      <c r="T1487" s="4">
        <f t="shared" si="94"/>
        <v>-2.223226315842787E-2</v>
      </c>
      <c r="U1487" s="35"/>
      <c r="V1487" s="35"/>
      <c r="W1487" s="35"/>
      <c r="X1487" s="35"/>
    </row>
    <row r="1488" spans="4:24" x14ac:dyDescent="0.3">
      <c r="D1488" s="23">
        <v>41740</v>
      </c>
      <c r="E1488" s="5">
        <v>151.689651</v>
      </c>
      <c r="F1488" s="28">
        <v>62.13767</v>
      </c>
      <c r="G1488" s="28">
        <v>126.93</v>
      </c>
      <c r="H1488" s="28">
        <v>77.51473</v>
      </c>
      <c r="I1488" s="28">
        <v>79.01885</v>
      </c>
      <c r="J1488" s="29"/>
      <c r="K1488" s="29"/>
      <c r="L1488" s="29"/>
      <c r="M1488" s="29"/>
      <c r="N1488" s="29"/>
      <c r="P1488" s="4">
        <f t="shared" si="94"/>
        <v>-9.049346671991948E-3</v>
      </c>
      <c r="Q1488" s="4">
        <f t="shared" si="94"/>
        <v>6.1318165354531267E-4</v>
      </c>
      <c r="R1488" s="4">
        <f t="shared" si="94"/>
        <v>-6.3007011614225103E-4</v>
      </c>
      <c r="S1488" s="4">
        <f t="shared" si="94"/>
        <v>-1.170142057147266E-2</v>
      </c>
      <c r="T1488" s="4">
        <f t="shared" si="94"/>
        <v>-9.9245377025875894E-3</v>
      </c>
      <c r="U1488" s="35"/>
      <c r="V1488" s="35"/>
      <c r="W1488" s="35"/>
      <c r="X1488" s="35"/>
    </row>
    <row r="1489" spans="4:24" x14ac:dyDescent="0.3">
      <c r="D1489" s="23">
        <v>41743</v>
      </c>
      <c r="E1489" s="5">
        <v>152.88467399999999</v>
      </c>
      <c r="F1489" s="28">
        <v>62.130049999999997</v>
      </c>
      <c r="G1489" s="28">
        <v>127.85</v>
      </c>
      <c r="H1489" s="28">
        <v>78.122979999999998</v>
      </c>
      <c r="I1489" s="28">
        <v>79.555430000000001</v>
      </c>
      <c r="J1489" s="29"/>
      <c r="K1489" s="29"/>
      <c r="L1489" s="29"/>
      <c r="M1489" s="29"/>
      <c r="N1489" s="29"/>
      <c r="P1489" s="4">
        <f t="shared" si="94"/>
        <v>7.8472086071092705E-3</v>
      </c>
      <c r="Q1489" s="4">
        <f t="shared" si="94"/>
        <v>-1.2263844560042193E-4</v>
      </c>
      <c r="R1489" s="4">
        <f t="shared" si="94"/>
        <v>7.221948337109832E-3</v>
      </c>
      <c r="S1489" s="4">
        <f t="shared" si="94"/>
        <v>7.8162689068347804E-3</v>
      </c>
      <c r="T1489" s="4">
        <f t="shared" si="94"/>
        <v>6.7675798111969951E-3</v>
      </c>
      <c r="U1489" s="35"/>
      <c r="V1489" s="35"/>
      <c r="W1489" s="35"/>
      <c r="X1489" s="35"/>
    </row>
    <row r="1490" spans="4:24" x14ac:dyDescent="0.3">
      <c r="D1490" s="23">
        <v>41744</v>
      </c>
      <c r="E1490" s="5">
        <v>153.937668</v>
      </c>
      <c r="F1490" s="28">
        <v>62.160519999999998</v>
      </c>
      <c r="G1490" s="28">
        <v>125.49</v>
      </c>
      <c r="H1490" s="28">
        <v>78.381020000000007</v>
      </c>
      <c r="I1490" s="28">
        <v>80.100409999999997</v>
      </c>
      <c r="J1490" s="29"/>
      <c r="K1490" s="29"/>
      <c r="L1490" s="29"/>
      <c r="M1490" s="29"/>
      <c r="N1490" s="29"/>
      <c r="P1490" s="4">
        <f t="shared" si="94"/>
        <v>6.8638947690678005E-3</v>
      </c>
      <c r="Q1490" s="4">
        <f t="shared" si="94"/>
        <v>4.9030269328407216E-4</v>
      </c>
      <c r="R1490" s="4">
        <f t="shared" si="94"/>
        <v>-1.863162761497883E-2</v>
      </c>
      <c r="S1490" s="4">
        <f t="shared" si="94"/>
        <v>3.2975544883749762E-3</v>
      </c>
      <c r="T1490" s="4">
        <f t="shared" si="94"/>
        <v>6.8269612520709608E-3</v>
      </c>
      <c r="U1490" s="35"/>
      <c r="V1490" s="35"/>
      <c r="W1490" s="35"/>
      <c r="X1490" s="35"/>
    </row>
    <row r="1491" spans="4:24" x14ac:dyDescent="0.3">
      <c r="D1491" s="23">
        <v>41745</v>
      </c>
      <c r="E1491" s="5">
        <v>155.550613</v>
      </c>
      <c r="F1491" s="28">
        <v>62.122439999999997</v>
      </c>
      <c r="G1491" s="28">
        <v>125.54</v>
      </c>
      <c r="H1491" s="28">
        <v>79.422409999999999</v>
      </c>
      <c r="I1491" s="28">
        <v>80.938810000000004</v>
      </c>
      <c r="J1491" s="29"/>
      <c r="K1491" s="29"/>
      <c r="L1491" s="29"/>
      <c r="M1491" s="29"/>
      <c r="N1491" s="29"/>
      <c r="P1491" s="4">
        <f t="shared" si="94"/>
        <v>1.0423396958740458E-2</v>
      </c>
      <c r="Q1491" s="4">
        <f t="shared" si="94"/>
        <v>-6.1279520847657267E-4</v>
      </c>
      <c r="R1491" s="4">
        <f t="shared" si="94"/>
        <v>3.9835876716903996E-4</v>
      </c>
      <c r="S1491" s="4">
        <f t="shared" si="94"/>
        <v>1.3198764033295908E-2</v>
      </c>
      <c r="T1491" s="4">
        <f t="shared" si="94"/>
        <v>1.0412464428099828E-2</v>
      </c>
      <c r="U1491" s="35"/>
      <c r="V1491" s="35"/>
      <c r="W1491" s="35"/>
      <c r="X1491" s="35"/>
    </row>
    <row r="1492" spans="4:24" x14ac:dyDescent="0.3">
      <c r="D1492" s="23">
        <v>41746</v>
      </c>
      <c r="E1492" s="5">
        <v>155.76791399999999</v>
      </c>
      <c r="F1492" s="28">
        <v>61.962389999999999</v>
      </c>
      <c r="G1492" s="28">
        <v>124.75</v>
      </c>
      <c r="H1492" s="28">
        <v>79.440820000000002</v>
      </c>
      <c r="I1492" s="28">
        <v>81.098079999999996</v>
      </c>
      <c r="J1492" s="29"/>
      <c r="K1492" s="29"/>
      <c r="L1492" s="29"/>
      <c r="M1492" s="29"/>
      <c r="N1492" s="29"/>
      <c r="P1492" s="4">
        <f t="shared" si="94"/>
        <v>1.3960045191283908E-3</v>
      </c>
      <c r="Q1492" s="4">
        <f t="shared" si="94"/>
        <v>-2.5796882464725235E-3</v>
      </c>
      <c r="R1492" s="4">
        <f t="shared" si="94"/>
        <v>-6.3126982577576913E-3</v>
      </c>
      <c r="S1492" s="4">
        <f t="shared" si="94"/>
        <v>2.317716954692367E-4</v>
      </c>
      <c r="T1492" s="4">
        <f t="shared" si="94"/>
        <v>1.9658492741056067E-3</v>
      </c>
      <c r="U1492" s="35"/>
      <c r="V1492" s="35"/>
      <c r="W1492" s="35"/>
      <c r="X1492" s="35"/>
    </row>
    <row r="1493" spans="4:24" x14ac:dyDescent="0.3">
      <c r="D1493" s="23">
        <v>41750</v>
      </c>
      <c r="E1493" s="5">
        <v>156.31111100000001</v>
      </c>
      <c r="F1493" s="28">
        <v>61.977699999999999</v>
      </c>
      <c r="G1493" s="28">
        <v>124.24</v>
      </c>
      <c r="H1493" s="28">
        <v>80.030659999999997</v>
      </c>
      <c r="I1493" s="28">
        <v>81.425070000000005</v>
      </c>
      <c r="J1493" s="29"/>
      <c r="K1493" s="29"/>
      <c r="L1493" s="29"/>
      <c r="M1493" s="29"/>
      <c r="N1493" s="29"/>
      <c r="P1493" s="4">
        <f t="shared" ref="P1493:T1508" si="95">LN(E1493/E1492)</f>
        <v>3.4811538427352135E-3</v>
      </c>
      <c r="Q1493" s="4">
        <f t="shared" si="95"/>
        <v>2.4705484848149727E-4</v>
      </c>
      <c r="R1493" s="4">
        <f t="shared" si="95"/>
        <v>-4.0965557911964252E-3</v>
      </c>
      <c r="S1493" s="4">
        <f t="shared" si="95"/>
        <v>7.3974693129254324E-3</v>
      </c>
      <c r="T1493" s="4">
        <f t="shared" si="95"/>
        <v>4.0239244835894375E-3</v>
      </c>
      <c r="U1493" s="35"/>
      <c r="V1493" s="35"/>
      <c r="W1493" s="35"/>
      <c r="X1493" s="35"/>
    </row>
    <row r="1494" spans="4:24" x14ac:dyDescent="0.3">
      <c r="D1494" s="23">
        <v>41751</v>
      </c>
      <c r="E1494" s="5">
        <v>157.021423</v>
      </c>
      <c r="F1494" s="28">
        <v>61.977699999999999</v>
      </c>
      <c r="G1494" s="28">
        <v>123.78</v>
      </c>
      <c r="H1494" s="28">
        <v>80.666550000000001</v>
      </c>
      <c r="I1494" s="28">
        <v>81.844279999999998</v>
      </c>
      <c r="J1494" s="29"/>
      <c r="K1494" s="29"/>
      <c r="L1494" s="29"/>
      <c r="M1494" s="29"/>
      <c r="N1494" s="29"/>
      <c r="P1494" s="4">
        <f t="shared" si="95"/>
        <v>4.5339257160738906E-3</v>
      </c>
      <c r="Q1494" s="4">
        <f t="shared" si="95"/>
        <v>0</v>
      </c>
      <c r="R1494" s="4">
        <f t="shared" si="95"/>
        <v>-3.7093825292161269E-3</v>
      </c>
      <c r="S1494" s="4">
        <f t="shared" si="95"/>
        <v>7.9141799541801554E-3</v>
      </c>
      <c r="T1494" s="4">
        <f t="shared" si="95"/>
        <v>5.1352065923662461E-3</v>
      </c>
      <c r="U1494" s="35"/>
      <c r="V1494" s="35"/>
      <c r="W1494" s="35"/>
      <c r="X1494" s="35"/>
    </row>
    <row r="1495" spans="4:24" x14ac:dyDescent="0.3">
      <c r="D1495" s="23">
        <v>41752</v>
      </c>
      <c r="E1495" s="5">
        <v>156.65373199999999</v>
      </c>
      <c r="F1495" s="28">
        <v>62.076709999999999</v>
      </c>
      <c r="G1495" s="28">
        <v>123.76</v>
      </c>
      <c r="H1495" s="28">
        <v>79.956940000000003</v>
      </c>
      <c r="I1495" s="28">
        <v>81.634659999999997</v>
      </c>
      <c r="J1495" s="29"/>
      <c r="K1495" s="29"/>
      <c r="L1495" s="29"/>
      <c r="M1495" s="29"/>
      <c r="N1495" s="29"/>
      <c r="P1495" s="4">
        <f t="shared" si="95"/>
        <v>-2.3444073433868287E-3</v>
      </c>
      <c r="Q1495" s="4">
        <f t="shared" si="95"/>
        <v>1.5962354102985574E-3</v>
      </c>
      <c r="R1495" s="4">
        <f t="shared" si="95"/>
        <v>-1.615900464047288E-4</v>
      </c>
      <c r="S1495" s="4">
        <f t="shared" si="95"/>
        <v>-8.8357514411890273E-3</v>
      </c>
      <c r="T1495" s="4">
        <f t="shared" si="95"/>
        <v>-2.5644907519274413E-3</v>
      </c>
      <c r="U1495" s="35"/>
      <c r="V1495" s="35"/>
      <c r="W1495" s="35"/>
      <c r="X1495" s="35"/>
    </row>
    <row r="1496" spans="4:24" x14ac:dyDescent="0.3">
      <c r="D1496" s="23">
        <v>41753</v>
      </c>
      <c r="E1496" s="5">
        <v>156.97129799999999</v>
      </c>
      <c r="F1496" s="28">
        <v>62.091949999999997</v>
      </c>
      <c r="G1496" s="28">
        <v>124.56</v>
      </c>
      <c r="H1496" s="28">
        <v>80.721829999999997</v>
      </c>
      <c r="I1496" s="28">
        <v>81.743669999999995</v>
      </c>
      <c r="J1496" s="29"/>
      <c r="K1496" s="29"/>
      <c r="L1496" s="29"/>
      <c r="M1496" s="29"/>
      <c r="N1496" s="29"/>
      <c r="P1496" s="4">
        <f t="shared" si="95"/>
        <v>2.0251324234703779E-3</v>
      </c>
      <c r="Q1496" s="4">
        <f t="shared" si="95"/>
        <v>2.4547257055882544E-4</v>
      </c>
      <c r="R1496" s="4">
        <f t="shared" si="95"/>
        <v>6.4433212609321857E-3</v>
      </c>
      <c r="S1496" s="4">
        <f t="shared" si="95"/>
        <v>9.5208069843689264E-3</v>
      </c>
      <c r="T1496" s="4">
        <f t="shared" si="95"/>
        <v>1.334448897557687E-3</v>
      </c>
      <c r="U1496" s="35"/>
      <c r="V1496" s="35"/>
      <c r="W1496" s="35"/>
      <c r="X1496" s="35"/>
    </row>
    <row r="1497" spans="4:24" x14ac:dyDescent="0.3">
      <c r="D1497" s="23">
        <v>41754</v>
      </c>
      <c r="E1497" s="5">
        <v>155.68429599999999</v>
      </c>
      <c r="F1497" s="28">
        <v>62.114800000000002</v>
      </c>
      <c r="G1497" s="28">
        <v>125.43</v>
      </c>
      <c r="H1497" s="28">
        <v>79.431600000000003</v>
      </c>
      <c r="I1497" s="28">
        <v>80.947180000000003</v>
      </c>
      <c r="J1497" s="29"/>
      <c r="K1497" s="29"/>
      <c r="L1497" s="29"/>
      <c r="M1497" s="29"/>
      <c r="N1497" s="29"/>
      <c r="P1497" s="4">
        <f t="shared" si="95"/>
        <v>-8.2327602251706326E-3</v>
      </c>
      <c r="Q1497" s="4">
        <f t="shared" si="95"/>
        <v>3.6793491912126449E-4</v>
      </c>
      <c r="R1497" s="4">
        <f t="shared" si="95"/>
        <v>6.9603065108404267E-3</v>
      </c>
      <c r="S1497" s="4">
        <f t="shared" si="95"/>
        <v>-1.6112772784957742E-2</v>
      </c>
      <c r="T1497" s="4">
        <f t="shared" si="95"/>
        <v>-9.7915323886223204E-3</v>
      </c>
      <c r="U1497" s="35"/>
      <c r="V1497" s="35"/>
      <c r="W1497" s="35"/>
      <c r="X1497" s="35"/>
    </row>
    <row r="1498" spans="4:24" x14ac:dyDescent="0.3">
      <c r="D1498" s="23">
        <v>41757</v>
      </c>
      <c r="E1498" s="5">
        <v>156.17739900000001</v>
      </c>
      <c r="F1498" s="28">
        <v>62.046250000000001</v>
      </c>
      <c r="G1498" s="28">
        <v>124.88</v>
      </c>
      <c r="H1498" s="28">
        <v>79.689679999999996</v>
      </c>
      <c r="I1498" s="28">
        <v>81.064549999999997</v>
      </c>
      <c r="J1498" s="29"/>
      <c r="K1498" s="29"/>
      <c r="L1498" s="29"/>
      <c r="M1498" s="29"/>
      <c r="N1498" s="29"/>
      <c r="P1498" s="4">
        <f t="shared" si="95"/>
        <v>3.1623211111605118E-3</v>
      </c>
      <c r="Q1498" s="4">
        <f t="shared" si="95"/>
        <v>-1.1042111348953895E-3</v>
      </c>
      <c r="R1498" s="4">
        <f t="shared" si="95"/>
        <v>-4.3945578294068014E-3</v>
      </c>
      <c r="S1498" s="4">
        <f t="shared" si="95"/>
        <v>3.2438178765369723E-3</v>
      </c>
      <c r="T1498" s="4">
        <f t="shared" si="95"/>
        <v>1.4489076875263116E-3</v>
      </c>
      <c r="U1498" s="35"/>
      <c r="V1498" s="35"/>
      <c r="W1498" s="35"/>
      <c r="X1498" s="35"/>
    </row>
    <row r="1499" spans="4:24" x14ac:dyDescent="0.3">
      <c r="D1499" s="23">
        <v>41758</v>
      </c>
      <c r="E1499" s="5">
        <v>156.90446499999999</v>
      </c>
      <c r="F1499" s="28">
        <v>62.076709999999999</v>
      </c>
      <c r="G1499" s="28">
        <v>124.86</v>
      </c>
      <c r="H1499" s="28">
        <v>80.325580000000002</v>
      </c>
      <c r="I1499" s="28">
        <v>81.466970000000003</v>
      </c>
      <c r="J1499" s="29"/>
      <c r="K1499" s="29"/>
      <c r="L1499" s="29"/>
      <c r="M1499" s="29"/>
      <c r="N1499" s="29"/>
      <c r="P1499" s="4">
        <f t="shared" si="95"/>
        <v>4.6445827154704021E-3</v>
      </c>
      <c r="Q1499" s="4">
        <f t="shared" si="95"/>
        <v>4.9080364521532176E-4</v>
      </c>
      <c r="R1499" s="4">
        <f t="shared" si="95"/>
        <v>-1.6016657357857453E-4</v>
      </c>
      <c r="S1499" s="4">
        <f t="shared" si="95"/>
        <v>7.9480338005994203E-3</v>
      </c>
      <c r="T1499" s="4">
        <f t="shared" si="95"/>
        <v>4.9519111409973534E-3</v>
      </c>
      <c r="U1499" s="35"/>
      <c r="V1499" s="35"/>
      <c r="W1499" s="35"/>
      <c r="X1499" s="35"/>
    </row>
    <row r="1500" spans="4:24" x14ac:dyDescent="0.3">
      <c r="D1500" s="23">
        <v>41759</v>
      </c>
      <c r="E1500" s="5">
        <v>157.37243699999999</v>
      </c>
      <c r="F1500" s="28">
        <v>62.213859999999997</v>
      </c>
      <c r="G1500" s="28">
        <v>124.22</v>
      </c>
      <c r="H1500" s="28">
        <v>80.537520000000001</v>
      </c>
      <c r="I1500" s="28">
        <v>81.768810000000002</v>
      </c>
      <c r="J1500" s="29"/>
      <c r="K1500" s="29"/>
      <c r="L1500" s="29"/>
      <c r="M1500" s="29"/>
      <c r="N1500" s="29"/>
      <c r="P1500" s="4">
        <f t="shared" si="95"/>
        <v>2.9780893402778538E-3</v>
      </c>
      <c r="Q1500" s="4">
        <f t="shared" si="95"/>
        <v>2.2069261677054109E-3</v>
      </c>
      <c r="R1500" s="4">
        <f t="shared" si="95"/>
        <v>-5.1389225024411163E-3</v>
      </c>
      <c r="S1500" s="4">
        <f t="shared" si="95"/>
        <v>2.6350371543551673E-3</v>
      </c>
      <c r="T1500" s="4">
        <f t="shared" si="95"/>
        <v>3.698213026782732E-3</v>
      </c>
      <c r="U1500" s="35"/>
      <c r="V1500" s="35"/>
      <c r="W1500" s="35"/>
      <c r="X1500" s="35"/>
    </row>
    <row r="1501" spans="4:24" x14ac:dyDescent="0.3">
      <c r="D1501" s="23">
        <v>41760</v>
      </c>
      <c r="E1501" s="5">
        <v>157.38911400000001</v>
      </c>
      <c r="F1501" s="28">
        <v>62.365090000000002</v>
      </c>
      <c r="G1501" s="28">
        <v>123.8</v>
      </c>
      <c r="H1501" s="28">
        <v>80.777150000000006</v>
      </c>
      <c r="I1501" s="28">
        <v>81.793959999999998</v>
      </c>
      <c r="J1501" s="29"/>
      <c r="K1501" s="29"/>
      <c r="L1501" s="29"/>
      <c r="M1501" s="29"/>
      <c r="N1501" s="29"/>
      <c r="P1501" s="4">
        <f t="shared" si="95"/>
        <v>1.0596592857439443E-4</v>
      </c>
      <c r="Q1501" s="4">
        <f t="shared" si="95"/>
        <v>2.4278591894608421E-3</v>
      </c>
      <c r="R1501" s="4">
        <f t="shared" si="95"/>
        <v>-3.3868268806611893E-3</v>
      </c>
      <c r="S1501" s="4">
        <f t="shared" si="95"/>
        <v>2.9709657064737769E-3</v>
      </c>
      <c r="T1501" s="4">
        <f t="shared" si="95"/>
        <v>3.0752719825190365E-4</v>
      </c>
      <c r="U1501" s="35"/>
      <c r="V1501" s="35"/>
      <c r="W1501" s="35"/>
      <c r="X1501" s="35"/>
    </row>
    <row r="1502" spans="4:24" x14ac:dyDescent="0.3">
      <c r="D1502" s="23">
        <v>41761</v>
      </c>
      <c r="E1502" s="5">
        <v>157.163498</v>
      </c>
      <c r="F1502" s="28">
        <v>62.433799999999998</v>
      </c>
      <c r="G1502" s="28">
        <v>125.06</v>
      </c>
      <c r="H1502" s="28">
        <v>80.629679999999993</v>
      </c>
      <c r="I1502" s="28">
        <v>81.726879999999994</v>
      </c>
      <c r="J1502" s="29"/>
      <c r="K1502" s="29"/>
      <c r="L1502" s="29"/>
      <c r="M1502" s="29"/>
      <c r="N1502" s="29"/>
      <c r="P1502" s="4">
        <f t="shared" si="95"/>
        <v>-1.4345202047808467E-3</v>
      </c>
      <c r="Q1502" s="4">
        <f t="shared" si="95"/>
        <v>1.1011316998494887E-3</v>
      </c>
      <c r="R1502" s="4">
        <f t="shared" si="95"/>
        <v>1.0126261888656132E-2</v>
      </c>
      <c r="S1502" s="4">
        <f t="shared" si="95"/>
        <v>-1.8273085597955575E-3</v>
      </c>
      <c r="T1502" s="4">
        <f t="shared" si="95"/>
        <v>-8.2044592925042438E-4</v>
      </c>
      <c r="U1502" s="35"/>
      <c r="V1502" s="35"/>
      <c r="W1502" s="35"/>
      <c r="X1502" s="35"/>
    </row>
    <row r="1503" spans="4:24" x14ac:dyDescent="0.3">
      <c r="D1503" s="23">
        <v>41764</v>
      </c>
      <c r="E1503" s="5">
        <v>157.464417</v>
      </c>
      <c r="F1503" s="28">
        <v>62.365090000000002</v>
      </c>
      <c r="G1503" s="28">
        <v>126.22</v>
      </c>
      <c r="H1503" s="28">
        <v>81.05359</v>
      </c>
      <c r="I1503" s="28">
        <v>81.861019999999996</v>
      </c>
      <c r="J1503" s="29"/>
      <c r="K1503" s="29"/>
      <c r="L1503" s="29"/>
      <c r="M1503" s="29"/>
      <c r="N1503" s="29"/>
      <c r="P1503" s="4">
        <f t="shared" si="95"/>
        <v>1.9128569170712738E-3</v>
      </c>
      <c r="Q1503" s="4">
        <f t="shared" si="95"/>
        <v>-1.1011316998494811E-3</v>
      </c>
      <c r="R1503" s="4">
        <f t="shared" si="95"/>
        <v>9.2327940169416884E-3</v>
      </c>
      <c r="S1503" s="4">
        <f t="shared" si="95"/>
        <v>5.2437209037174025E-3</v>
      </c>
      <c r="T1503" s="4">
        <f t="shared" si="95"/>
        <v>1.6399749622598853E-3</v>
      </c>
      <c r="U1503" s="35"/>
      <c r="V1503" s="35"/>
      <c r="W1503" s="35"/>
      <c r="X1503" s="35"/>
    </row>
    <row r="1504" spans="4:24" x14ac:dyDescent="0.3">
      <c r="D1504" s="23">
        <v>41765</v>
      </c>
      <c r="E1504" s="5">
        <v>156.09381099999999</v>
      </c>
      <c r="F1504" s="28">
        <v>62.426169999999999</v>
      </c>
      <c r="G1504" s="28">
        <v>125.98</v>
      </c>
      <c r="H1504" s="28">
        <v>80.003020000000006</v>
      </c>
      <c r="I1504" s="28">
        <v>81.106480000000005</v>
      </c>
      <c r="J1504" s="29"/>
      <c r="K1504" s="29"/>
      <c r="L1504" s="29"/>
      <c r="M1504" s="29"/>
      <c r="N1504" s="29"/>
      <c r="P1504" s="4">
        <f t="shared" si="95"/>
        <v>-8.7423298578939313E-3</v>
      </c>
      <c r="Q1504" s="4">
        <f t="shared" si="95"/>
        <v>9.7891478742351832E-4</v>
      </c>
      <c r="R1504" s="4">
        <f t="shared" si="95"/>
        <v>-1.9032519623104543E-3</v>
      </c>
      <c r="S1504" s="4">
        <f t="shared" si="95"/>
        <v>-1.3046156885279785E-2</v>
      </c>
      <c r="T1504" s="4">
        <f t="shared" si="95"/>
        <v>-9.2600719989237683E-3</v>
      </c>
      <c r="U1504" s="35"/>
      <c r="V1504" s="35"/>
      <c r="W1504" s="35"/>
      <c r="X1504" s="35"/>
    </row>
    <row r="1505" spans="4:24" x14ac:dyDescent="0.3">
      <c r="D1505" s="23">
        <v>41766</v>
      </c>
      <c r="E1505" s="5">
        <v>157.01310699999999</v>
      </c>
      <c r="F1505" s="28">
        <v>62.456710000000001</v>
      </c>
      <c r="G1505" s="28">
        <v>124.17</v>
      </c>
      <c r="H1505" s="28">
        <v>79.772589999999994</v>
      </c>
      <c r="I1505" s="28">
        <v>81.483760000000004</v>
      </c>
      <c r="J1505" s="29"/>
      <c r="K1505" s="29"/>
      <c r="L1505" s="29"/>
      <c r="M1505" s="29"/>
      <c r="N1505" s="29"/>
      <c r="P1505" s="4">
        <f t="shared" si="95"/>
        <v>5.8721068664978997E-3</v>
      </c>
      <c r="Q1505" s="4">
        <f t="shared" si="95"/>
        <v>4.8909827526097123E-4</v>
      </c>
      <c r="R1505" s="4">
        <f t="shared" si="95"/>
        <v>-1.4471569765032201E-2</v>
      </c>
      <c r="S1505" s="4">
        <f t="shared" si="95"/>
        <v>-2.8844222189194422E-3</v>
      </c>
      <c r="T1505" s="4">
        <f t="shared" si="95"/>
        <v>4.6408773016925788E-3</v>
      </c>
      <c r="U1505" s="35"/>
      <c r="V1505" s="35"/>
      <c r="W1505" s="35"/>
      <c r="X1505" s="35"/>
    </row>
    <row r="1506" spans="4:24" x14ac:dyDescent="0.3">
      <c r="D1506" s="23">
        <v>41767</v>
      </c>
      <c r="E1506" s="5">
        <v>156.845932</v>
      </c>
      <c r="F1506" s="28">
        <v>62.487250000000003</v>
      </c>
      <c r="G1506" s="28">
        <v>124.17</v>
      </c>
      <c r="H1506" s="28">
        <v>79.698869999999999</v>
      </c>
      <c r="I1506" s="28">
        <v>81.265789999999996</v>
      </c>
      <c r="J1506" s="29"/>
      <c r="K1506" s="29"/>
      <c r="L1506" s="29"/>
      <c r="M1506" s="29"/>
      <c r="N1506" s="29"/>
      <c r="P1506" s="4">
        <f t="shared" si="95"/>
        <v>-1.0652872470541326E-3</v>
      </c>
      <c r="Q1506" s="4">
        <f t="shared" si="95"/>
        <v>4.8885917507680138E-4</v>
      </c>
      <c r="R1506" s="4">
        <f t="shared" si="95"/>
        <v>0</v>
      </c>
      <c r="S1506" s="4">
        <f t="shared" si="95"/>
        <v>-9.2455421492116275E-4</v>
      </c>
      <c r="T1506" s="4">
        <f t="shared" si="95"/>
        <v>-2.6785957973539842E-3</v>
      </c>
      <c r="U1506" s="35"/>
      <c r="V1506" s="35"/>
      <c r="W1506" s="35"/>
      <c r="X1506" s="35"/>
    </row>
    <row r="1507" spans="4:24" x14ac:dyDescent="0.3">
      <c r="D1507" s="23">
        <v>41768</v>
      </c>
      <c r="E1507" s="5">
        <v>157.07995600000001</v>
      </c>
      <c r="F1507" s="28">
        <v>62.410870000000003</v>
      </c>
      <c r="G1507" s="28">
        <v>124.1</v>
      </c>
      <c r="H1507" s="28">
        <v>79.993799999999993</v>
      </c>
      <c r="I1507" s="28">
        <v>81.466970000000003</v>
      </c>
      <c r="J1507" s="29"/>
      <c r="K1507" s="29"/>
      <c r="L1507" s="29"/>
      <c r="M1507" s="29"/>
      <c r="N1507" s="29"/>
      <c r="P1507" s="4">
        <f t="shared" si="95"/>
        <v>1.4909509046394909E-3</v>
      </c>
      <c r="Q1507" s="4">
        <f t="shared" si="95"/>
        <v>-1.223077009029714E-3</v>
      </c>
      <c r="R1507" s="4">
        <f t="shared" si="95"/>
        <v>-5.6390221818926551E-4</v>
      </c>
      <c r="S1507" s="4">
        <f t="shared" si="95"/>
        <v>3.6937241430735931E-3</v>
      </c>
      <c r="T1507" s="4">
        <f t="shared" si="95"/>
        <v>2.4725212365414306E-3</v>
      </c>
      <c r="U1507" s="35"/>
      <c r="V1507" s="35"/>
      <c r="W1507" s="35"/>
      <c r="X1507" s="35"/>
    </row>
    <row r="1508" spans="4:24" x14ac:dyDescent="0.3">
      <c r="D1508" s="23">
        <v>41771</v>
      </c>
      <c r="E1508" s="5">
        <v>158.60929899999999</v>
      </c>
      <c r="F1508" s="28">
        <v>62.349809999999998</v>
      </c>
      <c r="G1508" s="28">
        <v>124.94</v>
      </c>
      <c r="H1508" s="28">
        <v>81.311670000000007</v>
      </c>
      <c r="I1508" s="28">
        <v>82.389210000000006</v>
      </c>
      <c r="J1508" s="29"/>
      <c r="K1508" s="29"/>
      <c r="L1508" s="29"/>
      <c r="M1508" s="29"/>
      <c r="N1508" s="29"/>
      <c r="P1508" s="4">
        <f t="shared" si="95"/>
        <v>9.6889896623052595E-3</v>
      </c>
      <c r="Q1508" s="4">
        <f t="shared" si="95"/>
        <v>-9.7883411464608303E-4</v>
      </c>
      <c r="R1508" s="4">
        <f t="shared" si="95"/>
        <v>6.7459298548624372E-3</v>
      </c>
      <c r="S1508" s="4">
        <f t="shared" si="95"/>
        <v>1.634041701735826E-2</v>
      </c>
      <c r="T1508" s="4">
        <f t="shared" si="95"/>
        <v>1.125681971257547E-2</v>
      </c>
      <c r="U1508" s="35"/>
      <c r="V1508" s="35"/>
      <c r="W1508" s="35"/>
      <c r="X1508" s="35"/>
    </row>
    <row r="1509" spans="4:24" x14ac:dyDescent="0.3">
      <c r="D1509" s="23">
        <v>41772</v>
      </c>
      <c r="E1509" s="5">
        <v>158.75134299999999</v>
      </c>
      <c r="F1509" s="28">
        <v>62.464390000000002</v>
      </c>
      <c r="G1509" s="28">
        <v>124.6</v>
      </c>
      <c r="H1509" s="28">
        <v>81.36694</v>
      </c>
      <c r="I1509" s="28">
        <v>82.338920000000002</v>
      </c>
      <c r="J1509" s="29"/>
      <c r="K1509" s="29"/>
      <c r="L1509" s="29"/>
      <c r="M1509" s="29"/>
      <c r="N1509" s="29"/>
      <c r="P1509" s="4">
        <f t="shared" ref="P1509:T1524" si="96">LN(E1509/E1508)</f>
        <v>8.9515831950641043E-4</v>
      </c>
      <c r="Q1509" s="4">
        <f t="shared" si="96"/>
        <v>1.8360095595977364E-3</v>
      </c>
      <c r="R1509" s="4">
        <f t="shared" si="96"/>
        <v>-2.725015712071086E-3</v>
      </c>
      <c r="S1509" s="4">
        <f t="shared" si="96"/>
        <v>6.7949931618670959E-4</v>
      </c>
      <c r="T1509" s="4">
        <f t="shared" si="96"/>
        <v>-6.1058183034545961E-4</v>
      </c>
      <c r="U1509" s="35"/>
      <c r="V1509" s="35"/>
      <c r="W1509" s="35"/>
      <c r="X1509" s="35"/>
    </row>
    <row r="1510" spans="4:24" x14ac:dyDescent="0.3">
      <c r="D1510" s="23">
        <v>41773</v>
      </c>
      <c r="E1510" s="5">
        <v>157.99923699999999</v>
      </c>
      <c r="F1510" s="28">
        <v>62.624650000000003</v>
      </c>
      <c r="G1510" s="28">
        <v>125.81</v>
      </c>
      <c r="H1510" s="28">
        <v>80.943010000000001</v>
      </c>
      <c r="I1510" s="28">
        <v>81.886160000000004</v>
      </c>
      <c r="J1510" s="29"/>
      <c r="K1510" s="29"/>
      <c r="L1510" s="29"/>
      <c r="M1510" s="29"/>
      <c r="N1510" s="29"/>
      <c r="P1510" s="4">
        <f t="shared" si="96"/>
        <v>-4.7488936781538435E-3</v>
      </c>
      <c r="Q1510" s="4">
        <f t="shared" si="96"/>
        <v>2.5623361996084007E-3</v>
      </c>
      <c r="R1510" s="4">
        <f t="shared" si="96"/>
        <v>9.6642260096867147E-3</v>
      </c>
      <c r="S1510" s="4">
        <f t="shared" si="96"/>
        <v>-5.2237212073610578E-3</v>
      </c>
      <c r="T1510" s="4">
        <f t="shared" si="96"/>
        <v>-5.5139098986859035E-3</v>
      </c>
      <c r="U1510" s="35"/>
      <c r="V1510" s="35"/>
      <c r="W1510" s="35"/>
      <c r="X1510" s="35"/>
    </row>
    <row r="1511" spans="4:24" x14ac:dyDescent="0.3">
      <c r="D1511" s="23">
        <v>41774</v>
      </c>
      <c r="E1511" s="5">
        <v>156.61193800000001</v>
      </c>
      <c r="F1511" s="28">
        <v>62.739240000000002</v>
      </c>
      <c r="G1511" s="28">
        <v>124.77</v>
      </c>
      <c r="H1511" s="28">
        <v>80.307119999999998</v>
      </c>
      <c r="I1511" s="28">
        <v>81.131619999999998</v>
      </c>
      <c r="J1511" s="29"/>
      <c r="K1511" s="29"/>
      <c r="L1511" s="29"/>
      <c r="M1511" s="29"/>
      <c r="N1511" s="29"/>
      <c r="P1511" s="4">
        <f t="shared" si="96"/>
        <v>-8.8191908108885986E-3</v>
      </c>
      <c r="Q1511" s="4">
        <f t="shared" si="96"/>
        <v>1.8281186378865776E-3</v>
      </c>
      <c r="R1511" s="4">
        <f t="shared" si="96"/>
        <v>-8.3007899401096093E-3</v>
      </c>
      <c r="S1511" s="4">
        <f t="shared" si="96"/>
        <v>-7.8870422779129031E-3</v>
      </c>
      <c r="T1511" s="4">
        <f t="shared" si="96"/>
        <v>-9.25721584991295E-3</v>
      </c>
      <c r="U1511" s="35"/>
      <c r="V1511" s="35"/>
      <c r="W1511" s="35"/>
      <c r="X1511" s="35"/>
    </row>
    <row r="1512" spans="4:24" x14ac:dyDescent="0.3">
      <c r="D1512" s="23">
        <v>41775</v>
      </c>
      <c r="E1512" s="5">
        <v>157.15515099999999</v>
      </c>
      <c r="F1512" s="28">
        <v>62.739240000000002</v>
      </c>
      <c r="G1512" s="28">
        <v>124.5</v>
      </c>
      <c r="H1512" s="28">
        <v>80.832430000000002</v>
      </c>
      <c r="I1512" s="28">
        <v>81.475390000000004</v>
      </c>
      <c r="J1512" s="29"/>
      <c r="K1512" s="29"/>
      <c r="L1512" s="29"/>
      <c r="M1512" s="29"/>
      <c r="N1512" s="29"/>
      <c r="P1512" s="4">
        <f t="shared" si="96"/>
        <v>3.4625272169268731E-3</v>
      </c>
      <c r="Q1512" s="4">
        <f t="shared" si="96"/>
        <v>0</v>
      </c>
      <c r="R1512" s="4">
        <f t="shared" si="96"/>
        <v>-2.1663265181677072E-3</v>
      </c>
      <c r="S1512" s="4">
        <f t="shared" si="96"/>
        <v>6.519961870380178E-3</v>
      </c>
      <c r="T1512" s="4">
        <f t="shared" si="96"/>
        <v>4.2282372962836896E-3</v>
      </c>
      <c r="U1512" s="35"/>
      <c r="V1512" s="35"/>
      <c r="W1512" s="35"/>
      <c r="X1512" s="35"/>
    </row>
    <row r="1513" spans="4:24" x14ac:dyDescent="0.3">
      <c r="D1513" s="23">
        <v>41778</v>
      </c>
      <c r="E1513" s="5">
        <v>157.731842</v>
      </c>
      <c r="F1513" s="28">
        <v>62.716340000000002</v>
      </c>
      <c r="G1513" s="28">
        <v>124.58</v>
      </c>
      <c r="H1513" s="28">
        <v>81.394599999999997</v>
      </c>
      <c r="I1513" s="28">
        <v>81.852649999999997</v>
      </c>
      <c r="J1513" s="29"/>
      <c r="K1513" s="29"/>
      <c r="L1513" s="29"/>
      <c r="M1513" s="29"/>
      <c r="N1513" s="29"/>
      <c r="P1513" s="4">
        <f t="shared" si="96"/>
        <v>3.6628483080113029E-3</v>
      </c>
      <c r="Q1513" s="4">
        <f t="shared" si="96"/>
        <v>-3.6506945732238139E-4</v>
      </c>
      <c r="R1513" s="4">
        <f t="shared" si="96"/>
        <v>6.4236392123723999E-4</v>
      </c>
      <c r="S1513" s="4">
        <f t="shared" si="96"/>
        <v>6.9306853523696385E-3</v>
      </c>
      <c r="T1513" s="4">
        <f t="shared" si="96"/>
        <v>4.6196681345800437E-3</v>
      </c>
      <c r="U1513" s="35"/>
      <c r="V1513" s="35"/>
      <c r="W1513" s="35"/>
      <c r="X1513" s="35"/>
    </row>
    <row r="1514" spans="4:24" x14ac:dyDescent="0.3">
      <c r="D1514" s="23">
        <v>41779</v>
      </c>
      <c r="E1514" s="5">
        <v>156.73736600000001</v>
      </c>
      <c r="F1514" s="28">
        <v>62.746870000000001</v>
      </c>
      <c r="G1514" s="28">
        <v>124.69</v>
      </c>
      <c r="H1514" s="28">
        <v>81.099680000000006</v>
      </c>
      <c r="I1514" s="28">
        <v>81.240650000000002</v>
      </c>
      <c r="J1514" s="29"/>
      <c r="K1514" s="29"/>
      <c r="L1514" s="29"/>
      <c r="M1514" s="29"/>
      <c r="N1514" s="29"/>
      <c r="P1514" s="4">
        <f t="shared" si="96"/>
        <v>-6.3248120317515371E-3</v>
      </c>
      <c r="Q1514" s="4">
        <f t="shared" si="96"/>
        <v>4.8667654211303183E-4</v>
      </c>
      <c r="R1514" s="4">
        <f t="shared" si="96"/>
        <v>8.8257718249535959E-4</v>
      </c>
      <c r="S1514" s="4">
        <f t="shared" si="96"/>
        <v>-3.6299163740321294E-3</v>
      </c>
      <c r="T1514" s="4">
        <f t="shared" si="96"/>
        <v>-7.5049419262362858E-3</v>
      </c>
      <c r="U1514" s="35"/>
      <c r="V1514" s="35"/>
      <c r="W1514" s="35"/>
      <c r="X1514" s="35"/>
    </row>
    <row r="1515" spans="4:24" x14ac:dyDescent="0.3">
      <c r="D1515" s="23">
        <v>41780</v>
      </c>
      <c r="E1515" s="5">
        <v>158.057785</v>
      </c>
      <c r="F1515" s="28">
        <v>62.693379999999998</v>
      </c>
      <c r="G1515" s="28">
        <v>124.39</v>
      </c>
      <c r="H1515" s="28">
        <v>81.873840000000001</v>
      </c>
      <c r="I1515" s="28">
        <v>81.869420000000005</v>
      </c>
      <c r="J1515" s="29"/>
      <c r="K1515" s="29"/>
      <c r="L1515" s="29"/>
      <c r="M1515" s="29"/>
      <c r="N1515" s="29"/>
      <c r="P1515" s="4">
        <f t="shared" si="96"/>
        <v>8.3891174292598427E-3</v>
      </c>
      <c r="Q1515" s="4">
        <f t="shared" si="96"/>
        <v>-8.5283636220554718E-4</v>
      </c>
      <c r="R1515" s="4">
        <f t="shared" si="96"/>
        <v>-2.4088657866214815E-3</v>
      </c>
      <c r="S1515" s="4">
        <f t="shared" si="96"/>
        <v>9.5005105485282022E-3</v>
      </c>
      <c r="T1515" s="4">
        <f t="shared" si="96"/>
        <v>7.7098012962486711E-3</v>
      </c>
      <c r="U1515" s="35"/>
      <c r="V1515" s="35"/>
      <c r="W1515" s="35"/>
      <c r="X1515" s="35"/>
    </row>
    <row r="1516" spans="4:24" x14ac:dyDescent="0.3">
      <c r="D1516" s="23">
        <v>41781</v>
      </c>
      <c r="E1516" s="5">
        <v>158.44216900000001</v>
      </c>
      <c r="F1516" s="28">
        <v>62.65522</v>
      </c>
      <c r="G1516" s="28">
        <v>124.67</v>
      </c>
      <c r="H1516" s="28">
        <v>82.233249999999998</v>
      </c>
      <c r="I1516" s="28">
        <v>82.146079999999998</v>
      </c>
      <c r="J1516" s="29"/>
      <c r="K1516" s="29"/>
      <c r="L1516" s="29"/>
      <c r="M1516" s="29"/>
      <c r="N1516" s="29"/>
      <c r="P1516" s="4">
        <f t="shared" si="96"/>
        <v>2.4289683718891003E-3</v>
      </c>
      <c r="Q1516" s="4">
        <f t="shared" si="96"/>
        <v>-6.0886202444802872E-4</v>
      </c>
      <c r="R1516" s="4">
        <f t="shared" si="96"/>
        <v>2.248455135010265E-3</v>
      </c>
      <c r="S1516" s="4">
        <f t="shared" si="96"/>
        <v>4.3801955739985882E-3</v>
      </c>
      <c r="T1516" s="4">
        <f t="shared" si="96"/>
        <v>3.373586793820404E-3</v>
      </c>
      <c r="U1516" s="35"/>
      <c r="V1516" s="35"/>
      <c r="W1516" s="35"/>
      <c r="X1516" s="35"/>
    </row>
    <row r="1517" spans="4:24" x14ac:dyDescent="0.3">
      <c r="D1517" s="23">
        <v>41782</v>
      </c>
      <c r="E1517" s="5">
        <v>159.07736199999999</v>
      </c>
      <c r="F1517" s="28">
        <v>62.716340000000002</v>
      </c>
      <c r="G1517" s="28">
        <v>124.51</v>
      </c>
      <c r="H1517" s="28">
        <v>82.832269999999994</v>
      </c>
      <c r="I1517" s="28">
        <v>82.573670000000007</v>
      </c>
      <c r="J1517" s="29"/>
      <c r="K1517" s="29"/>
      <c r="L1517" s="29"/>
      <c r="M1517" s="29"/>
      <c r="N1517" s="29"/>
      <c r="P1517" s="4">
        <f t="shared" si="96"/>
        <v>4.0009749657677922E-3</v>
      </c>
      <c r="Q1517" s="4">
        <f t="shared" si="96"/>
        <v>9.7502184454067466E-4</v>
      </c>
      <c r="R1517" s="4">
        <f t="shared" si="96"/>
        <v>-1.2842123925623789E-3</v>
      </c>
      <c r="S1517" s="4">
        <f t="shared" si="96"/>
        <v>7.2579982739284328E-3</v>
      </c>
      <c r="T1517" s="4">
        <f t="shared" si="96"/>
        <v>5.1917388223743158E-3</v>
      </c>
      <c r="U1517" s="35"/>
      <c r="V1517" s="35"/>
      <c r="W1517" s="35"/>
      <c r="X1517" s="35"/>
    </row>
    <row r="1518" spans="4:24" x14ac:dyDescent="0.3">
      <c r="D1518" s="23">
        <v>41786</v>
      </c>
      <c r="E1518" s="5">
        <v>160.05509900000001</v>
      </c>
      <c r="F1518" s="28">
        <v>62.777410000000003</v>
      </c>
      <c r="G1518" s="28">
        <v>121.85</v>
      </c>
      <c r="H1518" s="28">
        <v>83.864450000000005</v>
      </c>
      <c r="I1518" s="28">
        <v>83.118610000000004</v>
      </c>
      <c r="J1518" s="29"/>
      <c r="K1518" s="29"/>
      <c r="L1518" s="29"/>
      <c r="M1518" s="29"/>
      <c r="N1518" s="29"/>
      <c r="P1518" s="4">
        <f t="shared" si="96"/>
        <v>6.1274873519209646E-3</v>
      </c>
      <c r="Q1518" s="4">
        <f t="shared" si="96"/>
        <v>9.7327563836109446E-4</v>
      </c>
      <c r="R1518" s="4">
        <f t="shared" si="96"/>
        <v>-2.159525389310599E-2</v>
      </c>
      <c r="S1518" s="4">
        <f t="shared" si="96"/>
        <v>1.2384085202221992E-2</v>
      </c>
      <c r="T1518" s="4">
        <f t="shared" si="96"/>
        <v>6.577759263393484E-3</v>
      </c>
      <c r="U1518" s="35"/>
      <c r="V1518" s="35"/>
      <c r="W1518" s="35"/>
      <c r="X1518" s="35"/>
    </row>
    <row r="1519" spans="4:24" x14ac:dyDescent="0.3">
      <c r="D1519" s="23">
        <v>41787</v>
      </c>
      <c r="E1519" s="5">
        <v>159.93808000000001</v>
      </c>
      <c r="F1519" s="28">
        <v>62.983629999999998</v>
      </c>
      <c r="G1519" s="28">
        <v>121.2</v>
      </c>
      <c r="H1519" s="28">
        <v>83.606430000000003</v>
      </c>
      <c r="I1519" s="28">
        <v>83.026399999999995</v>
      </c>
      <c r="J1519" s="29"/>
      <c r="K1519" s="29"/>
      <c r="L1519" s="29"/>
      <c r="M1519" s="29"/>
      <c r="N1519" s="29"/>
      <c r="P1519" s="4">
        <f t="shared" si="96"/>
        <v>-7.3138437251716432E-4</v>
      </c>
      <c r="Q1519" s="4">
        <f t="shared" si="96"/>
        <v>3.2795559711180154E-3</v>
      </c>
      <c r="R1519" s="4">
        <f t="shared" si="96"/>
        <v>-5.348706436001111E-3</v>
      </c>
      <c r="S1519" s="4">
        <f t="shared" si="96"/>
        <v>-3.0813739577340554E-3</v>
      </c>
      <c r="T1519" s="4">
        <f t="shared" si="96"/>
        <v>-1.1099943292617997E-3</v>
      </c>
      <c r="U1519" s="35"/>
      <c r="V1519" s="35"/>
      <c r="W1519" s="35"/>
      <c r="X1519" s="35"/>
    </row>
    <row r="1520" spans="4:24" x14ac:dyDescent="0.3">
      <c r="D1520" s="23">
        <v>41788</v>
      </c>
      <c r="E1520" s="5">
        <v>160.76542699999999</v>
      </c>
      <c r="F1520" s="28">
        <v>62.930149999999998</v>
      </c>
      <c r="G1520" s="28">
        <v>120.94</v>
      </c>
      <c r="H1520" s="28">
        <v>84.140919999999994</v>
      </c>
      <c r="I1520" s="28">
        <v>83.470730000000003</v>
      </c>
      <c r="J1520" s="29"/>
      <c r="K1520" s="29"/>
      <c r="L1520" s="29"/>
      <c r="M1520" s="29"/>
      <c r="N1520" s="29"/>
      <c r="P1520" s="4">
        <f t="shared" si="96"/>
        <v>5.1595870788085944E-3</v>
      </c>
      <c r="Q1520" s="4">
        <f t="shared" si="96"/>
        <v>-8.4947022027178764E-4</v>
      </c>
      <c r="R1520" s="4">
        <f t="shared" si="96"/>
        <v>-2.1475187901473158E-3</v>
      </c>
      <c r="S1520" s="4">
        <f t="shared" si="96"/>
        <v>6.372581251420574E-3</v>
      </c>
      <c r="T1520" s="4">
        <f t="shared" si="96"/>
        <v>5.3374019700367552E-3</v>
      </c>
      <c r="U1520" s="35"/>
      <c r="V1520" s="35"/>
      <c r="W1520" s="35"/>
      <c r="X1520" s="35"/>
    </row>
    <row r="1521" spans="4:24" x14ac:dyDescent="0.3">
      <c r="D1521" s="23">
        <v>41789</v>
      </c>
      <c r="E1521" s="5">
        <v>161.024506</v>
      </c>
      <c r="F1521" s="28">
        <v>62.869039999999998</v>
      </c>
      <c r="G1521" s="28">
        <v>120.43</v>
      </c>
      <c r="H1521" s="28">
        <v>84.150149999999996</v>
      </c>
      <c r="I1521" s="28">
        <v>83.487499999999997</v>
      </c>
      <c r="J1521" s="29"/>
      <c r="K1521" s="29"/>
      <c r="L1521" s="29"/>
      <c r="M1521" s="29"/>
      <c r="N1521" s="29"/>
      <c r="P1521" s="4">
        <f t="shared" si="96"/>
        <v>1.6102371728311806E-3</v>
      </c>
      <c r="Q1521" s="4">
        <f t="shared" si="96"/>
        <v>-9.7154846238428822E-4</v>
      </c>
      <c r="R1521" s="4">
        <f t="shared" si="96"/>
        <v>-4.2258835726782708E-3</v>
      </c>
      <c r="S1521" s="4">
        <f t="shared" si="96"/>
        <v>1.0969090646642644E-4</v>
      </c>
      <c r="T1521" s="4">
        <f t="shared" si="96"/>
        <v>2.0088857022962272E-4</v>
      </c>
      <c r="U1521" s="35"/>
      <c r="V1521" s="35"/>
      <c r="W1521" s="35"/>
      <c r="X1521" s="35"/>
    </row>
    <row r="1522" spans="4:24" x14ac:dyDescent="0.3">
      <c r="D1522" s="23">
        <v>41792</v>
      </c>
      <c r="E1522" s="5">
        <v>161.20837399999999</v>
      </c>
      <c r="F1522" s="28">
        <v>62.715260000000001</v>
      </c>
      <c r="G1522" s="28">
        <v>119.7</v>
      </c>
      <c r="H1522" s="28">
        <v>84.067210000000003</v>
      </c>
      <c r="I1522" s="28">
        <v>83.588120000000004</v>
      </c>
      <c r="J1522" s="29"/>
      <c r="K1522" s="29"/>
      <c r="L1522" s="29"/>
      <c r="M1522" s="29"/>
      <c r="N1522" s="29"/>
      <c r="P1522" s="4">
        <f t="shared" si="96"/>
        <v>1.1412120324607805E-3</v>
      </c>
      <c r="Q1522" s="4">
        <f t="shared" si="96"/>
        <v>-2.4490334677399707E-3</v>
      </c>
      <c r="R1522" s="4">
        <f t="shared" si="96"/>
        <v>-6.080058708461099E-3</v>
      </c>
      <c r="S1522" s="4">
        <f t="shared" si="96"/>
        <v>-9.8610520009252776E-4</v>
      </c>
      <c r="T1522" s="4">
        <f t="shared" si="96"/>
        <v>1.2044846778340927E-3</v>
      </c>
      <c r="U1522" s="35"/>
      <c r="V1522" s="35"/>
      <c r="W1522" s="35"/>
      <c r="X1522" s="35"/>
    </row>
    <row r="1523" spans="4:24" x14ac:dyDescent="0.3">
      <c r="D1523" s="23">
        <v>41793</v>
      </c>
      <c r="E1523" s="5">
        <v>161.12477100000001</v>
      </c>
      <c r="F1523" s="28">
        <v>62.562190000000001</v>
      </c>
      <c r="G1523" s="28">
        <v>120.01</v>
      </c>
      <c r="H1523" s="28">
        <v>84.030349999999999</v>
      </c>
      <c r="I1523" s="28">
        <v>83.554590000000005</v>
      </c>
      <c r="J1523" s="29"/>
      <c r="K1523" s="29"/>
      <c r="L1523" s="29"/>
      <c r="M1523" s="29"/>
      <c r="N1523" s="29"/>
      <c r="P1523" s="4">
        <f t="shared" si="96"/>
        <v>-5.1873661254841943E-4</v>
      </c>
      <c r="Q1523" s="4">
        <f t="shared" si="96"/>
        <v>-2.4436971884954544E-3</v>
      </c>
      <c r="R1523" s="4">
        <f t="shared" si="96"/>
        <v>2.5864600794225914E-3</v>
      </c>
      <c r="S1523" s="4">
        <f t="shared" si="96"/>
        <v>-4.385548557728254E-4</v>
      </c>
      <c r="T1523" s="4">
        <f t="shared" si="96"/>
        <v>-4.0121403380126116E-4</v>
      </c>
      <c r="U1523" s="35"/>
      <c r="V1523" s="35"/>
      <c r="W1523" s="35"/>
      <c r="X1523" s="35"/>
    </row>
    <row r="1524" spans="4:24" x14ac:dyDescent="0.3">
      <c r="D1524" s="23">
        <v>41794</v>
      </c>
      <c r="E1524" s="5">
        <v>161.450714</v>
      </c>
      <c r="F1524" s="28">
        <v>62.569839999999999</v>
      </c>
      <c r="G1524" s="28">
        <v>119.76</v>
      </c>
      <c r="H1524" s="28">
        <v>84.343680000000006</v>
      </c>
      <c r="I1524" s="28">
        <v>83.73066</v>
      </c>
      <c r="J1524" s="29"/>
      <c r="K1524" s="29"/>
      <c r="L1524" s="29"/>
      <c r="M1524" s="29"/>
      <c r="N1524" s="29"/>
      <c r="P1524" s="4">
        <f t="shared" si="96"/>
        <v>2.0208796147543604E-3</v>
      </c>
      <c r="Q1524" s="4">
        <f t="shared" si="96"/>
        <v>1.222708527868514E-4</v>
      </c>
      <c r="R1524" s="4">
        <f t="shared" si="96"/>
        <v>-2.0853325319770684E-3</v>
      </c>
      <c r="S1524" s="4">
        <f t="shared" si="96"/>
        <v>3.7218371703649365E-3</v>
      </c>
      <c r="T1524" s="4">
        <f t="shared" si="96"/>
        <v>2.1050279688847777E-3</v>
      </c>
      <c r="U1524" s="35"/>
      <c r="V1524" s="35"/>
      <c r="W1524" s="35"/>
      <c r="X1524" s="35"/>
    </row>
    <row r="1525" spans="4:24" x14ac:dyDescent="0.3">
      <c r="D1525" s="23">
        <v>41795</v>
      </c>
      <c r="E1525" s="5">
        <v>162.50370799999999</v>
      </c>
      <c r="F1525" s="28">
        <v>62.638719999999999</v>
      </c>
      <c r="G1525" s="28">
        <v>120.66</v>
      </c>
      <c r="H1525" s="28">
        <v>85.053340000000006</v>
      </c>
      <c r="I1525" s="28">
        <v>84.409760000000006</v>
      </c>
      <c r="J1525" s="29"/>
      <c r="K1525" s="29"/>
      <c r="L1525" s="29"/>
      <c r="M1525" s="29"/>
      <c r="N1525" s="29"/>
      <c r="P1525" s="4">
        <f t="shared" ref="P1525:T1540" si="97">LN(E1525/E1524)</f>
        <v>6.5009003546855739E-3</v>
      </c>
      <c r="Q1525" s="4">
        <f t="shared" si="97"/>
        <v>1.1002443754402861E-3</v>
      </c>
      <c r="R1525" s="4">
        <f t="shared" si="97"/>
        <v>7.4869329012426326E-3</v>
      </c>
      <c r="S1525" s="4">
        <f t="shared" si="97"/>
        <v>8.3787088069134253E-3</v>
      </c>
      <c r="T1525" s="4">
        <f t="shared" si="97"/>
        <v>8.0778160618986093E-3</v>
      </c>
      <c r="U1525" s="35"/>
      <c r="V1525" s="35"/>
      <c r="W1525" s="35"/>
      <c r="X1525" s="35"/>
    </row>
    <row r="1526" spans="4:24" x14ac:dyDescent="0.3">
      <c r="D1526" s="23">
        <v>41796</v>
      </c>
      <c r="E1526" s="5">
        <v>163.280914</v>
      </c>
      <c r="F1526" s="28">
        <v>62.631059999999998</v>
      </c>
      <c r="G1526" s="28">
        <v>120.61</v>
      </c>
      <c r="H1526" s="28">
        <v>85.541749999999993</v>
      </c>
      <c r="I1526" s="28">
        <v>84.845730000000003</v>
      </c>
      <c r="J1526" s="29"/>
      <c r="K1526" s="29"/>
      <c r="L1526" s="29"/>
      <c r="M1526" s="29"/>
      <c r="N1526" s="29"/>
      <c r="P1526" s="4">
        <f t="shared" si="97"/>
        <v>4.7712962611313964E-3</v>
      </c>
      <c r="Q1526" s="4">
        <f t="shared" si="97"/>
        <v>-1.2229605591310158E-4</v>
      </c>
      <c r="R1526" s="4">
        <f t="shared" si="97"/>
        <v>-4.1447341746411796E-4</v>
      </c>
      <c r="S1526" s="4">
        <f t="shared" si="97"/>
        <v>5.7259717668006289E-3</v>
      </c>
      <c r="T1526" s="4">
        <f t="shared" si="97"/>
        <v>5.1516315860094305E-3</v>
      </c>
      <c r="U1526" s="35"/>
      <c r="V1526" s="35"/>
      <c r="W1526" s="35"/>
      <c r="X1526" s="35"/>
    </row>
    <row r="1527" spans="4:24" x14ac:dyDescent="0.3">
      <c r="D1527" s="23">
        <v>41799</v>
      </c>
      <c r="E1527" s="5">
        <v>163.44799800000001</v>
      </c>
      <c r="F1527" s="28">
        <v>62.577489999999997</v>
      </c>
      <c r="G1527" s="28">
        <v>120.65</v>
      </c>
      <c r="H1527" s="28">
        <v>85.477220000000003</v>
      </c>
      <c r="I1527" s="28">
        <v>84.988240000000005</v>
      </c>
      <c r="J1527" s="29"/>
      <c r="K1527" s="29"/>
      <c r="L1527" s="29"/>
      <c r="M1527" s="29"/>
      <c r="N1527" s="29"/>
      <c r="P1527" s="4">
        <f t="shared" si="97"/>
        <v>1.0227684690783873E-3</v>
      </c>
      <c r="Q1527" s="4">
        <f t="shared" si="97"/>
        <v>-8.556924150740021E-4</v>
      </c>
      <c r="R1527" s="4">
        <f t="shared" si="97"/>
        <v>3.3159247588919434E-4</v>
      </c>
      <c r="S1527" s="4">
        <f t="shared" si="97"/>
        <v>-7.5465315996793385E-4</v>
      </c>
      <c r="T1527" s="4">
        <f t="shared" si="97"/>
        <v>1.678227664909058E-3</v>
      </c>
      <c r="U1527" s="35"/>
      <c r="V1527" s="35"/>
      <c r="W1527" s="35"/>
      <c r="X1527" s="35"/>
    </row>
    <row r="1528" spans="4:24" x14ac:dyDescent="0.3">
      <c r="D1528" s="23">
        <v>41800</v>
      </c>
      <c r="E1528" s="5">
        <v>163.46476699999999</v>
      </c>
      <c r="F1528" s="28">
        <v>62.455069999999999</v>
      </c>
      <c r="G1528" s="28">
        <v>121.39</v>
      </c>
      <c r="H1528" s="28">
        <v>85.624719999999996</v>
      </c>
      <c r="I1528" s="28">
        <v>84.971500000000006</v>
      </c>
      <c r="J1528" s="29"/>
      <c r="K1528" s="29"/>
      <c r="L1528" s="29"/>
      <c r="M1528" s="29"/>
      <c r="N1528" s="29"/>
      <c r="P1528" s="4">
        <f t="shared" si="97"/>
        <v>1.0259005955110644E-4</v>
      </c>
      <c r="Q1528" s="4">
        <f t="shared" si="97"/>
        <v>-1.9582105512226835E-3</v>
      </c>
      <c r="R1528" s="4">
        <f t="shared" si="97"/>
        <v>6.114710838671396E-3</v>
      </c>
      <c r="S1528" s="4">
        <f t="shared" si="97"/>
        <v>1.7241188093837438E-3</v>
      </c>
      <c r="T1528" s="4">
        <f t="shared" si="97"/>
        <v>-1.9698782846018921E-4</v>
      </c>
      <c r="U1528" s="35"/>
      <c r="V1528" s="35"/>
      <c r="W1528" s="35"/>
      <c r="X1528" s="35"/>
    </row>
    <row r="1529" spans="4:24" x14ac:dyDescent="0.3">
      <c r="D1529" s="23">
        <v>41801</v>
      </c>
      <c r="E1529" s="5">
        <v>162.8965</v>
      </c>
      <c r="F1529" s="28">
        <v>62.478000000000002</v>
      </c>
      <c r="G1529" s="28">
        <v>121.41</v>
      </c>
      <c r="H1529" s="28">
        <v>85.606269999999995</v>
      </c>
      <c r="I1529" s="28">
        <v>84.686419999999998</v>
      </c>
      <c r="J1529" s="29"/>
      <c r="K1529" s="29"/>
      <c r="L1529" s="29"/>
      <c r="M1529" s="29"/>
      <c r="N1529" s="29"/>
      <c r="P1529" s="4">
        <f t="shared" si="97"/>
        <v>-3.4824449575449018E-3</v>
      </c>
      <c r="Q1529" s="4">
        <f t="shared" si="97"/>
        <v>3.6707655158844965E-4</v>
      </c>
      <c r="R1529" s="4">
        <f t="shared" si="97"/>
        <v>1.6474464617162796E-4</v>
      </c>
      <c r="S1529" s="4">
        <f t="shared" si="97"/>
        <v>-2.1549837528126164E-4</v>
      </c>
      <c r="T1529" s="4">
        <f t="shared" si="97"/>
        <v>-3.3606479238536516E-3</v>
      </c>
      <c r="U1529" s="35"/>
      <c r="V1529" s="35"/>
      <c r="W1529" s="35"/>
      <c r="X1529" s="35"/>
    </row>
    <row r="1530" spans="4:24" x14ac:dyDescent="0.3">
      <c r="D1530" s="23">
        <v>41802</v>
      </c>
      <c r="E1530" s="5">
        <v>161.74321</v>
      </c>
      <c r="F1530" s="28">
        <v>62.638719999999999</v>
      </c>
      <c r="G1530" s="28">
        <v>122.64</v>
      </c>
      <c r="H1530" s="28">
        <v>84.832130000000006</v>
      </c>
      <c r="I1530" s="28">
        <v>84.082790000000003</v>
      </c>
      <c r="J1530" s="29"/>
      <c r="K1530" s="29"/>
      <c r="L1530" s="29"/>
      <c r="M1530" s="29"/>
      <c r="N1530" s="29"/>
      <c r="P1530" s="4">
        <f t="shared" si="97"/>
        <v>-7.1050756649848352E-3</v>
      </c>
      <c r="Q1530" s="4">
        <f t="shared" si="97"/>
        <v>2.5691224706212898E-3</v>
      </c>
      <c r="R1530" s="4">
        <f t="shared" si="97"/>
        <v>1.0079987007674877E-2</v>
      </c>
      <c r="S1530" s="4">
        <f t="shared" si="97"/>
        <v>-9.0841655827392856E-3</v>
      </c>
      <c r="T1530" s="4">
        <f t="shared" si="97"/>
        <v>-7.1533495238535359E-3</v>
      </c>
      <c r="U1530" s="35"/>
      <c r="V1530" s="35"/>
      <c r="W1530" s="35"/>
      <c r="X1530" s="35"/>
    </row>
    <row r="1531" spans="4:24" x14ac:dyDescent="0.3">
      <c r="D1531" s="23">
        <v>41803</v>
      </c>
      <c r="E1531" s="5">
        <v>162.23628199999999</v>
      </c>
      <c r="F1531" s="28">
        <v>62.623429999999999</v>
      </c>
      <c r="G1531" s="28">
        <v>122.96</v>
      </c>
      <c r="H1531" s="28">
        <v>85.080950000000001</v>
      </c>
      <c r="I1531" s="28">
        <v>84.359470000000002</v>
      </c>
      <c r="J1531" s="29"/>
      <c r="K1531" s="29"/>
      <c r="L1531" s="29"/>
      <c r="M1531" s="29"/>
      <c r="N1531" s="29"/>
      <c r="P1531" s="4">
        <f t="shared" si="97"/>
        <v>3.0438493353362205E-3</v>
      </c>
      <c r="Q1531" s="4">
        <f t="shared" si="97"/>
        <v>-2.4412801594003543E-4</v>
      </c>
      <c r="R1531" s="4">
        <f t="shared" si="97"/>
        <v>2.6058646667817356E-3</v>
      </c>
      <c r="S1531" s="4">
        <f t="shared" si="97"/>
        <v>2.9287936851163142E-3</v>
      </c>
      <c r="T1531" s="4">
        <f t="shared" si="97"/>
        <v>3.2851642911287879E-3</v>
      </c>
      <c r="U1531" s="35"/>
      <c r="V1531" s="35"/>
      <c r="W1531" s="35"/>
      <c r="X1531" s="35"/>
    </row>
    <row r="1532" spans="4:24" x14ac:dyDescent="0.3">
      <c r="D1532" s="23">
        <v>41806</v>
      </c>
      <c r="E1532" s="5">
        <v>162.36996500000001</v>
      </c>
      <c r="F1532" s="28">
        <v>62.6081</v>
      </c>
      <c r="G1532" s="28">
        <v>122.42</v>
      </c>
      <c r="H1532" s="28">
        <v>85.154700000000005</v>
      </c>
      <c r="I1532" s="28">
        <v>84.426540000000003</v>
      </c>
      <c r="J1532" s="29"/>
      <c r="K1532" s="29"/>
      <c r="L1532" s="29"/>
      <c r="M1532" s="29"/>
      <c r="N1532" s="29"/>
      <c r="P1532" s="4">
        <f t="shared" si="97"/>
        <v>8.2366256837798418E-4</v>
      </c>
      <c r="Q1532" s="4">
        <f t="shared" si="97"/>
        <v>-2.4482652374484758E-4</v>
      </c>
      <c r="R1532" s="4">
        <f t="shared" si="97"/>
        <v>-4.4013438074165905E-3</v>
      </c>
      <c r="S1532" s="4">
        <f t="shared" si="97"/>
        <v>8.6644606595461188E-4</v>
      </c>
      <c r="T1532" s="4">
        <f t="shared" si="97"/>
        <v>7.9473415516046972E-4</v>
      </c>
      <c r="U1532" s="35"/>
      <c r="V1532" s="35"/>
      <c r="W1532" s="35"/>
      <c r="X1532" s="35"/>
    </row>
    <row r="1533" spans="4:24" x14ac:dyDescent="0.3">
      <c r="D1533" s="23">
        <v>41807</v>
      </c>
      <c r="E1533" s="5">
        <v>162.82128900000001</v>
      </c>
      <c r="F1533" s="28">
        <v>62.462690000000002</v>
      </c>
      <c r="G1533" s="28">
        <v>122.28</v>
      </c>
      <c r="H1533" s="28">
        <v>85.200779999999995</v>
      </c>
      <c r="I1533" s="28">
        <v>84.728340000000003</v>
      </c>
      <c r="J1533" s="29"/>
      <c r="K1533" s="29"/>
      <c r="L1533" s="29"/>
      <c r="M1533" s="29"/>
      <c r="N1533" s="29"/>
      <c r="P1533" s="4">
        <f t="shared" si="97"/>
        <v>2.7757467904037814E-3</v>
      </c>
      <c r="Q1533" s="4">
        <f t="shared" si="97"/>
        <v>-2.3252442159582246E-3</v>
      </c>
      <c r="R1533" s="4">
        <f t="shared" si="97"/>
        <v>-1.1442584002900494E-3</v>
      </c>
      <c r="S1533" s="4">
        <f t="shared" si="97"/>
        <v>5.4098642584112812E-4</v>
      </c>
      <c r="T1533" s="4">
        <f t="shared" si="97"/>
        <v>3.5683312267973497E-3</v>
      </c>
      <c r="U1533" s="35"/>
      <c r="V1533" s="35"/>
      <c r="W1533" s="35"/>
      <c r="X1533" s="35"/>
    </row>
    <row r="1534" spans="4:24" x14ac:dyDescent="0.3">
      <c r="D1534" s="23">
        <v>41808</v>
      </c>
      <c r="E1534" s="5">
        <v>164.01638800000001</v>
      </c>
      <c r="F1534" s="28">
        <v>62.623429999999999</v>
      </c>
      <c r="G1534" s="28">
        <v>122.67</v>
      </c>
      <c r="H1534" s="28">
        <v>85.679990000000004</v>
      </c>
      <c r="I1534" s="28">
        <v>85.357159999999993</v>
      </c>
      <c r="J1534" s="29"/>
      <c r="K1534" s="29"/>
      <c r="L1534" s="29"/>
      <c r="M1534" s="29"/>
      <c r="N1534" s="29"/>
      <c r="P1534" s="4">
        <f t="shared" si="97"/>
        <v>7.3131368287710722E-3</v>
      </c>
      <c r="Q1534" s="4">
        <f t="shared" si="97"/>
        <v>2.5700707397030269E-3</v>
      </c>
      <c r="R1534" s="4">
        <f t="shared" si="97"/>
        <v>3.1843260220269023E-3</v>
      </c>
      <c r="S1534" s="4">
        <f t="shared" si="97"/>
        <v>5.608720703193194E-3</v>
      </c>
      <c r="T1534" s="4">
        <f t="shared" si="97"/>
        <v>7.3941972127441564E-3</v>
      </c>
      <c r="U1534" s="35"/>
      <c r="V1534" s="35"/>
      <c r="W1534" s="35"/>
      <c r="X1534" s="35"/>
    </row>
    <row r="1535" spans="4:24" x14ac:dyDescent="0.3">
      <c r="D1535" s="23">
        <v>41809</v>
      </c>
      <c r="E1535" s="5">
        <v>164.200211</v>
      </c>
      <c r="F1535" s="28">
        <v>62.569839999999999</v>
      </c>
      <c r="G1535" s="28">
        <v>126.94</v>
      </c>
      <c r="H1535" s="28">
        <v>85.624719999999996</v>
      </c>
      <c r="I1535" s="28">
        <v>85.457769999999996</v>
      </c>
      <c r="J1535" s="29"/>
      <c r="K1535" s="29"/>
      <c r="L1535" s="29"/>
      <c r="M1535" s="29"/>
      <c r="N1535" s="29"/>
      <c r="P1535" s="4">
        <f t="shared" si="97"/>
        <v>1.1201323746587979E-3</v>
      </c>
      <c r="Q1535" s="4">
        <f t="shared" si="97"/>
        <v>-8.5611635950023956E-4</v>
      </c>
      <c r="R1535" s="4">
        <f t="shared" si="97"/>
        <v>3.4216710833663302E-2</v>
      </c>
      <c r="S1535" s="4">
        <f t="shared" si="97"/>
        <v>-6.4528292208460101E-4</v>
      </c>
      <c r="T1535" s="4">
        <f t="shared" si="97"/>
        <v>1.178000209168814E-3</v>
      </c>
      <c r="U1535" s="35"/>
      <c r="V1535" s="35"/>
      <c r="W1535" s="35"/>
      <c r="X1535" s="35"/>
    </row>
    <row r="1536" spans="4:24" x14ac:dyDescent="0.3">
      <c r="D1536" s="23">
        <v>41810</v>
      </c>
      <c r="E1536" s="5">
        <v>164.533569</v>
      </c>
      <c r="F1536" s="28">
        <v>62.6081</v>
      </c>
      <c r="G1536" s="28">
        <v>126.5</v>
      </c>
      <c r="H1536" s="28">
        <v>85.725399999999993</v>
      </c>
      <c r="I1536" s="28">
        <v>85.658959999999993</v>
      </c>
      <c r="J1536" s="29"/>
      <c r="K1536" s="29"/>
      <c r="L1536" s="29"/>
      <c r="M1536" s="29"/>
      <c r="N1536" s="29"/>
      <c r="P1536" s="4">
        <f t="shared" si="97"/>
        <v>2.0281342201435709E-3</v>
      </c>
      <c r="Q1536" s="4">
        <f t="shared" si="97"/>
        <v>6.1128983575543827E-4</v>
      </c>
      <c r="R1536" s="4">
        <f t="shared" si="97"/>
        <v>-3.4722257107490922E-3</v>
      </c>
      <c r="S1536" s="4">
        <f t="shared" si="97"/>
        <v>1.1751379174542167E-3</v>
      </c>
      <c r="T1536" s="4">
        <f t="shared" si="97"/>
        <v>2.3514952945531994E-3</v>
      </c>
      <c r="U1536" s="35"/>
      <c r="V1536" s="35"/>
      <c r="W1536" s="35"/>
      <c r="X1536" s="35"/>
    </row>
    <row r="1537" spans="4:24" x14ac:dyDescent="0.3">
      <c r="D1537" s="23">
        <v>41813</v>
      </c>
      <c r="E1537" s="5">
        <v>164.48318499999999</v>
      </c>
      <c r="F1537" s="28">
        <v>62.585149999999999</v>
      </c>
      <c r="G1537" s="28">
        <v>126.85</v>
      </c>
      <c r="H1537" s="28">
        <v>85.743899999999996</v>
      </c>
      <c r="I1537" s="28">
        <v>85.633790000000005</v>
      </c>
      <c r="J1537" s="29"/>
      <c r="K1537" s="29"/>
      <c r="L1537" s="29"/>
      <c r="M1537" s="29"/>
      <c r="N1537" s="29"/>
      <c r="P1537" s="4">
        <f t="shared" si="97"/>
        <v>-3.0627012017662547E-4</v>
      </c>
      <c r="Q1537" s="4">
        <f t="shared" si="97"/>
        <v>-3.6663318920275882E-4</v>
      </c>
      <c r="R1537" s="4">
        <f t="shared" si="97"/>
        <v>2.7629778777159392E-3</v>
      </c>
      <c r="S1537" s="4">
        <f t="shared" si="97"/>
        <v>2.1578206794792141E-4</v>
      </c>
      <c r="T1537" s="4">
        <f t="shared" si="97"/>
        <v>-2.9388284304083135E-4</v>
      </c>
      <c r="U1537" s="35"/>
      <c r="V1537" s="35"/>
      <c r="W1537" s="35"/>
      <c r="X1537" s="35"/>
    </row>
    <row r="1538" spans="4:24" x14ac:dyDescent="0.3">
      <c r="D1538" s="23">
        <v>41814</v>
      </c>
      <c r="E1538" s="5">
        <v>163.49231</v>
      </c>
      <c r="F1538" s="28">
        <v>62.699930000000002</v>
      </c>
      <c r="G1538" s="28">
        <v>126.98</v>
      </c>
      <c r="H1538" s="28">
        <v>85.660740000000004</v>
      </c>
      <c r="I1538" s="28">
        <v>85.036100000000005</v>
      </c>
      <c r="J1538" s="29"/>
      <c r="K1538" s="29"/>
      <c r="L1538" s="29"/>
      <c r="M1538" s="29"/>
      <c r="N1538" s="29"/>
      <c r="P1538" s="4">
        <f t="shared" si="97"/>
        <v>-6.0423905436914902E-3</v>
      </c>
      <c r="Q1538" s="4">
        <f t="shared" si="97"/>
        <v>1.8323016932720664E-3</v>
      </c>
      <c r="R1538" s="4">
        <f t="shared" si="97"/>
        <v>1.0243076970129939E-3</v>
      </c>
      <c r="S1538" s="4">
        <f t="shared" si="97"/>
        <v>-9.7033553496501165E-4</v>
      </c>
      <c r="T1538" s="4">
        <f t="shared" si="97"/>
        <v>-7.0040760371799394E-3</v>
      </c>
      <c r="U1538" s="35"/>
      <c r="V1538" s="35"/>
      <c r="W1538" s="35"/>
      <c r="X1538" s="35"/>
    </row>
    <row r="1539" spans="4:24" x14ac:dyDescent="0.3">
      <c r="D1539" s="23">
        <v>41815</v>
      </c>
      <c r="E1539" s="5">
        <v>164.231247</v>
      </c>
      <c r="F1539" s="28">
        <v>62.784080000000003</v>
      </c>
      <c r="G1539" s="28">
        <v>126.99</v>
      </c>
      <c r="H1539" s="28">
        <v>86.205920000000006</v>
      </c>
      <c r="I1539" s="28">
        <v>85.465450000000004</v>
      </c>
      <c r="J1539" s="29"/>
      <c r="K1539" s="29"/>
      <c r="L1539" s="29"/>
      <c r="M1539" s="29"/>
      <c r="N1539" s="29"/>
      <c r="P1539" s="4">
        <f t="shared" si="97"/>
        <v>4.5095217383980318E-3</v>
      </c>
      <c r="Q1539" s="4">
        <f t="shared" si="97"/>
        <v>1.3412069412562877E-3</v>
      </c>
      <c r="R1539" s="4">
        <f t="shared" si="97"/>
        <v>7.8749458638092891E-5</v>
      </c>
      <c r="S1539" s="4">
        <f t="shared" si="97"/>
        <v>6.3442418511688962E-3</v>
      </c>
      <c r="T1539" s="4">
        <f t="shared" si="97"/>
        <v>5.0363284970024527E-3</v>
      </c>
      <c r="U1539" s="35"/>
      <c r="V1539" s="35"/>
      <c r="W1539" s="35"/>
      <c r="X1539" s="35"/>
    </row>
    <row r="1540" spans="4:24" x14ac:dyDescent="0.3">
      <c r="D1540" s="23">
        <v>41816</v>
      </c>
      <c r="E1540" s="5">
        <v>164.11364699999999</v>
      </c>
      <c r="F1540" s="28">
        <v>62.868259999999999</v>
      </c>
      <c r="G1540" s="28">
        <v>126.73</v>
      </c>
      <c r="H1540" s="28">
        <v>86.252110000000002</v>
      </c>
      <c r="I1540" s="28">
        <v>85.414919999999995</v>
      </c>
      <c r="J1540" s="29"/>
      <c r="K1540" s="29"/>
      <c r="L1540" s="29"/>
      <c r="M1540" s="29"/>
      <c r="N1540" s="29"/>
      <c r="P1540" s="4">
        <f t="shared" si="97"/>
        <v>-7.1631998655976854E-4</v>
      </c>
      <c r="Q1540" s="4">
        <f t="shared" si="97"/>
        <v>1.3398877027521179E-3</v>
      </c>
      <c r="R1540" s="4">
        <f t="shared" si="97"/>
        <v>-2.049504106969149E-3</v>
      </c>
      <c r="S1540" s="4">
        <f t="shared" si="97"/>
        <v>5.3566657469611965E-4</v>
      </c>
      <c r="T1540" s="4">
        <f t="shared" si="97"/>
        <v>-5.9140791271468439E-4</v>
      </c>
      <c r="U1540" s="35"/>
      <c r="V1540" s="35"/>
      <c r="W1540" s="35"/>
      <c r="X1540" s="35"/>
    </row>
    <row r="1541" spans="4:24" x14ac:dyDescent="0.3">
      <c r="D1541" s="23">
        <v>41817</v>
      </c>
      <c r="E1541" s="5">
        <v>164.43279999999999</v>
      </c>
      <c r="F1541" s="28">
        <v>62.868259999999999</v>
      </c>
      <c r="G1541" s="28">
        <v>126.66</v>
      </c>
      <c r="H1541" s="28">
        <v>86.631</v>
      </c>
      <c r="I1541" s="28">
        <v>85.642240000000001</v>
      </c>
      <c r="J1541" s="29"/>
      <c r="K1541" s="29"/>
      <c r="L1541" s="29"/>
      <c r="M1541" s="29"/>
      <c r="N1541" s="29"/>
      <c r="P1541" s="4">
        <f t="shared" ref="P1541:T1556" si="98">LN(E1541/E1540)</f>
        <v>1.9428187600403542E-3</v>
      </c>
      <c r="Q1541" s="4">
        <f t="shared" si="98"/>
        <v>0</v>
      </c>
      <c r="R1541" s="4">
        <f t="shared" si="98"/>
        <v>-5.5250800568858486E-4</v>
      </c>
      <c r="S1541" s="4">
        <f t="shared" si="98"/>
        <v>4.3831998003345902E-3</v>
      </c>
      <c r="T1541" s="4">
        <f t="shared" si="98"/>
        <v>2.6578265863469019E-3</v>
      </c>
      <c r="U1541" s="35"/>
      <c r="V1541" s="35"/>
      <c r="W1541" s="35"/>
      <c r="X1541" s="35"/>
    </row>
    <row r="1542" spans="4:24" x14ac:dyDescent="0.3">
      <c r="D1542" s="23">
        <v>41820</v>
      </c>
      <c r="E1542" s="5">
        <v>164.34884600000001</v>
      </c>
      <c r="F1542" s="28">
        <v>62.921869999999998</v>
      </c>
      <c r="G1542" s="28">
        <v>128.04</v>
      </c>
      <c r="H1542" s="28">
        <v>86.778850000000006</v>
      </c>
      <c r="I1542" s="28">
        <v>85.675920000000005</v>
      </c>
      <c r="J1542" s="29"/>
      <c r="K1542" s="29"/>
      <c r="L1542" s="29"/>
      <c r="M1542" s="29"/>
      <c r="N1542" s="29"/>
      <c r="P1542" s="4">
        <f t="shared" si="98"/>
        <v>-5.1069761859314205E-4</v>
      </c>
      <c r="Q1542" s="4">
        <f t="shared" si="98"/>
        <v>8.5237217333040602E-4</v>
      </c>
      <c r="R1542" s="4">
        <f t="shared" si="98"/>
        <v>1.0836384013378095E-2</v>
      </c>
      <c r="S1542" s="4">
        <f t="shared" si="98"/>
        <v>1.7052092003513159E-3</v>
      </c>
      <c r="T1542" s="4">
        <f t="shared" si="98"/>
        <v>3.9318657676336652E-4</v>
      </c>
      <c r="U1542" s="35"/>
      <c r="V1542" s="35"/>
      <c r="W1542" s="35"/>
      <c r="X1542" s="35"/>
    </row>
    <row r="1543" spans="4:24" x14ac:dyDescent="0.3">
      <c r="D1543" s="23">
        <v>41821</v>
      </c>
      <c r="E1543" s="5">
        <v>165.44885300000001</v>
      </c>
      <c r="F1543" s="28">
        <v>62.800669999999997</v>
      </c>
      <c r="G1543" s="28">
        <v>127.7</v>
      </c>
      <c r="H1543" s="28">
        <v>87.730620000000002</v>
      </c>
      <c r="I1543" s="28">
        <v>86.290450000000007</v>
      </c>
      <c r="J1543" s="29"/>
      <c r="K1543" s="29"/>
      <c r="L1543" s="29"/>
      <c r="M1543" s="29"/>
      <c r="N1543" s="29"/>
      <c r="P1543" s="4">
        <f t="shared" si="98"/>
        <v>6.6708232502182951E-3</v>
      </c>
      <c r="Q1543" s="4">
        <f t="shared" si="98"/>
        <v>-1.9280558211078253E-3</v>
      </c>
      <c r="R1543" s="4">
        <f t="shared" si="98"/>
        <v>-2.6589520631685702E-3</v>
      </c>
      <c r="S1543" s="4">
        <f t="shared" si="98"/>
        <v>1.0908054872091958E-2</v>
      </c>
      <c r="T1543" s="4">
        <f t="shared" si="98"/>
        <v>7.1471255213331319E-3</v>
      </c>
      <c r="U1543" s="35"/>
      <c r="V1543" s="35"/>
      <c r="W1543" s="35"/>
      <c r="X1543" s="35"/>
    </row>
    <row r="1544" spans="4:24" x14ac:dyDescent="0.3">
      <c r="D1544" s="23">
        <v>41822</v>
      </c>
      <c r="E1544" s="5">
        <v>165.61677599999999</v>
      </c>
      <c r="F1544" s="28">
        <v>62.631990000000002</v>
      </c>
      <c r="G1544" s="28">
        <v>127.7</v>
      </c>
      <c r="H1544" s="28">
        <v>87.878489999999999</v>
      </c>
      <c r="I1544" s="28">
        <v>86.239940000000004</v>
      </c>
      <c r="J1544" s="29"/>
      <c r="K1544" s="29"/>
      <c r="L1544" s="29"/>
      <c r="M1544" s="29"/>
      <c r="N1544" s="29"/>
      <c r="P1544" s="4">
        <f t="shared" si="98"/>
        <v>1.0144394324945437E-3</v>
      </c>
      <c r="Q1544" s="4">
        <f t="shared" si="98"/>
        <v>-2.6895722642425218E-3</v>
      </c>
      <c r="R1544" s="4">
        <f t="shared" si="98"/>
        <v>0</v>
      </c>
      <c r="S1544" s="4">
        <f t="shared" si="98"/>
        <v>1.6840815940382557E-3</v>
      </c>
      <c r="T1544" s="4">
        <f t="shared" si="98"/>
        <v>-5.8552005177809306E-4</v>
      </c>
      <c r="U1544" s="35"/>
      <c r="V1544" s="35"/>
      <c r="W1544" s="35"/>
      <c r="X1544" s="35"/>
    </row>
    <row r="1545" spans="4:24" x14ac:dyDescent="0.3">
      <c r="D1545" s="23">
        <v>41823</v>
      </c>
      <c r="E1545" s="5">
        <v>166.43130500000001</v>
      </c>
      <c r="F1545" s="28">
        <v>62.555329999999998</v>
      </c>
      <c r="G1545" s="28">
        <v>127.16</v>
      </c>
      <c r="H1545" s="28">
        <v>88.432929999999999</v>
      </c>
      <c r="I1545" s="28">
        <v>86.694569999999999</v>
      </c>
      <c r="J1545" s="29"/>
      <c r="K1545" s="29"/>
      <c r="L1545" s="29"/>
      <c r="M1545" s="29"/>
      <c r="N1545" s="29"/>
      <c r="P1545" s="4">
        <f t="shared" si="98"/>
        <v>4.9061005342581013E-3</v>
      </c>
      <c r="Q1545" s="4">
        <f t="shared" si="98"/>
        <v>-1.2247248296742301E-3</v>
      </c>
      <c r="R1545" s="4">
        <f t="shared" si="98"/>
        <v>-4.2376269958916595E-3</v>
      </c>
      <c r="S1545" s="4">
        <f t="shared" si="98"/>
        <v>6.2893467435337774E-3</v>
      </c>
      <c r="T1545" s="4">
        <f t="shared" si="98"/>
        <v>5.2578406397790827E-3</v>
      </c>
      <c r="U1545" s="35"/>
      <c r="V1545" s="35"/>
      <c r="W1545" s="35"/>
      <c r="X1545" s="35"/>
    </row>
    <row r="1546" spans="4:24" x14ac:dyDescent="0.3">
      <c r="D1546" s="23">
        <v>41827</v>
      </c>
      <c r="E1546" s="5">
        <v>165.85188299999999</v>
      </c>
      <c r="F1546" s="28">
        <v>62.631990000000002</v>
      </c>
      <c r="G1546" s="28">
        <v>127.02</v>
      </c>
      <c r="H1546" s="28">
        <v>88.164929999999998</v>
      </c>
      <c r="I1546" s="28">
        <v>86.239940000000004</v>
      </c>
      <c r="J1546" s="29"/>
      <c r="K1546" s="29"/>
      <c r="L1546" s="29"/>
      <c r="M1546" s="29"/>
      <c r="N1546" s="29"/>
      <c r="P1546" s="4">
        <f t="shared" si="98"/>
        <v>-3.4875227408944541E-3</v>
      </c>
      <c r="Q1546" s="4">
        <f t="shared" si="98"/>
        <v>1.2247248296742065E-3</v>
      </c>
      <c r="R1546" s="4">
        <f t="shared" si="98"/>
        <v>-1.1015816677732034E-3</v>
      </c>
      <c r="S1546" s="4">
        <f t="shared" si="98"/>
        <v>-3.0351466969896152E-3</v>
      </c>
      <c r="T1546" s="4">
        <f t="shared" si="98"/>
        <v>-5.2578406397790949E-3</v>
      </c>
      <c r="U1546" s="35"/>
      <c r="V1546" s="35"/>
      <c r="W1546" s="35"/>
      <c r="X1546" s="35"/>
    </row>
    <row r="1547" spans="4:24" x14ac:dyDescent="0.3">
      <c r="D1547" s="23">
        <v>41828</v>
      </c>
      <c r="E1547" s="5">
        <v>164.785492</v>
      </c>
      <c r="F1547" s="28">
        <v>62.747030000000002</v>
      </c>
      <c r="G1547" s="28">
        <v>127.07</v>
      </c>
      <c r="H1547" s="28">
        <v>87.102249999999998</v>
      </c>
      <c r="I1547" s="28">
        <v>85.583320000000001</v>
      </c>
      <c r="J1547" s="29"/>
      <c r="K1547" s="29"/>
      <c r="L1547" s="29"/>
      <c r="M1547" s="29"/>
      <c r="N1547" s="29"/>
      <c r="P1547" s="4">
        <f t="shared" si="98"/>
        <v>-6.450539341839528E-3</v>
      </c>
      <c r="Q1547" s="4">
        <f t="shared" si="98"/>
        <v>1.8350762716625249E-3</v>
      </c>
      <c r="R1547" s="4">
        <f t="shared" si="98"/>
        <v>3.9356134161416996E-4</v>
      </c>
      <c r="S1547" s="4">
        <f t="shared" si="98"/>
        <v>-1.212654899232646E-2</v>
      </c>
      <c r="T1547" s="4">
        <f t="shared" si="98"/>
        <v>-7.6430070806341403E-3</v>
      </c>
      <c r="U1547" s="35"/>
      <c r="V1547" s="35"/>
      <c r="W1547" s="35"/>
      <c r="X1547" s="35"/>
    </row>
    <row r="1548" spans="4:24" x14ac:dyDescent="0.3">
      <c r="D1548" s="23">
        <v>41829</v>
      </c>
      <c r="E1548" s="5">
        <v>165.524429</v>
      </c>
      <c r="F1548" s="28">
        <v>62.80838</v>
      </c>
      <c r="G1548" s="28">
        <v>127.84</v>
      </c>
      <c r="H1548" s="28">
        <v>87.749129999999994</v>
      </c>
      <c r="I1548" s="28">
        <v>85.953739999999996</v>
      </c>
      <c r="J1548" s="29"/>
      <c r="K1548" s="29"/>
      <c r="L1548" s="29"/>
      <c r="M1548" s="29"/>
      <c r="N1548" s="29"/>
      <c r="P1548" s="4">
        <f t="shared" si="98"/>
        <v>4.4742115554239617E-3</v>
      </c>
      <c r="Q1548" s="4">
        <f t="shared" si="98"/>
        <v>9.7725784787145776E-4</v>
      </c>
      <c r="R1548" s="4">
        <f t="shared" si="98"/>
        <v>6.0413663015216387E-3</v>
      </c>
      <c r="S1548" s="4">
        <f t="shared" si="98"/>
        <v>7.3992318655257327E-3</v>
      </c>
      <c r="T1548" s="4">
        <f t="shared" si="98"/>
        <v>4.3188402059324794E-3</v>
      </c>
      <c r="U1548" s="35"/>
      <c r="V1548" s="35"/>
      <c r="W1548" s="35"/>
      <c r="X1548" s="35"/>
    </row>
    <row r="1549" spans="4:24" x14ac:dyDescent="0.3">
      <c r="D1549" s="23">
        <v>41830</v>
      </c>
      <c r="E1549" s="5">
        <v>164.86944600000001</v>
      </c>
      <c r="F1549" s="28">
        <v>62.823650000000001</v>
      </c>
      <c r="G1549" s="28">
        <v>128.54</v>
      </c>
      <c r="H1549" s="28">
        <v>87.471890000000002</v>
      </c>
      <c r="I1549" s="28">
        <v>85.574910000000003</v>
      </c>
      <c r="J1549" s="29"/>
      <c r="K1549" s="29"/>
      <c r="L1549" s="29"/>
      <c r="M1549" s="29"/>
      <c r="N1549" s="29"/>
      <c r="P1549" s="4">
        <f t="shared" si="98"/>
        <v>-3.9648668307590094E-3</v>
      </c>
      <c r="Q1549" s="4">
        <f t="shared" si="98"/>
        <v>2.4309087539529968E-4</v>
      </c>
      <c r="R1549" s="4">
        <f t="shared" si="98"/>
        <v>5.4606579251756052E-3</v>
      </c>
      <c r="S1549" s="4">
        <f t="shared" si="98"/>
        <v>-3.1644631603302002E-3</v>
      </c>
      <c r="T1549" s="4">
        <f t="shared" si="98"/>
        <v>-4.4171118462358414E-3</v>
      </c>
      <c r="U1549" s="35"/>
      <c r="V1549" s="35"/>
      <c r="W1549" s="35"/>
      <c r="X1549" s="35"/>
    </row>
    <row r="1550" spans="4:24" x14ac:dyDescent="0.3">
      <c r="D1550" s="23">
        <v>41831</v>
      </c>
      <c r="E1550" s="5">
        <v>165.096191</v>
      </c>
      <c r="F1550" s="28">
        <v>62.915750000000003</v>
      </c>
      <c r="G1550" s="28">
        <v>128.78</v>
      </c>
      <c r="H1550" s="28">
        <v>88.035550000000001</v>
      </c>
      <c r="I1550" s="28">
        <v>85.650660000000002</v>
      </c>
      <c r="J1550" s="29"/>
      <c r="K1550" s="29"/>
      <c r="L1550" s="29"/>
      <c r="M1550" s="29"/>
      <c r="N1550" s="29"/>
      <c r="P1550" s="4">
        <f t="shared" si="98"/>
        <v>1.3743554495684752E-3</v>
      </c>
      <c r="Q1550" s="4">
        <f t="shared" si="98"/>
        <v>1.464934880726457E-3</v>
      </c>
      <c r="R1550" s="4">
        <f t="shared" si="98"/>
        <v>1.8653821668972834E-3</v>
      </c>
      <c r="S1550" s="4">
        <f t="shared" si="98"/>
        <v>6.4232255675036225E-3</v>
      </c>
      <c r="T1550" s="4">
        <f t="shared" si="98"/>
        <v>8.8479781310531376E-4</v>
      </c>
      <c r="U1550" s="35"/>
      <c r="V1550" s="35"/>
      <c r="W1550" s="35"/>
      <c r="X1550" s="35"/>
    </row>
    <row r="1551" spans="4:24" x14ac:dyDescent="0.3">
      <c r="D1551" s="23">
        <v>41834</v>
      </c>
      <c r="E1551" s="5">
        <v>165.92752100000001</v>
      </c>
      <c r="F1551" s="28">
        <v>62.823650000000001</v>
      </c>
      <c r="G1551" s="28">
        <v>125.72</v>
      </c>
      <c r="H1551" s="28">
        <v>88.562280000000001</v>
      </c>
      <c r="I1551" s="28">
        <v>86.063140000000004</v>
      </c>
      <c r="J1551" s="29"/>
      <c r="K1551" s="29"/>
      <c r="L1551" s="29"/>
      <c r="M1551" s="29"/>
      <c r="N1551" s="29"/>
      <c r="P1551" s="4">
        <f t="shared" si="98"/>
        <v>5.0227927343343146E-3</v>
      </c>
      <c r="Q1551" s="4">
        <f t="shared" si="98"/>
        <v>-1.4649348807265355E-3</v>
      </c>
      <c r="R1551" s="4">
        <f t="shared" si="98"/>
        <v>-2.4048310180670617E-2</v>
      </c>
      <c r="S1551" s="4">
        <f t="shared" si="98"/>
        <v>5.9653231523459412E-3</v>
      </c>
      <c r="T1551" s="4">
        <f t="shared" si="98"/>
        <v>4.8042823975132827E-3</v>
      </c>
      <c r="U1551" s="35"/>
      <c r="V1551" s="35"/>
      <c r="W1551" s="35"/>
      <c r="X1551" s="35"/>
    </row>
    <row r="1552" spans="4:24" x14ac:dyDescent="0.3">
      <c r="D1552" s="23">
        <v>41835</v>
      </c>
      <c r="E1552" s="5">
        <v>165.61677599999999</v>
      </c>
      <c r="F1552" s="28">
        <v>62.777670000000001</v>
      </c>
      <c r="G1552" s="28">
        <v>124.53</v>
      </c>
      <c r="H1552" s="28">
        <v>88.257350000000002</v>
      </c>
      <c r="I1552" s="28">
        <v>85.844290000000001</v>
      </c>
      <c r="J1552" s="29"/>
      <c r="K1552" s="29"/>
      <c r="L1552" s="29"/>
      <c r="M1552" s="29"/>
      <c r="N1552" s="29"/>
      <c r="P1552" s="4">
        <f t="shared" si="98"/>
        <v>-1.874531360092112E-3</v>
      </c>
      <c r="Q1552" s="4">
        <f t="shared" si="98"/>
        <v>-7.3215794314875028E-4</v>
      </c>
      <c r="R1552" s="4">
        <f t="shared" si="98"/>
        <v>-9.5105611963097105E-3</v>
      </c>
      <c r="S1552" s="4">
        <f t="shared" si="98"/>
        <v>-3.4490548621405087E-3</v>
      </c>
      <c r="T1552" s="4">
        <f t="shared" si="98"/>
        <v>-2.5461391427991364E-3</v>
      </c>
      <c r="U1552" s="35"/>
      <c r="V1552" s="35"/>
      <c r="W1552" s="35"/>
      <c r="X1552" s="35"/>
    </row>
    <row r="1553" spans="4:24" x14ac:dyDescent="0.3">
      <c r="D1553" s="23">
        <v>41836</v>
      </c>
      <c r="E1553" s="5">
        <v>166.22981300000001</v>
      </c>
      <c r="F1553" s="28">
        <v>62.800669999999997</v>
      </c>
      <c r="G1553" s="28">
        <v>124.97</v>
      </c>
      <c r="H1553" s="28">
        <v>88.60848</v>
      </c>
      <c r="I1553" s="28">
        <v>86.063140000000004</v>
      </c>
      <c r="J1553" s="29"/>
      <c r="K1553" s="29"/>
      <c r="L1553" s="29"/>
      <c r="M1553" s="29"/>
      <c r="N1553" s="29"/>
      <c r="P1553" s="4">
        <f t="shared" si="98"/>
        <v>3.6947054313266892E-3</v>
      </c>
      <c r="Q1553" s="4">
        <f t="shared" si="98"/>
        <v>3.6630521246217121E-4</v>
      </c>
      <c r="R1553" s="4">
        <f t="shared" si="98"/>
        <v>3.5270577646351513E-3</v>
      </c>
      <c r="S1553" s="4">
        <f t="shared" si="98"/>
        <v>3.9705856276819884E-3</v>
      </c>
      <c r="T1553" s="4">
        <f t="shared" si="98"/>
        <v>2.5461391427992262E-3</v>
      </c>
      <c r="U1553" s="35"/>
      <c r="V1553" s="35"/>
      <c r="W1553" s="35"/>
      <c r="X1553" s="35"/>
    </row>
    <row r="1554" spans="4:24" x14ac:dyDescent="0.3">
      <c r="D1554" s="23">
        <v>41837</v>
      </c>
      <c r="E1554" s="5">
        <v>164.34045399999999</v>
      </c>
      <c r="F1554" s="28">
        <v>62.969410000000003</v>
      </c>
      <c r="G1554" s="28">
        <v>127.09</v>
      </c>
      <c r="H1554" s="28">
        <v>87.434920000000005</v>
      </c>
      <c r="I1554" s="28">
        <v>85.069789999999998</v>
      </c>
      <c r="J1554" s="29"/>
      <c r="K1554" s="29"/>
      <c r="L1554" s="29"/>
      <c r="M1554" s="29"/>
      <c r="N1554" s="29"/>
      <c r="P1554" s="4">
        <f t="shared" si="98"/>
        <v>-1.1431031534734125E-2</v>
      </c>
      <c r="Q1554" s="4">
        <f t="shared" si="98"/>
        <v>2.6833107086550213E-3</v>
      </c>
      <c r="R1554" s="4">
        <f t="shared" si="98"/>
        <v>1.6821788396286872E-2</v>
      </c>
      <c r="S1554" s="4">
        <f t="shared" si="98"/>
        <v>-1.3332818892170575E-2</v>
      </c>
      <c r="T1554" s="4">
        <f t="shared" si="98"/>
        <v>-1.1609234487848589E-2</v>
      </c>
      <c r="U1554" s="35"/>
      <c r="V1554" s="35"/>
      <c r="W1554" s="35"/>
      <c r="X1554" s="35"/>
    </row>
    <row r="1555" spans="4:24" x14ac:dyDescent="0.3">
      <c r="D1555" s="23">
        <v>41838</v>
      </c>
      <c r="E1555" s="5">
        <v>166.019867</v>
      </c>
      <c r="F1555" s="28">
        <v>62.969410000000003</v>
      </c>
      <c r="G1555" s="28">
        <v>126.13</v>
      </c>
      <c r="H1555" s="28">
        <v>88.821020000000004</v>
      </c>
      <c r="I1555" s="28">
        <v>85.987390000000005</v>
      </c>
      <c r="J1555" s="29"/>
      <c r="K1555" s="29"/>
      <c r="L1555" s="29"/>
      <c r="M1555" s="29"/>
      <c r="N1555" s="29"/>
      <c r="P1555" s="4">
        <f t="shared" si="98"/>
        <v>1.016724685362937E-2</v>
      </c>
      <c r="Q1555" s="4">
        <f t="shared" si="98"/>
        <v>0</v>
      </c>
      <c r="R1555" s="4">
        <f t="shared" si="98"/>
        <v>-7.5823757948773243E-3</v>
      </c>
      <c r="S1555" s="4">
        <f t="shared" si="98"/>
        <v>1.5728588498237831E-2</v>
      </c>
      <c r="T1555" s="4">
        <f t="shared" si="98"/>
        <v>1.0728679166169932E-2</v>
      </c>
      <c r="U1555" s="35"/>
      <c r="V1555" s="35"/>
      <c r="W1555" s="35"/>
      <c r="X1555" s="35"/>
    </row>
    <row r="1556" spans="4:24" x14ac:dyDescent="0.3">
      <c r="D1556" s="23">
        <v>41841</v>
      </c>
      <c r="E1556" s="5">
        <v>165.70916700000001</v>
      </c>
      <c r="F1556" s="28">
        <v>62.969410000000003</v>
      </c>
      <c r="G1556" s="28">
        <v>126.34</v>
      </c>
      <c r="H1556" s="28">
        <v>88.71011</v>
      </c>
      <c r="I1556" s="28">
        <v>85.785340000000005</v>
      </c>
      <c r="J1556" s="29"/>
      <c r="K1556" s="29"/>
      <c r="L1556" s="29"/>
      <c r="M1556" s="29"/>
      <c r="N1556" s="29"/>
      <c r="P1556" s="4">
        <f t="shared" si="98"/>
        <v>-1.8732161433434443E-3</v>
      </c>
      <c r="Q1556" s="4">
        <f t="shared" si="98"/>
        <v>0</v>
      </c>
      <c r="R1556" s="4">
        <f t="shared" si="98"/>
        <v>1.6635643714526614E-3</v>
      </c>
      <c r="S1556" s="4">
        <f t="shared" si="98"/>
        <v>-1.2494711708216613E-3</v>
      </c>
      <c r="T1556" s="4">
        <f t="shared" si="98"/>
        <v>-2.3525281712092603E-3</v>
      </c>
      <c r="U1556" s="35"/>
      <c r="V1556" s="35"/>
      <c r="W1556" s="35"/>
      <c r="X1556" s="35"/>
    </row>
    <row r="1557" spans="4:24" x14ac:dyDescent="0.3">
      <c r="D1557" s="23">
        <v>41842</v>
      </c>
      <c r="E1557" s="5">
        <v>166.43130500000001</v>
      </c>
      <c r="F1557" s="28">
        <v>63.053750000000001</v>
      </c>
      <c r="G1557" s="28">
        <v>125.74</v>
      </c>
      <c r="H1557" s="28">
        <v>89.273799999999994</v>
      </c>
      <c r="I1557" s="28">
        <v>86.223100000000002</v>
      </c>
      <c r="J1557" s="29"/>
      <c r="K1557" s="29"/>
      <c r="L1557" s="29"/>
      <c r="M1557" s="29"/>
      <c r="N1557" s="29"/>
      <c r="P1557" s="4">
        <f t="shared" ref="P1557:T1572" si="99">LN(E1557/E1556)</f>
        <v>4.3483959273795123E-3</v>
      </c>
      <c r="Q1557" s="4">
        <f t="shared" si="99"/>
        <v>1.3384843324280792E-3</v>
      </c>
      <c r="R1557" s="4">
        <f t="shared" si="99"/>
        <v>-4.7604025156394118E-3</v>
      </c>
      <c r="S1557" s="4">
        <f t="shared" si="99"/>
        <v>6.3341892499616083E-3</v>
      </c>
      <c r="T1557" s="4">
        <f t="shared" si="99"/>
        <v>5.0899937831511465E-3</v>
      </c>
      <c r="U1557" s="35"/>
      <c r="V1557" s="35"/>
      <c r="W1557" s="35"/>
      <c r="X1557" s="35"/>
    </row>
    <row r="1558" spans="4:24" x14ac:dyDescent="0.3">
      <c r="D1558" s="23">
        <v>41843</v>
      </c>
      <c r="E1558" s="5">
        <v>166.800781</v>
      </c>
      <c r="F1558" s="28">
        <v>63.023090000000003</v>
      </c>
      <c r="G1558" s="28">
        <v>125.62</v>
      </c>
      <c r="H1558" s="28">
        <v>89.846789999999999</v>
      </c>
      <c r="I1558" s="28">
        <v>86.425160000000005</v>
      </c>
      <c r="J1558" s="29"/>
      <c r="K1558" s="29"/>
      <c r="L1558" s="29"/>
      <c r="M1558" s="29"/>
      <c r="N1558" s="29"/>
      <c r="P1558" s="4">
        <f t="shared" si="99"/>
        <v>2.2175304655769443E-3</v>
      </c>
      <c r="Q1558" s="4">
        <f t="shared" si="99"/>
        <v>-4.8637006772054279E-4</v>
      </c>
      <c r="R1558" s="4">
        <f t="shared" si="99"/>
        <v>-9.5480592868029388E-4</v>
      </c>
      <c r="S1558" s="4">
        <f t="shared" si="99"/>
        <v>6.3978346038418843E-3</v>
      </c>
      <c r="T1558" s="4">
        <f t="shared" si="99"/>
        <v>2.3407139145942492E-3</v>
      </c>
      <c r="U1558" s="35"/>
      <c r="V1558" s="35"/>
      <c r="W1558" s="35"/>
      <c r="X1558" s="35"/>
    </row>
    <row r="1559" spans="4:24" x14ac:dyDescent="0.3">
      <c r="D1559" s="23">
        <v>41844</v>
      </c>
      <c r="E1559" s="5">
        <v>166.80917400000001</v>
      </c>
      <c r="F1559" s="28">
        <v>62.900399999999998</v>
      </c>
      <c r="G1559" s="28">
        <v>124.35</v>
      </c>
      <c r="H1559" s="28">
        <v>89.745090000000005</v>
      </c>
      <c r="I1559" s="28">
        <v>86.441999999999993</v>
      </c>
      <c r="J1559" s="29"/>
      <c r="K1559" s="29"/>
      <c r="L1559" s="29"/>
      <c r="M1559" s="29"/>
      <c r="N1559" s="29"/>
      <c r="P1559" s="4">
        <f t="shared" si="99"/>
        <v>5.0316244320559421E-5</v>
      </c>
      <c r="Q1559" s="4">
        <f t="shared" si="99"/>
        <v>-1.9486441937616636E-3</v>
      </c>
      <c r="R1559" s="4">
        <f t="shared" si="99"/>
        <v>-1.0161306776821076E-2</v>
      </c>
      <c r="S1559" s="4">
        <f t="shared" si="99"/>
        <v>-1.1325680300352926E-3</v>
      </c>
      <c r="T1559" s="4">
        <f t="shared" si="99"/>
        <v>1.9483168524606789E-4</v>
      </c>
      <c r="U1559" s="35"/>
      <c r="V1559" s="35"/>
      <c r="W1559" s="35"/>
      <c r="X1559" s="35"/>
    </row>
    <row r="1560" spans="4:24" x14ac:dyDescent="0.3">
      <c r="D1560" s="23">
        <v>41845</v>
      </c>
      <c r="E1560" s="5">
        <v>166.02827500000001</v>
      </c>
      <c r="F1560" s="28">
        <v>63.015419999999999</v>
      </c>
      <c r="G1560" s="28">
        <v>125.79</v>
      </c>
      <c r="H1560" s="28">
        <v>89.393940000000001</v>
      </c>
      <c r="I1560" s="28">
        <v>85.987390000000005</v>
      </c>
      <c r="J1560" s="29"/>
      <c r="K1560" s="29"/>
      <c r="L1560" s="29"/>
      <c r="M1560" s="29"/>
      <c r="N1560" s="29"/>
      <c r="P1560" s="4">
        <f t="shared" si="99"/>
        <v>-4.6923832350905552E-3</v>
      </c>
      <c r="Q1560" s="4">
        <f t="shared" si="99"/>
        <v>1.8269353603348809E-3</v>
      </c>
      <c r="R1560" s="4">
        <f t="shared" si="99"/>
        <v>1.1513679601367446E-2</v>
      </c>
      <c r="S1560" s="4">
        <f t="shared" si="99"/>
        <v>-3.920423703939707E-3</v>
      </c>
      <c r="T1560" s="4">
        <f t="shared" si="99"/>
        <v>-5.2730112117823236E-3</v>
      </c>
      <c r="U1560" s="35"/>
      <c r="V1560" s="35"/>
      <c r="W1560" s="35"/>
      <c r="X1560" s="35"/>
    </row>
    <row r="1561" spans="4:24" x14ac:dyDescent="0.3">
      <c r="D1561" s="23">
        <v>41848</v>
      </c>
      <c r="E1561" s="5">
        <v>166.095428</v>
      </c>
      <c r="F1561" s="28">
        <v>63.000079999999997</v>
      </c>
      <c r="G1561" s="28">
        <v>125.58</v>
      </c>
      <c r="H1561" s="28">
        <v>89.421689999999998</v>
      </c>
      <c r="I1561" s="28">
        <v>85.96217</v>
      </c>
      <c r="J1561" s="29"/>
      <c r="K1561" s="29"/>
      <c r="L1561" s="29"/>
      <c r="M1561" s="29"/>
      <c r="N1561" s="29"/>
      <c r="P1561" s="4">
        <f t="shared" si="99"/>
        <v>4.0438547630620639E-4</v>
      </c>
      <c r="Q1561" s="4">
        <f t="shared" si="99"/>
        <v>-2.4346211499023089E-4</v>
      </c>
      <c r="R1561" s="4">
        <f t="shared" si="99"/>
        <v>-1.6708441648177171E-3</v>
      </c>
      <c r="S1561" s="4">
        <f t="shared" si="99"/>
        <v>3.1037555523260024E-4</v>
      </c>
      <c r="T1561" s="4">
        <f t="shared" si="99"/>
        <v>-2.9334184025654991E-4</v>
      </c>
      <c r="U1561" s="35"/>
      <c r="V1561" s="35"/>
      <c r="W1561" s="35"/>
      <c r="X1561" s="35"/>
    </row>
    <row r="1562" spans="4:24" x14ac:dyDescent="0.3">
      <c r="D1562" s="23">
        <v>41849</v>
      </c>
      <c r="E1562" s="5">
        <v>165.38166799999999</v>
      </c>
      <c r="F1562" s="28">
        <v>63.053750000000001</v>
      </c>
      <c r="G1562" s="28">
        <v>125.2</v>
      </c>
      <c r="H1562" s="28">
        <v>89.264579999999995</v>
      </c>
      <c r="I1562" s="28">
        <v>85.650660000000002</v>
      </c>
      <c r="J1562" s="29"/>
      <c r="K1562" s="29"/>
      <c r="L1562" s="29"/>
      <c r="M1562" s="29"/>
      <c r="N1562" s="29"/>
      <c r="P1562" s="4">
        <f t="shared" si="99"/>
        <v>-4.3065485473975521E-3</v>
      </c>
      <c r="Q1562" s="4">
        <f t="shared" si="99"/>
        <v>8.5154101613758252E-4</v>
      </c>
      <c r="R1562" s="4">
        <f t="shared" si="99"/>
        <v>-3.0305470199652219E-3</v>
      </c>
      <c r="S1562" s="4">
        <f t="shared" si="99"/>
        <v>-1.7585015400041789E-3</v>
      </c>
      <c r="T1562" s="4">
        <f t="shared" si="99"/>
        <v>-3.6303852355779312E-3</v>
      </c>
      <c r="U1562" s="35"/>
      <c r="V1562" s="35"/>
      <c r="W1562" s="35"/>
      <c r="X1562" s="35"/>
    </row>
    <row r="1563" spans="4:24" x14ac:dyDescent="0.3">
      <c r="D1563" s="23">
        <v>41850</v>
      </c>
      <c r="E1563" s="5">
        <v>165.40690599999999</v>
      </c>
      <c r="F1563" s="28">
        <v>62.816020000000002</v>
      </c>
      <c r="G1563" s="28">
        <v>124.83</v>
      </c>
      <c r="H1563" s="28">
        <v>89.615750000000006</v>
      </c>
      <c r="I1563" s="28">
        <v>85.709590000000006</v>
      </c>
      <c r="J1563" s="29"/>
      <c r="K1563" s="29"/>
      <c r="L1563" s="29"/>
      <c r="M1563" s="29"/>
      <c r="N1563" s="29"/>
      <c r="P1563" s="4">
        <f t="shared" si="99"/>
        <v>1.52592937197256E-4</v>
      </c>
      <c r="Q1563" s="4">
        <f t="shared" si="99"/>
        <v>-3.7774007639147355E-3</v>
      </c>
      <c r="R1563" s="4">
        <f t="shared" si="99"/>
        <v>-2.9596470030385834E-3</v>
      </c>
      <c r="S1563" s="4">
        <f t="shared" si="99"/>
        <v>3.9263171208964703E-3</v>
      </c>
      <c r="T1563" s="4">
        <f t="shared" si="99"/>
        <v>6.8779080706413262E-4</v>
      </c>
      <c r="U1563" s="35"/>
      <c r="V1563" s="35"/>
      <c r="W1563" s="35"/>
      <c r="X1563" s="35"/>
    </row>
    <row r="1564" spans="4:24" x14ac:dyDescent="0.3">
      <c r="D1564" s="23">
        <v>41851</v>
      </c>
      <c r="E1564" s="5">
        <v>162.14038099999999</v>
      </c>
      <c r="F1564" s="28">
        <v>62.747030000000002</v>
      </c>
      <c r="G1564" s="28">
        <v>123.39</v>
      </c>
      <c r="H1564" s="28">
        <v>87.804550000000006</v>
      </c>
      <c r="I1564" s="28">
        <v>83.966930000000005</v>
      </c>
      <c r="J1564" s="29"/>
      <c r="K1564" s="29"/>
      <c r="L1564" s="29"/>
      <c r="M1564" s="29"/>
      <c r="N1564" s="29"/>
      <c r="P1564" s="4">
        <f t="shared" si="99"/>
        <v>-1.9946025665274744E-2</v>
      </c>
      <c r="Q1564" s="4">
        <f t="shared" si="99"/>
        <v>-1.0988902697482966E-3</v>
      </c>
      <c r="R1564" s="4">
        <f t="shared" si="99"/>
        <v>-1.1602740752517198E-2</v>
      </c>
      <c r="S1564" s="4">
        <f t="shared" si="99"/>
        <v>-2.0417764161367979E-2</v>
      </c>
      <c r="T1564" s="4">
        <f t="shared" si="99"/>
        <v>-2.0541690476156119E-2</v>
      </c>
      <c r="U1564" s="35"/>
      <c r="V1564" s="35"/>
      <c r="W1564" s="35"/>
      <c r="X1564" s="35"/>
    </row>
    <row r="1565" spans="4:24" x14ac:dyDescent="0.3">
      <c r="D1565" s="23">
        <v>41852</v>
      </c>
      <c r="E1565" s="5">
        <v>161.64498900000001</v>
      </c>
      <c r="F1565" s="28">
        <v>62.956029999999998</v>
      </c>
      <c r="G1565" s="28">
        <v>124.38</v>
      </c>
      <c r="H1565" s="28">
        <v>87.481129999999993</v>
      </c>
      <c r="I1565" s="28">
        <v>83.756489999999999</v>
      </c>
      <c r="J1565" s="29"/>
      <c r="K1565" s="29"/>
      <c r="L1565" s="29"/>
      <c r="M1565" s="29"/>
      <c r="N1565" s="29"/>
      <c r="P1565" s="4">
        <f t="shared" si="99"/>
        <v>-3.0600047590507752E-3</v>
      </c>
      <c r="Q1565" s="4">
        <f t="shared" si="99"/>
        <v>3.3252999980563211E-3</v>
      </c>
      <c r="R1565" s="4">
        <f t="shared" si="99"/>
        <v>7.9913247653008428E-3</v>
      </c>
      <c r="S1565" s="4">
        <f t="shared" si="99"/>
        <v>-3.690208658437178E-3</v>
      </c>
      <c r="T1565" s="4">
        <f t="shared" si="99"/>
        <v>-2.5093706105843074E-3</v>
      </c>
      <c r="U1565" s="35"/>
      <c r="V1565" s="35"/>
      <c r="W1565" s="35"/>
      <c r="X1565" s="35"/>
    </row>
    <row r="1566" spans="4:24" x14ac:dyDescent="0.3">
      <c r="D1566" s="23">
        <v>41855</v>
      </c>
      <c r="E1566" s="5">
        <v>162.81214900000001</v>
      </c>
      <c r="F1566" s="28">
        <v>63.040559999999999</v>
      </c>
      <c r="G1566" s="28">
        <v>123.99</v>
      </c>
      <c r="H1566" s="28">
        <v>88.081789999999998</v>
      </c>
      <c r="I1566" s="28">
        <v>84.328900000000004</v>
      </c>
      <c r="J1566" s="29"/>
      <c r="K1566" s="29"/>
      <c r="L1566" s="29"/>
      <c r="M1566" s="29"/>
      <c r="N1566" s="29"/>
      <c r="P1566" s="4">
        <f t="shared" si="99"/>
        <v>7.1945714723438232E-3</v>
      </c>
      <c r="Q1566" s="4">
        <f t="shared" si="99"/>
        <v>1.3417825463717047E-3</v>
      </c>
      <c r="R1566" s="4">
        <f t="shared" si="99"/>
        <v>-3.1404784839925972E-3</v>
      </c>
      <c r="S1566" s="4">
        <f t="shared" si="99"/>
        <v>6.8427016787113316E-3</v>
      </c>
      <c r="T1566" s="4">
        <f t="shared" si="99"/>
        <v>6.8109692675451111E-3</v>
      </c>
      <c r="U1566" s="35"/>
      <c r="V1566" s="35"/>
      <c r="W1566" s="35"/>
      <c r="X1566" s="35"/>
    </row>
    <row r="1567" spans="4:24" x14ac:dyDescent="0.3">
      <c r="D1567" s="23">
        <v>41856</v>
      </c>
      <c r="E1567" s="5">
        <v>161.23348999999999</v>
      </c>
      <c r="F1567" s="28">
        <v>62.956029999999998</v>
      </c>
      <c r="G1567" s="28">
        <v>123.87</v>
      </c>
      <c r="H1567" s="28">
        <v>87.40719</v>
      </c>
      <c r="I1567" s="28">
        <v>83.588099999999997</v>
      </c>
      <c r="J1567" s="29"/>
      <c r="K1567" s="29"/>
      <c r="L1567" s="29"/>
      <c r="M1567" s="29"/>
      <c r="N1567" s="29"/>
      <c r="P1567" s="4">
        <f t="shared" si="99"/>
        <v>-9.7435132542207561E-3</v>
      </c>
      <c r="Q1567" s="4">
        <f t="shared" si="99"/>
        <v>-1.3417825463717986E-3</v>
      </c>
      <c r="R1567" s="4">
        <f t="shared" si="99"/>
        <v>-9.682886256421005E-4</v>
      </c>
      <c r="S1567" s="4">
        <f t="shared" si="99"/>
        <v>-7.6882699179795936E-3</v>
      </c>
      <c r="T1567" s="4">
        <f t="shared" si="99"/>
        <v>-8.8234640465340922E-3</v>
      </c>
      <c r="U1567" s="35"/>
      <c r="V1567" s="35"/>
      <c r="W1567" s="35"/>
      <c r="X1567" s="35"/>
    </row>
    <row r="1568" spans="4:24" x14ac:dyDescent="0.3">
      <c r="D1568" s="23">
        <v>41857</v>
      </c>
      <c r="E1568" s="5">
        <v>161.28387499999999</v>
      </c>
      <c r="F1568" s="28">
        <v>63.025219999999997</v>
      </c>
      <c r="G1568" s="28">
        <v>125.67</v>
      </c>
      <c r="H1568" s="28">
        <v>87.342519999999993</v>
      </c>
      <c r="I1568" s="28">
        <v>83.604939999999999</v>
      </c>
      <c r="J1568" s="29"/>
      <c r="K1568" s="29"/>
      <c r="L1568" s="29"/>
      <c r="M1568" s="29"/>
      <c r="N1568" s="29"/>
      <c r="P1568" s="4">
        <f t="shared" si="99"/>
        <v>3.124482950546689E-4</v>
      </c>
      <c r="Q1568" s="4">
        <f t="shared" si="99"/>
        <v>1.0984175336662466E-3</v>
      </c>
      <c r="R1568" s="4">
        <f t="shared" si="99"/>
        <v>1.4426795060944684E-2</v>
      </c>
      <c r="S1568" s="4">
        <f t="shared" si="99"/>
        <v>-7.4014432358450184E-4</v>
      </c>
      <c r="T1568" s="4">
        <f t="shared" si="99"/>
        <v>2.0144379283913271E-4</v>
      </c>
      <c r="U1568" s="35"/>
      <c r="V1568" s="35"/>
      <c r="W1568" s="35"/>
      <c r="X1568" s="35"/>
    </row>
    <row r="1569" spans="4:24" x14ac:dyDescent="0.3">
      <c r="D1569" s="23">
        <v>41858</v>
      </c>
      <c r="E1569" s="5">
        <v>160.41059899999999</v>
      </c>
      <c r="F1569" s="28">
        <v>63.163539999999998</v>
      </c>
      <c r="G1569" s="28">
        <v>126.18</v>
      </c>
      <c r="H1569" s="28">
        <v>87.065290000000005</v>
      </c>
      <c r="I1569" s="28">
        <v>83.167150000000007</v>
      </c>
      <c r="J1569" s="29"/>
      <c r="K1569" s="29"/>
      <c r="L1569" s="29"/>
      <c r="M1569" s="29"/>
      <c r="N1569" s="29"/>
      <c r="P1569" s="4">
        <f t="shared" si="99"/>
        <v>-5.4292393291309931E-3</v>
      </c>
      <c r="Q1569" s="4">
        <f t="shared" si="99"/>
        <v>2.1922722023390052E-3</v>
      </c>
      <c r="R1569" s="4">
        <f t="shared" si="99"/>
        <v>4.0500353156102927E-3</v>
      </c>
      <c r="S1569" s="4">
        <f t="shared" si="99"/>
        <v>-3.1791034299433582E-3</v>
      </c>
      <c r="T1569" s="4">
        <f t="shared" si="99"/>
        <v>-5.2501711241250146E-3</v>
      </c>
      <c r="U1569" s="35"/>
      <c r="V1569" s="35"/>
      <c r="W1569" s="35"/>
      <c r="X1569" s="35"/>
    </row>
    <row r="1570" spans="4:24" x14ac:dyDescent="0.3">
      <c r="D1570" s="23">
        <v>41859</v>
      </c>
      <c r="E1570" s="5">
        <v>162.266357</v>
      </c>
      <c r="F1570" s="28">
        <v>63.117449999999998</v>
      </c>
      <c r="G1570" s="28">
        <v>126.19</v>
      </c>
      <c r="H1570" s="28">
        <v>87.693669999999997</v>
      </c>
      <c r="I1570" s="28">
        <v>84.126900000000006</v>
      </c>
      <c r="J1570" s="29"/>
      <c r="K1570" s="29"/>
      <c r="L1570" s="29"/>
      <c r="M1570" s="29"/>
      <c r="N1570" s="29"/>
      <c r="P1570" s="4">
        <f t="shared" si="99"/>
        <v>1.1502392259237423E-2</v>
      </c>
      <c r="Q1570" s="4">
        <f t="shared" si="99"/>
        <v>-7.2995946652858873E-4</v>
      </c>
      <c r="R1570" s="4">
        <f t="shared" si="99"/>
        <v>7.9248722155703859E-5</v>
      </c>
      <c r="S1570" s="4">
        <f t="shared" si="99"/>
        <v>7.1914219234855796E-3</v>
      </c>
      <c r="T1570" s="4">
        <f t="shared" si="99"/>
        <v>1.1473935018357839E-2</v>
      </c>
      <c r="U1570" s="35"/>
      <c r="V1570" s="35"/>
      <c r="W1570" s="35"/>
      <c r="X1570" s="35"/>
    </row>
    <row r="1571" spans="4:24" x14ac:dyDescent="0.3">
      <c r="D1571" s="23">
        <v>41862</v>
      </c>
      <c r="E1571" s="5">
        <v>162.736603</v>
      </c>
      <c r="F1571" s="28">
        <v>63.14817</v>
      </c>
      <c r="G1571" s="28">
        <v>125.96</v>
      </c>
      <c r="H1571" s="28">
        <v>88.211160000000007</v>
      </c>
      <c r="I1571" s="28">
        <v>84.429959999999994</v>
      </c>
      <c r="J1571" s="29"/>
      <c r="K1571" s="29"/>
      <c r="L1571" s="29"/>
      <c r="M1571" s="29"/>
      <c r="N1571" s="29"/>
      <c r="P1571" s="4">
        <f t="shared" si="99"/>
        <v>2.8937972020668242E-3</v>
      </c>
      <c r="Q1571" s="4">
        <f t="shared" si="99"/>
        <v>4.865932722800716E-4</v>
      </c>
      <c r="R1571" s="4">
        <f t="shared" si="99"/>
        <v>-1.8243114319954098E-3</v>
      </c>
      <c r="S1571" s="4">
        <f t="shared" si="99"/>
        <v>5.8837667266124702E-3</v>
      </c>
      <c r="T1571" s="4">
        <f t="shared" si="99"/>
        <v>3.5959417678663413E-3</v>
      </c>
      <c r="U1571" s="35"/>
      <c r="V1571" s="35"/>
      <c r="W1571" s="35"/>
      <c r="X1571" s="35"/>
    </row>
    <row r="1572" spans="4:24" x14ac:dyDescent="0.3">
      <c r="D1572" s="23">
        <v>41863</v>
      </c>
      <c r="E1572" s="5">
        <v>162.50981100000001</v>
      </c>
      <c r="F1572" s="28">
        <v>63.094349999999999</v>
      </c>
      <c r="G1572" s="28">
        <v>125.99</v>
      </c>
      <c r="H1572" s="28">
        <v>88.174170000000004</v>
      </c>
      <c r="I1572" s="28">
        <v>84.278440000000003</v>
      </c>
      <c r="J1572" s="29"/>
      <c r="K1572" s="29"/>
      <c r="L1572" s="29"/>
      <c r="M1572" s="29"/>
      <c r="N1572" s="29"/>
      <c r="P1572" s="4">
        <f t="shared" si="99"/>
        <v>-1.3945859323554949E-3</v>
      </c>
      <c r="Q1572" s="4">
        <f t="shared" si="99"/>
        <v>-8.5264462814292662E-4</v>
      </c>
      <c r="R1572" s="4">
        <f t="shared" si="99"/>
        <v>2.3814248971448722E-4</v>
      </c>
      <c r="S1572" s="4">
        <f t="shared" si="99"/>
        <v>-4.1942264180656029E-4</v>
      </c>
      <c r="T1572" s="4">
        <f t="shared" si="99"/>
        <v>-1.7962358808389707E-3</v>
      </c>
      <c r="U1572" s="35"/>
      <c r="V1572" s="35"/>
      <c r="W1572" s="35"/>
      <c r="X1572" s="35"/>
    </row>
    <row r="1573" spans="4:24" x14ac:dyDescent="0.3">
      <c r="D1573" s="23">
        <v>41864</v>
      </c>
      <c r="E1573" s="5">
        <v>163.609894</v>
      </c>
      <c r="F1573" s="28">
        <v>63.20964</v>
      </c>
      <c r="G1573" s="28">
        <v>126.2</v>
      </c>
      <c r="H1573" s="28">
        <v>89.107479999999995</v>
      </c>
      <c r="I1573" s="28">
        <v>84.876140000000007</v>
      </c>
      <c r="J1573" s="29"/>
      <c r="K1573" s="29"/>
      <c r="L1573" s="29"/>
      <c r="M1573" s="29"/>
      <c r="N1573" s="29"/>
      <c r="P1573" s="4">
        <f t="shared" ref="P1573:T1588" si="100">LN(E1573/E1572)</f>
        <v>6.746523780729154E-3</v>
      </c>
      <c r="Q1573" s="4">
        <f t="shared" si="100"/>
        <v>1.8255960404716513E-3</v>
      </c>
      <c r="R1573" s="4">
        <f t="shared" si="100"/>
        <v>1.665411384574441E-3</v>
      </c>
      <c r="S1573" s="4">
        <f t="shared" si="100"/>
        <v>1.0529218591530321E-2</v>
      </c>
      <c r="T1573" s="4">
        <f t="shared" si="100"/>
        <v>7.0669382703869707E-3</v>
      </c>
      <c r="U1573" s="35"/>
      <c r="V1573" s="35"/>
      <c r="W1573" s="35"/>
      <c r="X1573" s="35"/>
    </row>
    <row r="1574" spans="4:24" x14ac:dyDescent="0.3">
      <c r="D1574" s="23">
        <v>41865</v>
      </c>
      <c r="E1574" s="5">
        <v>164.382462</v>
      </c>
      <c r="F1574" s="28">
        <v>63.27111</v>
      </c>
      <c r="G1574" s="28">
        <v>126.31</v>
      </c>
      <c r="H1574" s="28">
        <v>89.56953</v>
      </c>
      <c r="I1574" s="28">
        <v>85.246560000000002</v>
      </c>
      <c r="J1574" s="29"/>
      <c r="K1574" s="29"/>
      <c r="L1574" s="29"/>
      <c r="M1574" s="29"/>
      <c r="N1574" s="29"/>
      <c r="P1574" s="4">
        <f t="shared" si="100"/>
        <v>4.7108989867550464E-3</v>
      </c>
      <c r="Q1574" s="4">
        <f t="shared" si="100"/>
        <v>9.7200569793762866E-4</v>
      </c>
      <c r="R1574" s="4">
        <f t="shared" si="100"/>
        <v>8.7125267877098092E-4</v>
      </c>
      <c r="S1574" s="4">
        <f t="shared" si="100"/>
        <v>5.1719136103249514E-3</v>
      </c>
      <c r="T1574" s="4">
        <f t="shared" si="100"/>
        <v>4.3547461377128416E-3</v>
      </c>
      <c r="U1574" s="35"/>
      <c r="V1574" s="35"/>
      <c r="W1574" s="35"/>
      <c r="X1574" s="35"/>
    </row>
    <row r="1575" spans="4:24" x14ac:dyDescent="0.3">
      <c r="D1575" s="23">
        <v>41866</v>
      </c>
      <c r="E1575" s="5">
        <v>164.34884600000001</v>
      </c>
      <c r="F1575" s="28">
        <v>63.38646</v>
      </c>
      <c r="G1575" s="28">
        <v>125.48</v>
      </c>
      <c r="H1575" s="28">
        <v>90.00385</v>
      </c>
      <c r="I1575" s="28">
        <v>85.25497</v>
      </c>
      <c r="J1575" s="29"/>
      <c r="K1575" s="29"/>
      <c r="L1575" s="29"/>
      <c r="M1575" s="29"/>
      <c r="N1575" s="29"/>
      <c r="P1575" s="4">
        <f t="shared" si="100"/>
        <v>-2.0451961403787926E-4</v>
      </c>
      <c r="Q1575" s="4">
        <f t="shared" si="100"/>
        <v>1.8214471016789044E-3</v>
      </c>
      <c r="R1575" s="4">
        <f t="shared" si="100"/>
        <v>-6.5928194634065091E-3</v>
      </c>
      <c r="S1575" s="4">
        <f t="shared" si="100"/>
        <v>4.8372520123832995E-3</v>
      </c>
      <c r="T1575" s="4">
        <f t="shared" si="100"/>
        <v>9.8650141225350207E-5</v>
      </c>
      <c r="U1575" s="35"/>
      <c r="V1575" s="35"/>
      <c r="W1575" s="35"/>
      <c r="X1575" s="35"/>
    </row>
    <row r="1576" spans="4:24" x14ac:dyDescent="0.3">
      <c r="D1576" s="23">
        <v>41869</v>
      </c>
      <c r="E1576" s="5">
        <v>165.725967</v>
      </c>
      <c r="F1576" s="28">
        <v>63.255780000000001</v>
      </c>
      <c r="G1576" s="28">
        <v>124.96</v>
      </c>
      <c r="H1576" s="28">
        <v>90.696899999999999</v>
      </c>
      <c r="I1576" s="28">
        <v>86.021050000000002</v>
      </c>
      <c r="J1576" s="29"/>
      <c r="K1576" s="29"/>
      <c r="L1576" s="29"/>
      <c r="M1576" s="29"/>
      <c r="N1576" s="29"/>
      <c r="P1576" s="4">
        <f t="shared" si="100"/>
        <v>8.3443445926651184E-3</v>
      </c>
      <c r="Q1576" s="4">
        <f t="shared" si="100"/>
        <v>-2.0637671345985886E-3</v>
      </c>
      <c r="R1576" s="4">
        <f t="shared" si="100"/>
        <v>-4.1526972311016425E-3</v>
      </c>
      <c r="S1576" s="4">
        <f t="shared" si="100"/>
        <v>7.6707307330841296E-3</v>
      </c>
      <c r="T1576" s="4">
        <f t="shared" si="100"/>
        <v>8.9456201601719899E-3</v>
      </c>
      <c r="U1576" s="35"/>
      <c r="V1576" s="35"/>
      <c r="W1576" s="35"/>
      <c r="X1576" s="35"/>
    </row>
    <row r="1577" spans="4:24" x14ac:dyDescent="0.3">
      <c r="D1577" s="23">
        <v>41870</v>
      </c>
      <c r="E1577" s="5">
        <v>166.59082000000001</v>
      </c>
      <c r="F1577" s="28">
        <v>63.248080000000002</v>
      </c>
      <c r="G1577" s="28">
        <v>124.68</v>
      </c>
      <c r="H1577" s="28">
        <v>91.205119999999994</v>
      </c>
      <c r="I1577" s="28">
        <v>86.450410000000005</v>
      </c>
      <c r="J1577" s="29"/>
      <c r="K1577" s="29"/>
      <c r="L1577" s="29"/>
      <c r="M1577" s="29"/>
      <c r="N1577" s="29"/>
      <c r="P1577" s="4">
        <f t="shared" si="100"/>
        <v>5.2050030957541066E-3</v>
      </c>
      <c r="Q1577" s="4">
        <f t="shared" si="100"/>
        <v>-1.2173541597085891E-4</v>
      </c>
      <c r="R1577" s="4">
        <f t="shared" si="100"/>
        <v>-2.2432311922393556E-3</v>
      </c>
      <c r="S1577" s="4">
        <f t="shared" si="100"/>
        <v>5.5878579291683359E-3</v>
      </c>
      <c r="T1577" s="4">
        <f t="shared" si="100"/>
        <v>4.9789209991435565E-3</v>
      </c>
      <c r="U1577" s="35"/>
      <c r="V1577" s="35"/>
      <c r="W1577" s="35"/>
      <c r="X1577" s="35"/>
    </row>
    <row r="1578" spans="4:24" x14ac:dyDescent="0.3">
      <c r="D1578" s="23">
        <v>41871</v>
      </c>
      <c r="E1578" s="5">
        <v>167.035889</v>
      </c>
      <c r="F1578" s="28">
        <v>63.155830000000002</v>
      </c>
      <c r="G1578" s="28">
        <v>124.22</v>
      </c>
      <c r="H1578" s="28">
        <v>91.205119999999994</v>
      </c>
      <c r="I1578" s="28">
        <v>86.65249</v>
      </c>
      <c r="J1578" s="29"/>
      <c r="K1578" s="29"/>
      <c r="L1578" s="29"/>
      <c r="M1578" s="29"/>
      <c r="N1578" s="29"/>
      <c r="P1578" s="4">
        <f t="shared" si="100"/>
        <v>2.6680673460211441E-3</v>
      </c>
      <c r="Q1578" s="4">
        <f t="shared" si="100"/>
        <v>-1.4596070070594621E-3</v>
      </c>
      <c r="R1578" s="4">
        <f t="shared" si="100"/>
        <v>-3.6962677679794947E-3</v>
      </c>
      <c r="S1578" s="4">
        <f t="shared" si="100"/>
        <v>0</v>
      </c>
      <c r="T1578" s="4">
        <f t="shared" si="100"/>
        <v>2.3347973003283768E-3</v>
      </c>
      <c r="U1578" s="35"/>
      <c r="V1578" s="35"/>
      <c r="W1578" s="35"/>
      <c r="X1578" s="35"/>
    </row>
    <row r="1579" spans="4:24" x14ac:dyDescent="0.3">
      <c r="D1579" s="23">
        <v>41872</v>
      </c>
      <c r="E1579" s="5">
        <v>167.52293399999999</v>
      </c>
      <c r="F1579" s="28">
        <v>63.225000000000001</v>
      </c>
      <c r="G1579" s="28">
        <v>122.88</v>
      </c>
      <c r="H1579" s="28">
        <v>91.389920000000004</v>
      </c>
      <c r="I1579" s="28">
        <v>86.846109999999996</v>
      </c>
      <c r="J1579" s="29"/>
      <c r="K1579" s="29"/>
      <c r="L1579" s="29"/>
      <c r="M1579" s="29"/>
      <c r="N1579" s="29"/>
      <c r="P1579" s="4">
        <f t="shared" si="100"/>
        <v>2.911567775726388E-3</v>
      </c>
      <c r="Q1579" s="4">
        <f t="shared" si="100"/>
        <v>1.0946281474285525E-3</v>
      </c>
      <c r="R1579" s="4">
        <f t="shared" si="100"/>
        <v>-1.084591773179488E-2</v>
      </c>
      <c r="S1579" s="4">
        <f t="shared" si="100"/>
        <v>2.0241520590783689E-3</v>
      </c>
      <c r="T1579" s="4">
        <f t="shared" si="100"/>
        <v>2.2319497722528467E-3</v>
      </c>
      <c r="U1579" s="35"/>
      <c r="V1579" s="35"/>
      <c r="W1579" s="35"/>
      <c r="X1579" s="35"/>
    </row>
    <row r="1580" spans="4:24" x14ac:dyDescent="0.3">
      <c r="D1580" s="23">
        <v>41873</v>
      </c>
      <c r="E1580" s="5">
        <v>167.26260400000001</v>
      </c>
      <c r="F1580" s="28">
        <v>63.225000000000001</v>
      </c>
      <c r="G1580" s="28">
        <v>123.19</v>
      </c>
      <c r="H1580" s="28">
        <v>91.528530000000003</v>
      </c>
      <c r="I1580" s="28">
        <v>86.719819999999999</v>
      </c>
      <c r="J1580" s="29"/>
      <c r="K1580" s="29"/>
      <c r="L1580" s="29"/>
      <c r="M1580" s="29"/>
      <c r="N1580" s="29"/>
      <c r="P1580" s="4">
        <f t="shared" si="100"/>
        <v>-1.5552048874395276E-3</v>
      </c>
      <c r="Q1580" s="4">
        <f t="shared" si="100"/>
        <v>0</v>
      </c>
      <c r="R1580" s="4">
        <f t="shared" si="100"/>
        <v>2.5196095745206168E-3</v>
      </c>
      <c r="S1580" s="4">
        <f t="shared" si="100"/>
        <v>1.5155390451933662E-3</v>
      </c>
      <c r="T1580" s="4">
        <f t="shared" si="100"/>
        <v>-1.4552397730045854E-3</v>
      </c>
      <c r="U1580" s="35"/>
      <c r="V1580" s="35"/>
      <c r="W1580" s="35"/>
      <c r="X1580" s="35"/>
    </row>
    <row r="1581" spans="4:24" x14ac:dyDescent="0.3">
      <c r="D1581" s="23">
        <v>41876</v>
      </c>
      <c r="E1581" s="5">
        <v>168.11076399999999</v>
      </c>
      <c r="F1581" s="28">
        <v>63.248080000000002</v>
      </c>
      <c r="G1581" s="28">
        <v>122.74</v>
      </c>
      <c r="H1581" s="28">
        <v>91.851969999999994</v>
      </c>
      <c r="I1581" s="28">
        <v>87.174419999999998</v>
      </c>
      <c r="J1581" s="29"/>
      <c r="K1581" s="29"/>
      <c r="L1581" s="29"/>
      <c r="M1581" s="29"/>
      <c r="N1581" s="29"/>
      <c r="P1581" s="4">
        <f t="shared" si="100"/>
        <v>5.0580152699680418E-3</v>
      </c>
      <c r="Q1581" s="4">
        <f t="shared" si="100"/>
        <v>3.6497885963096929E-4</v>
      </c>
      <c r="R1581" s="4">
        <f t="shared" si="100"/>
        <v>-3.6595820129318628E-3</v>
      </c>
      <c r="S1581" s="4">
        <f t="shared" si="100"/>
        <v>3.527532484569842E-3</v>
      </c>
      <c r="T1581" s="4">
        <f t="shared" si="100"/>
        <v>5.2284772125311919E-3</v>
      </c>
      <c r="U1581" s="35"/>
      <c r="V1581" s="35"/>
      <c r="W1581" s="35"/>
      <c r="X1581" s="35"/>
    </row>
    <row r="1582" spans="4:24" x14ac:dyDescent="0.3">
      <c r="D1582" s="23">
        <v>41877</v>
      </c>
      <c r="E1582" s="5">
        <v>168.21998600000001</v>
      </c>
      <c r="F1582" s="28">
        <v>63.278849999999998</v>
      </c>
      <c r="G1582" s="28">
        <v>123.35</v>
      </c>
      <c r="H1582" s="28">
        <v>91.944339999999997</v>
      </c>
      <c r="I1582" s="28">
        <v>87.334370000000007</v>
      </c>
      <c r="J1582" s="29"/>
      <c r="K1582" s="29"/>
      <c r="L1582" s="29"/>
      <c r="M1582" s="29"/>
      <c r="N1582" s="29"/>
      <c r="P1582" s="4">
        <f t="shared" si="100"/>
        <v>6.4949163191002851E-4</v>
      </c>
      <c r="Q1582" s="4">
        <f t="shared" si="100"/>
        <v>4.8637868012103142E-4</v>
      </c>
      <c r="R1582" s="4">
        <f t="shared" si="100"/>
        <v>4.957546014414658E-3</v>
      </c>
      <c r="S1582" s="4">
        <f t="shared" si="100"/>
        <v>1.0051345184975988E-3</v>
      </c>
      <c r="T1582" s="4">
        <f t="shared" si="100"/>
        <v>1.8331459955874172E-3</v>
      </c>
      <c r="U1582" s="35"/>
      <c r="V1582" s="35"/>
      <c r="W1582" s="35"/>
      <c r="X1582" s="35"/>
    </row>
    <row r="1583" spans="4:24" x14ac:dyDescent="0.3">
      <c r="D1583" s="23">
        <v>41878</v>
      </c>
      <c r="E1583" s="5">
        <v>168.15273999999999</v>
      </c>
      <c r="F1583" s="28">
        <v>63.378709999999998</v>
      </c>
      <c r="G1583" s="28">
        <v>123.32</v>
      </c>
      <c r="H1583" s="28">
        <v>91.962829999999997</v>
      </c>
      <c r="I1583" s="28">
        <v>87.283850000000001</v>
      </c>
      <c r="J1583" s="29"/>
      <c r="K1583" s="29"/>
      <c r="L1583" s="29"/>
      <c r="M1583" s="29"/>
      <c r="N1583" s="29"/>
      <c r="P1583" s="4">
        <f t="shared" si="100"/>
        <v>-3.9983028169693509E-4</v>
      </c>
      <c r="Q1583" s="4">
        <f t="shared" si="100"/>
        <v>1.5768505360670105E-3</v>
      </c>
      <c r="R1583" s="4">
        <f t="shared" si="100"/>
        <v>-2.432399574160668E-4</v>
      </c>
      <c r="S1583" s="4">
        <f t="shared" si="100"/>
        <v>2.0107970844520143E-4</v>
      </c>
      <c r="T1583" s="4">
        <f t="shared" si="100"/>
        <v>-5.7863379216194449E-4</v>
      </c>
      <c r="U1583" s="35"/>
      <c r="V1583" s="35"/>
      <c r="W1583" s="35"/>
      <c r="X1583" s="35"/>
    </row>
    <row r="1584" spans="4:24" x14ac:dyDescent="0.3">
      <c r="D1584" s="23">
        <v>41879</v>
      </c>
      <c r="E1584" s="5">
        <v>168.06036399999999</v>
      </c>
      <c r="F1584" s="28">
        <v>63.463270000000001</v>
      </c>
      <c r="G1584" s="28">
        <v>124</v>
      </c>
      <c r="H1584" s="28">
        <v>91.86121</v>
      </c>
      <c r="I1584" s="28">
        <v>87.19126</v>
      </c>
      <c r="J1584" s="29"/>
      <c r="K1584" s="29"/>
      <c r="L1584" s="29"/>
      <c r="M1584" s="29"/>
      <c r="N1584" s="29"/>
      <c r="P1584" s="4">
        <f t="shared" si="100"/>
        <v>-5.4950863738189616E-4</v>
      </c>
      <c r="Q1584" s="4">
        <f t="shared" si="100"/>
        <v>1.3333127175564037E-3</v>
      </c>
      <c r="R1584" s="4">
        <f t="shared" si="100"/>
        <v>5.4989625870872404E-3</v>
      </c>
      <c r="S1584" s="4">
        <f t="shared" si="100"/>
        <v>-1.1056226416490827E-3</v>
      </c>
      <c r="T1584" s="4">
        <f t="shared" si="100"/>
        <v>-1.0613549255442201E-3</v>
      </c>
      <c r="U1584" s="35"/>
      <c r="V1584" s="35"/>
      <c r="W1584" s="35"/>
      <c r="X1584" s="35"/>
    </row>
    <row r="1585" spans="4:24" x14ac:dyDescent="0.3">
      <c r="D1585" s="23">
        <v>41880</v>
      </c>
      <c r="E1585" s="5">
        <v>168.53898599999999</v>
      </c>
      <c r="F1585" s="28">
        <v>63.463270000000001</v>
      </c>
      <c r="G1585" s="28">
        <v>123.86</v>
      </c>
      <c r="H1585" s="28">
        <v>92.203090000000003</v>
      </c>
      <c r="I1585" s="28">
        <v>87.45223</v>
      </c>
      <c r="J1585" s="29"/>
      <c r="K1585" s="29"/>
      <c r="L1585" s="29"/>
      <c r="M1585" s="29"/>
      <c r="N1585" s="29"/>
      <c r="P1585" s="4">
        <f t="shared" si="100"/>
        <v>2.8438695593143845E-3</v>
      </c>
      <c r="Q1585" s="4">
        <f t="shared" si="100"/>
        <v>0</v>
      </c>
      <c r="R1585" s="4">
        <f t="shared" si="100"/>
        <v>-1.1296700951219697E-3</v>
      </c>
      <c r="S1585" s="4">
        <f t="shared" si="100"/>
        <v>3.714793071258425E-3</v>
      </c>
      <c r="T1585" s="4">
        <f t="shared" si="100"/>
        <v>2.9886048915239781E-3</v>
      </c>
      <c r="U1585" s="35"/>
      <c r="V1585" s="35"/>
      <c r="W1585" s="35"/>
      <c r="X1585" s="35"/>
    </row>
    <row r="1586" spans="4:24" x14ac:dyDescent="0.3">
      <c r="D1586" s="23">
        <v>41884</v>
      </c>
      <c r="E1586" s="5">
        <v>168.45507799999999</v>
      </c>
      <c r="F1586" s="28">
        <v>63.246830000000003</v>
      </c>
      <c r="G1586" s="28">
        <v>121.65</v>
      </c>
      <c r="H1586" s="28">
        <v>92.471069999999997</v>
      </c>
      <c r="I1586" s="28">
        <v>87.519559999999998</v>
      </c>
      <c r="J1586" s="29"/>
      <c r="K1586" s="29"/>
      <c r="L1586" s="29"/>
      <c r="M1586" s="29"/>
      <c r="N1586" s="29"/>
      <c r="P1586" s="4">
        <f t="shared" si="100"/>
        <v>-4.9797910822539334E-4</v>
      </c>
      <c r="Q1586" s="4">
        <f t="shared" si="100"/>
        <v>-3.4163055748276457E-3</v>
      </c>
      <c r="R1586" s="4">
        <f t="shared" si="100"/>
        <v>-1.8003826280383214E-2</v>
      </c>
      <c r="S1586" s="4">
        <f t="shared" si="100"/>
        <v>2.9021947422818275E-3</v>
      </c>
      <c r="T1586" s="4">
        <f t="shared" si="100"/>
        <v>7.696098133680425E-4</v>
      </c>
      <c r="U1586" s="35"/>
      <c r="V1586" s="35"/>
      <c r="W1586" s="35"/>
      <c r="X1586" s="35"/>
    </row>
    <row r="1587" spans="4:24" x14ac:dyDescent="0.3">
      <c r="D1587" s="23">
        <v>41885</v>
      </c>
      <c r="E1587" s="5">
        <v>168.36264</v>
      </c>
      <c r="F1587" s="28">
        <v>63.354680000000002</v>
      </c>
      <c r="G1587" s="28">
        <v>122.15</v>
      </c>
      <c r="H1587" s="28">
        <v>91.925880000000006</v>
      </c>
      <c r="I1587" s="28">
        <v>87.426969999999997</v>
      </c>
      <c r="J1587" s="29"/>
      <c r="K1587" s="29"/>
      <c r="L1587" s="29"/>
      <c r="M1587" s="29"/>
      <c r="N1587" s="29"/>
      <c r="P1587" s="4">
        <f t="shared" si="100"/>
        <v>-5.4889037827163224E-4</v>
      </c>
      <c r="Q1587" s="4">
        <f t="shared" si="100"/>
        <v>1.7037715599007833E-3</v>
      </c>
      <c r="R1587" s="4">
        <f t="shared" si="100"/>
        <v>4.101728474217874E-3</v>
      </c>
      <c r="S1587" s="4">
        <f t="shared" si="100"/>
        <v>-5.9132386800287134E-3</v>
      </c>
      <c r="T1587" s="4">
        <f t="shared" si="100"/>
        <v>-1.0584949429395462E-3</v>
      </c>
      <c r="U1587" s="35"/>
      <c r="V1587" s="35"/>
      <c r="W1587" s="35"/>
      <c r="X1587" s="35"/>
    </row>
    <row r="1588" spans="4:24" x14ac:dyDescent="0.3">
      <c r="D1588" s="23">
        <v>41886</v>
      </c>
      <c r="E1588" s="5">
        <v>168.11911000000001</v>
      </c>
      <c r="F1588" s="28">
        <v>63.246830000000003</v>
      </c>
      <c r="G1588" s="28">
        <v>121.48</v>
      </c>
      <c r="H1588" s="28">
        <v>91.842699999999994</v>
      </c>
      <c r="I1588" s="28">
        <v>87.241749999999996</v>
      </c>
      <c r="J1588" s="29"/>
      <c r="K1588" s="29"/>
      <c r="L1588" s="29"/>
      <c r="M1588" s="29"/>
      <c r="N1588" s="29"/>
      <c r="P1588" s="4">
        <f t="shared" si="100"/>
        <v>-1.4475081785086464E-3</v>
      </c>
      <c r="Q1588" s="4">
        <f t="shared" si="100"/>
        <v>-1.7037715599008594E-3</v>
      </c>
      <c r="R1588" s="4">
        <f t="shared" si="100"/>
        <v>-5.500157526201423E-3</v>
      </c>
      <c r="S1588" s="4">
        <f t="shared" si="100"/>
        <v>-9.0526906918029593E-4</v>
      </c>
      <c r="T1588" s="4">
        <f t="shared" si="100"/>
        <v>-2.1208155578680307E-3</v>
      </c>
      <c r="U1588" s="35"/>
      <c r="V1588" s="35"/>
      <c r="W1588" s="35"/>
      <c r="X1588" s="35"/>
    </row>
    <row r="1589" spans="4:24" x14ac:dyDescent="0.3">
      <c r="D1589" s="23">
        <v>41887</v>
      </c>
      <c r="E1589" s="5">
        <v>168.874908</v>
      </c>
      <c r="F1589" s="28">
        <v>63.223739999999999</v>
      </c>
      <c r="G1589" s="28">
        <v>122.06</v>
      </c>
      <c r="H1589" s="28">
        <v>92.304760000000002</v>
      </c>
      <c r="I1589" s="28">
        <v>87.645840000000007</v>
      </c>
      <c r="J1589" s="29"/>
      <c r="K1589" s="29"/>
      <c r="L1589" s="29"/>
      <c r="M1589" s="29"/>
      <c r="N1589" s="29"/>
      <c r="P1589" s="4">
        <f t="shared" ref="P1589:T1604" si="101">LN(E1589/E1588)</f>
        <v>4.4855352134026832E-3</v>
      </c>
      <c r="Q1589" s="4">
        <f t="shared" si="101"/>
        <v>-3.6514424275231204E-4</v>
      </c>
      <c r="R1589" s="4">
        <f t="shared" si="101"/>
        <v>4.7630869388009724E-3</v>
      </c>
      <c r="S1589" s="4">
        <f t="shared" si="101"/>
        <v>5.0183800494977039E-3</v>
      </c>
      <c r="T1589" s="4">
        <f t="shared" si="101"/>
        <v>4.6211480084079257E-3</v>
      </c>
      <c r="U1589" s="35"/>
      <c r="V1589" s="35"/>
      <c r="W1589" s="35"/>
      <c r="X1589" s="35"/>
    </row>
    <row r="1590" spans="4:24" x14ac:dyDescent="0.3">
      <c r="D1590" s="23">
        <v>41890</v>
      </c>
      <c r="E1590" s="5">
        <v>168.43821700000001</v>
      </c>
      <c r="F1590" s="28">
        <v>63.177480000000003</v>
      </c>
      <c r="G1590" s="28">
        <v>120.73</v>
      </c>
      <c r="H1590" s="28">
        <v>92.480329999999995</v>
      </c>
      <c r="I1590" s="28">
        <v>87.469059999999999</v>
      </c>
      <c r="J1590" s="29"/>
      <c r="K1590" s="29"/>
      <c r="L1590" s="29"/>
      <c r="M1590" s="29"/>
      <c r="N1590" s="29"/>
      <c r="P1590" s="4">
        <f t="shared" si="101"/>
        <v>-2.5892336325154335E-3</v>
      </c>
      <c r="Q1590" s="4">
        <f t="shared" si="101"/>
        <v>-7.3195499324053414E-4</v>
      </c>
      <c r="R1590" s="4">
        <f t="shared" si="101"/>
        <v>-1.095607977205286E-2</v>
      </c>
      <c r="S1590" s="4">
        <f t="shared" si="101"/>
        <v>1.9002621134840835E-3</v>
      </c>
      <c r="T1590" s="4">
        <f t="shared" si="101"/>
        <v>-2.0190179139828513E-3</v>
      </c>
      <c r="U1590" s="35"/>
      <c r="V1590" s="35"/>
      <c r="W1590" s="35"/>
      <c r="X1590" s="35"/>
    </row>
    <row r="1591" spans="4:24" x14ac:dyDescent="0.3">
      <c r="D1591" s="23">
        <v>41891</v>
      </c>
      <c r="E1591" s="5">
        <v>167.37181100000001</v>
      </c>
      <c r="F1591" s="28">
        <v>63.069690000000001</v>
      </c>
      <c r="G1591" s="28">
        <v>120.87</v>
      </c>
      <c r="H1591" s="28">
        <v>91.713359999999994</v>
      </c>
      <c r="I1591" s="28">
        <v>86.854519999999994</v>
      </c>
      <c r="J1591" s="29"/>
      <c r="K1591" s="29"/>
      <c r="L1591" s="29"/>
      <c r="M1591" s="29"/>
      <c r="N1591" s="29"/>
      <c r="P1591" s="4">
        <f t="shared" si="101"/>
        <v>-6.3512670608757696E-3</v>
      </c>
      <c r="Q1591" s="4">
        <f t="shared" si="101"/>
        <v>-1.7076030487201744E-3</v>
      </c>
      <c r="R1591" s="4">
        <f t="shared" si="101"/>
        <v>1.1589405270695397E-3</v>
      </c>
      <c r="S1591" s="4">
        <f t="shared" si="101"/>
        <v>-8.3279121310365148E-3</v>
      </c>
      <c r="T1591" s="4">
        <f t="shared" si="101"/>
        <v>-7.0505957458647179E-3</v>
      </c>
      <c r="U1591" s="35"/>
      <c r="V1591" s="35"/>
      <c r="W1591" s="35"/>
      <c r="X1591" s="35"/>
    </row>
    <row r="1592" spans="4:24" x14ac:dyDescent="0.3">
      <c r="D1592" s="23">
        <v>41892</v>
      </c>
      <c r="E1592" s="5">
        <v>168.001633</v>
      </c>
      <c r="F1592" s="28">
        <v>62.954180000000001</v>
      </c>
      <c r="G1592" s="28">
        <v>120.26</v>
      </c>
      <c r="H1592" s="28">
        <v>92.471069999999997</v>
      </c>
      <c r="I1592" s="28">
        <v>87.182820000000007</v>
      </c>
      <c r="J1592" s="29"/>
      <c r="K1592" s="29"/>
      <c r="L1592" s="29"/>
      <c r="M1592" s="29"/>
      <c r="N1592" s="29"/>
      <c r="P1592" s="4">
        <f t="shared" si="101"/>
        <v>3.7559487889327983E-3</v>
      </c>
      <c r="Q1592" s="4">
        <f t="shared" si="101"/>
        <v>-1.8331452977417E-3</v>
      </c>
      <c r="R1592" s="4">
        <f t="shared" si="101"/>
        <v>-5.0595222599429139E-3</v>
      </c>
      <c r="S1592" s="4">
        <f t="shared" si="101"/>
        <v>8.2277777172635892E-3</v>
      </c>
      <c r="T1592" s="4">
        <f t="shared" si="101"/>
        <v>3.7727580691628805E-3</v>
      </c>
      <c r="U1592" s="35"/>
      <c r="V1592" s="35"/>
      <c r="W1592" s="35"/>
      <c r="X1592" s="35"/>
    </row>
    <row r="1593" spans="4:24" x14ac:dyDescent="0.3">
      <c r="D1593" s="23">
        <v>41893</v>
      </c>
      <c r="E1593" s="5">
        <v>168.19473300000001</v>
      </c>
      <c r="F1593" s="28">
        <v>62.907969999999999</v>
      </c>
      <c r="G1593" s="28">
        <v>119.47</v>
      </c>
      <c r="H1593" s="28">
        <v>92.39716</v>
      </c>
      <c r="I1593" s="28">
        <v>87.342789999999994</v>
      </c>
      <c r="J1593" s="29"/>
      <c r="K1593" s="29"/>
      <c r="L1593" s="29"/>
      <c r="M1593" s="29"/>
      <c r="N1593" s="29"/>
      <c r="P1593" s="4">
        <f t="shared" si="101"/>
        <v>1.1487335424345106E-3</v>
      </c>
      <c r="Q1593" s="4">
        <f t="shared" si="101"/>
        <v>-7.3429545063921338E-4</v>
      </c>
      <c r="R1593" s="4">
        <f t="shared" si="101"/>
        <v>-6.5907717822902704E-3</v>
      </c>
      <c r="S1593" s="4">
        <f t="shared" si="101"/>
        <v>-7.9959659848408973E-4</v>
      </c>
      <c r="T1593" s="4">
        <f t="shared" si="101"/>
        <v>1.8331985179687838E-3</v>
      </c>
      <c r="U1593" s="35"/>
      <c r="V1593" s="35"/>
      <c r="W1593" s="35"/>
      <c r="X1593" s="35"/>
    </row>
    <row r="1594" spans="4:24" x14ac:dyDescent="0.3">
      <c r="D1594" s="23">
        <v>41894</v>
      </c>
      <c r="E1594" s="5">
        <v>167.212265</v>
      </c>
      <c r="F1594" s="28">
        <v>62.807830000000003</v>
      </c>
      <c r="G1594" s="28">
        <v>118.38</v>
      </c>
      <c r="H1594" s="28">
        <v>91.925880000000006</v>
      </c>
      <c r="I1594" s="28">
        <v>86.778750000000002</v>
      </c>
      <c r="J1594" s="29"/>
      <c r="K1594" s="29"/>
      <c r="L1594" s="29"/>
      <c r="M1594" s="29"/>
      <c r="N1594" s="29"/>
      <c r="P1594" s="4">
        <f t="shared" si="101"/>
        <v>-5.8583799131540579E-3</v>
      </c>
      <c r="Q1594" s="4">
        <f t="shared" si="101"/>
        <v>-1.5931175107632288E-3</v>
      </c>
      <c r="R1594" s="4">
        <f t="shared" si="101"/>
        <v>-9.1655045665534583E-3</v>
      </c>
      <c r="S1594" s="4">
        <f t="shared" si="101"/>
        <v>-5.1136420815445609E-3</v>
      </c>
      <c r="T1594" s="4">
        <f t="shared" si="101"/>
        <v>-6.4787156477604498E-3</v>
      </c>
      <c r="U1594" s="35"/>
      <c r="V1594" s="35"/>
      <c r="W1594" s="35"/>
      <c r="X1594" s="35"/>
    </row>
    <row r="1595" spans="4:24" x14ac:dyDescent="0.3">
      <c r="D1595" s="23">
        <v>41897</v>
      </c>
      <c r="E1595" s="5">
        <v>167.086288</v>
      </c>
      <c r="F1595" s="28">
        <v>62.838650000000001</v>
      </c>
      <c r="G1595" s="28">
        <v>118.64</v>
      </c>
      <c r="H1595" s="28">
        <v>91.03877</v>
      </c>
      <c r="I1595" s="28">
        <v>86.551450000000003</v>
      </c>
      <c r="J1595" s="29"/>
      <c r="K1595" s="29"/>
      <c r="L1595" s="29"/>
      <c r="M1595" s="29"/>
      <c r="N1595" s="29"/>
      <c r="P1595" s="4">
        <f t="shared" si="101"/>
        <v>-7.536796365568896E-4</v>
      </c>
      <c r="Q1595" s="4">
        <f t="shared" si="101"/>
        <v>4.9058279417172387E-4</v>
      </c>
      <c r="R1595" s="4">
        <f t="shared" si="101"/>
        <v>2.1939085670976931E-3</v>
      </c>
      <c r="S1595" s="4">
        <f t="shared" si="101"/>
        <v>-9.6971404210625459E-3</v>
      </c>
      <c r="T1595" s="4">
        <f t="shared" si="101"/>
        <v>-2.6227412221918748E-3</v>
      </c>
      <c r="U1595" s="35"/>
      <c r="V1595" s="35"/>
      <c r="W1595" s="35"/>
      <c r="X1595" s="35"/>
    </row>
    <row r="1596" spans="4:24" x14ac:dyDescent="0.3">
      <c r="D1596" s="23">
        <v>41898</v>
      </c>
      <c r="E1596" s="5">
        <v>168.34588600000001</v>
      </c>
      <c r="F1596" s="28">
        <v>62.815530000000003</v>
      </c>
      <c r="G1596" s="28">
        <v>118.83</v>
      </c>
      <c r="H1596" s="28">
        <v>91.833479999999994</v>
      </c>
      <c r="I1596" s="28">
        <v>87.165989999999994</v>
      </c>
      <c r="J1596" s="29"/>
      <c r="K1596" s="29"/>
      <c r="L1596" s="29"/>
      <c r="M1596" s="29"/>
      <c r="N1596" s="29"/>
      <c r="P1596" s="4">
        <f t="shared" si="101"/>
        <v>7.5103345372170222E-3</v>
      </c>
      <c r="Q1596" s="4">
        <f t="shared" si="101"/>
        <v>-3.6799412898018001E-4</v>
      </c>
      <c r="R1596" s="4">
        <f t="shared" si="101"/>
        <v>1.6002024722582961E-3</v>
      </c>
      <c r="S1596" s="4">
        <f t="shared" si="101"/>
        <v>8.6914772778356672E-3</v>
      </c>
      <c r="T1596" s="4">
        <f t="shared" si="101"/>
        <v>7.0751970967642365E-3</v>
      </c>
      <c r="U1596" s="35"/>
      <c r="V1596" s="35"/>
      <c r="W1596" s="35"/>
      <c r="X1596" s="35"/>
    </row>
    <row r="1597" spans="4:24" x14ac:dyDescent="0.3">
      <c r="D1597" s="23">
        <v>41899</v>
      </c>
      <c r="E1597" s="5">
        <v>168.57260099999999</v>
      </c>
      <c r="F1597" s="28">
        <v>62.73854</v>
      </c>
      <c r="G1597" s="28">
        <v>117.54</v>
      </c>
      <c r="H1597" s="28">
        <v>91.972089999999994</v>
      </c>
      <c r="I1597" s="28">
        <v>87.258610000000004</v>
      </c>
      <c r="J1597" s="29"/>
      <c r="K1597" s="29"/>
      <c r="L1597" s="29"/>
      <c r="M1597" s="29"/>
      <c r="N1597" s="29"/>
      <c r="P1597" s="4">
        <f t="shared" si="101"/>
        <v>1.3458153409029443E-3</v>
      </c>
      <c r="Q1597" s="4">
        <f t="shared" si="101"/>
        <v>-1.226404044884295E-3</v>
      </c>
      <c r="R1597" s="4">
        <f t="shared" si="101"/>
        <v>-1.0915199117430475E-2</v>
      </c>
      <c r="S1597" s="4">
        <f t="shared" si="101"/>
        <v>1.5082244381946913E-3</v>
      </c>
      <c r="T1597" s="4">
        <f t="shared" si="101"/>
        <v>1.0620062617909419E-3</v>
      </c>
      <c r="U1597" s="35"/>
      <c r="V1597" s="35"/>
      <c r="W1597" s="35"/>
      <c r="X1597" s="35"/>
    </row>
    <row r="1598" spans="4:24" x14ac:dyDescent="0.3">
      <c r="D1598" s="23">
        <v>41900</v>
      </c>
      <c r="E1598" s="5">
        <v>169.471146</v>
      </c>
      <c r="F1598" s="28">
        <v>62.746259999999999</v>
      </c>
      <c r="G1598" s="28">
        <v>117.78</v>
      </c>
      <c r="H1598" s="28">
        <v>92.665130000000005</v>
      </c>
      <c r="I1598" s="28">
        <v>87.704769999999996</v>
      </c>
      <c r="J1598" s="29"/>
      <c r="K1598" s="29"/>
      <c r="L1598" s="29"/>
      <c r="M1598" s="29"/>
      <c r="N1598" s="29"/>
      <c r="P1598" s="4">
        <f t="shared" si="101"/>
        <v>5.3161587762670971E-3</v>
      </c>
      <c r="Q1598" s="4">
        <f t="shared" si="101"/>
        <v>1.2304279099516834E-4</v>
      </c>
      <c r="R1598" s="4">
        <f t="shared" si="101"/>
        <v>2.0397763319201746E-3</v>
      </c>
      <c r="S1598" s="4">
        <f t="shared" si="101"/>
        <v>7.5070806932519794E-3</v>
      </c>
      <c r="T1598" s="4">
        <f t="shared" si="101"/>
        <v>5.100049702631817E-3</v>
      </c>
      <c r="U1598" s="35"/>
      <c r="V1598" s="35"/>
      <c r="W1598" s="35"/>
      <c r="X1598" s="35"/>
    </row>
    <row r="1599" spans="4:24" x14ac:dyDescent="0.3">
      <c r="D1599" s="23">
        <v>41901</v>
      </c>
      <c r="E1599" s="5">
        <v>169.318375</v>
      </c>
      <c r="F1599" s="28">
        <v>62.877160000000003</v>
      </c>
      <c r="G1599" s="28">
        <v>117.09</v>
      </c>
      <c r="H1599" s="28">
        <v>92.60772</v>
      </c>
      <c r="I1599" s="28">
        <v>87.536429999999996</v>
      </c>
      <c r="J1599" s="29"/>
      <c r="K1599" s="29"/>
      <c r="L1599" s="29"/>
      <c r="M1599" s="29"/>
      <c r="N1599" s="29"/>
      <c r="P1599" s="4">
        <f t="shared" si="101"/>
        <v>-9.0186384693283239E-4</v>
      </c>
      <c r="Q1599" s="4">
        <f t="shared" si="101"/>
        <v>2.0840070645396832E-3</v>
      </c>
      <c r="R1599" s="4">
        <f t="shared" si="101"/>
        <v>-5.8756076557914382E-3</v>
      </c>
      <c r="S1599" s="4">
        <f t="shared" si="101"/>
        <v>-6.1973464366167966E-4</v>
      </c>
      <c r="T1599" s="4">
        <f t="shared" si="101"/>
        <v>-1.921238290776094E-3</v>
      </c>
      <c r="U1599" s="35"/>
      <c r="V1599" s="35"/>
      <c r="W1599" s="35"/>
      <c r="X1599" s="35"/>
    </row>
    <row r="1600" spans="4:24" x14ac:dyDescent="0.3">
      <c r="D1600" s="23">
        <v>41904</v>
      </c>
      <c r="E1600" s="5">
        <v>168.010727</v>
      </c>
      <c r="F1600" s="28">
        <v>62.954180000000001</v>
      </c>
      <c r="G1600" s="28">
        <v>116.85</v>
      </c>
      <c r="H1600" s="28">
        <v>91.746290000000002</v>
      </c>
      <c r="I1600" s="28">
        <v>86.728229999999996</v>
      </c>
      <c r="J1600" s="29"/>
      <c r="K1600" s="29"/>
      <c r="L1600" s="29"/>
      <c r="M1600" s="29"/>
      <c r="N1600" s="29"/>
      <c r="P1600" s="4">
        <f t="shared" si="101"/>
        <v>-7.7529898389558979E-3</v>
      </c>
      <c r="Q1600" s="4">
        <f t="shared" si="101"/>
        <v>1.2241784855600588E-3</v>
      </c>
      <c r="R1600" s="4">
        <f t="shared" si="101"/>
        <v>-2.051808875766357E-3</v>
      </c>
      <c r="S1600" s="4">
        <f t="shared" si="101"/>
        <v>-9.3454573577363229E-3</v>
      </c>
      <c r="T1600" s="4">
        <f t="shared" si="101"/>
        <v>-9.2756132492235015E-3</v>
      </c>
      <c r="U1600" s="35"/>
      <c r="V1600" s="35"/>
      <c r="W1600" s="35"/>
      <c r="X1600" s="35"/>
    </row>
    <row r="1601" spans="4:24" x14ac:dyDescent="0.3">
      <c r="D1601" s="23">
        <v>41905</v>
      </c>
      <c r="E1601" s="5">
        <v>167.04901100000001</v>
      </c>
      <c r="F1601" s="28">
        <v>62.984990000000003</v>
      </c>
      <c r="G1601" s="28">
        <v>117.6</v>
      </c>
      <c r="H1601" s="28">
        <v>91.496189999999999</v>
      </c>
      <c r="I1601" s="28">
        <v>86.172600000000003</v>
      </c>
      <c r="J1601" s="29"/>
      <c r="K1601" s="29"/>
      <c r="L1601" s="29"/>
      <c r="M1601" s="29"/>
      <c r="N1601" s="29"/>
      <c r="P1601" s="4">
        <f t="shared" si="101"/>
        <v>-5.7405801532133954E-3</v>
      </c>
      <c r="Q1601" s="4">
        <f t="shared" si="101"/>
        <v>4.892838441710502E-4</v>
      </c>
      <c r="R1601" s="4">
        <f t="shared" si="101"/>
        <v>6.3979744796596365E-3</v>
      </c>
      <c r="S1601" s="4">
        <f t="shared" si="101"/>
        <v>-2.7297180795496649E-3</v>
      </c>
      <c r="T1601" s="4">
        <f t="shared" si="101"/>
        <v>-6.4271746143601356E-3</v>
      </c>
      <c r="U1601" s="35"/>
      <c r="V1601" s="35"/>
      <c r="W1601" s="35"/>
      <c r="X1601" s="35"/>
    </row>
    <row r="1602" spans="4:24" x14ac:dyDescent="0.3">
      <c r="D1602" s="23">
        <v>41906</v>
      </c>
      <c r="E1602" s="5">
        <v>168.35661300000001</v>
      </c>
      <c r="F1602" s="28">
        <v>62.946460000000002</v>
      </c>
      <c r="G1602" s="28">
        <v>117.05</v>
      </c>
      <c r="H1602" s="28">
        <v>92.477999999999994</v>
      </c>
      <c r="I1602" s="28">
        <v>86.844930000000005</v>
      </c>
      <c r="J1602" s="29"/>
      <c r="K1602" s="29"/>
      <c r="L1602" s="29"/>
      <c r="M1602" s="29"/>
      <c r="N1602" s="29"/>
      <c r="P1602" s="4">
        <f t="shared" si="101"/>
        <v>7.797177692755162E-3</v>
      </c>
      <c r="Q1602" s="4">
        <f t="shared" si="101"/>
        <v>-6.1192023441779936E-4</v>
      </c>
      <c r="R1602" s="4">
        <f t="shared" si="101"/>
        <v>-4.6878415276067091E-3</v>
      </c>
      <c r="S1602" s="4">
        <f t="shared" si="101"/>
        <v>1.0673446322365924E-2</v>
      </c>
      <c r="T1602" s="4">
        <f t="shared" si="101"/>
        <v>7.771852761423538E-3</v>
      </c>
      <c r="U1602" s="35"/>
      <c r="V1602" s="35"/>
      <c r="W1602" s="35"/>
      <c r="X1602" s="35"/>
    </row>
    <row r="1603" spans="4:24" x14ac:dyDescent="0.3">
      <c r="D1603" s="23">
        <v>41907</v>
      </c>
      <c r="E1603" s="5">
        <v>165.64009100000001</v>
      </c>
      <c r="F1603" s="28">
        <v>63.100520000000003</v>
      </c>
      <c r="G1603" s="28">
        <v>117.39</v>
      </c>
      <c r="H1603" s="28">
        <v>90.532849999999996</v>
      </c>
      <c r="I1603" s="28">
        <v>85.483369999999994</v>
      </c>
      <c r="J1603" s="29"/>
      <c r="K1603" s="29"/>
      <c r="L1603" s="29"/>
      <c r="M1603" s="29"/>
      <c r="N1603" s="29"/>
      <c r="P1603" s="4">
        <f t="shared" si="101"/>
        <v>-1.6267118033454018E-2</v>
      </c>
      <c r="Q1603" s="4">
        <f t="shared" si="101"/>
        <v>2.4444865988164704E-3</v>
      </c>
      <c r="R1603" s="4">
        <f t="shared" si="101"/>
        <v>2.9005309535110402E-3</v>
      </c>
      <c r="S1603" s="4">
        <f t="shared" si="101"/>
        <v>-2.125801012388898E-2</v>
      </c>
      <c r="T1603" s="4">
        <f t="shared" si="101"/>
        <v>-1.5802260371321892E-2</v>
      </c>
      <c r="U1603" s="35"/>
      <c r="V1603" s="35"/>
      <c r="W1603" s="35"/>
      <c r="X1603" s="35"/>
    </row>
    <row r="1604" spans="4:24" x14ac:dyDescent="0.3">
      <c r="D1604" s="23">
        <v>41908</v>
      </c>
      <c r="E1604" s="5">
        <v>166.95622299999999</v>
      </c>
      <c r="F1604" s="28">
        <v>63.038899999999998</v>
      </c>
      <c r="G1604" s="28">
        <v>117.06</v>
      </c>
      <c r="H1604" s="28">
        <v>91.496189999999999</v>
      </c>
      <c r="I1604" s="28">
        <v>86.176850000000002</v>
      </c>
      <c r="J1604" s="29"/>
      <c r="K1604" s="29"/>
      <c r="L1604" s="29"/>
      <c r="M1604" s="29"/>
      <c r="N1604" s="29"/>
      <c r="P1604" s="4">
        <f t="shared" si="101"/>
        <v>7.9143322666829531E-3</v>
      </c>
      <c r="Q1604" s="4">
        <f t="shared" si="101"/>
        <v>-9.7701424188658239E-4</v>
      </c>
      <c r="R1604" s="4">
        <f t="shared" si="101"/>
        <v>-2.8151010273559625E-3</v>
      </c>
      <c r="S1604" s="4">
        <f t="shared" si="101"/>
        <v>1.0584563801523016E-2</v>
      </c>
      <c r="T1604" s="4">
        <f t="shared" si="101"/>
        <v>8.0797260150440066E-3</v>
      </c>
      <c r="U1604" s="35"/>
      <c r="V1604" s="35"/>
      <c r="W1604" s="35"/>
      <c r="X1604" s="35"/>
    </row>
    <row r="1605" spans="4:24" x14ac:dyDescent="0.3">
      <c r="D1605" s="23">
        <v>41911</v>
      </c>
      <c r="E1605" s="5">
        <v>166.65245100000001</v>
      </c>
      <c r="F1605" s="28">
        <v>63.11589</v>
      </c>
      <c r="G1605" s="28">
        <v>117.03</v>
      </c>
      <c r="H1605" s="28">
        <v>91.375770000000003</v>
      </c>
      <c r="I1605" s="28">
        <v>86.024600000000007</v>
      </c>
      <c r="J1605" s="29"/>
      <c r="K1605" s="29"/>
      <c r="L1605" s="29"/>
      <c r="M1605" s="29"/>
      <c r="N1605" s="29"/>
      <c r="P1605" s="4">
        <f t="shared" ref="P1605:T1620" si="102">LN(E1605/E1604)</f>
        <v>-1.821128211763233E-3</v>
      </c>
      <c r="Q1605" s="4">
        <f t="shared" si="102"/>
        <v>1.2205641903595453E-3</v>
      </c>
      <c r="R1605" s="4">
        <f t="shared" si="102"/>
        <v>-2.5631167640006498E-4</v>
      </c>
      <c r="S1605" s="4">
        <f t="shared" si="102"/>
        <v>-1.3169872232490726E-3</v>
      </c>
      <c r="T1605" s="4">
        <f t="shared" si="102"/>
        <v>-1.7682782540026812E-3</v>
      </c>
      <c r="U1605" s="35"/>
      <c r="V1605" s="35"/>
      <c r="W1605" s="35"/>
      <c r="X1605" s="35"/>
    </row>
    <row r="1606" spans="4:24" x14ac:dyDescent="0.3">
      <c r="D1606" s="23">
        <v>41912</v>
      </c>
      <c r="E1606" s="5">
        <v>166.21379099999999</v>
      </c>
      <c r="F1606" s="28">
        <v>63.100520000000003</v>
      </c>
      <c r="G1606" s="28">
        <v>116.21</v>
      </c>
      <c r="H1606" s="28">
        <v>91.505470000000003</v>
      </c>
      <c r="I1606" s="28">
        <v>85.618679999999998</v>
      </c>
      <c r="J1606" s="29"/>
      <c r="K1606" s="29"/>
      <c r="L1606" s="29"/>
      <c r="M1606" s="29"/>
      <c r="N1606" s="29"/>
      <c r="P1606" s="4">
        <f t="shared" si="102"/>
        <v>-2.6356547981561131E-3</v>
      </c>
      <c r="Q1606" s="4">
        <f t="shared" si="102"/>
        <v>-2.4354994847298119E-4</v>
      </c>
      <c r="R1606" s="4">
        <f t="shared" si="102"/>
        <v>-7.0314129518926106E-3</v>
      </c>
      <c r="S1606" s="4">
        <f t="shared" si="102"/>
        <v>1.4184070683800924E-3</v>
      </c>
      <c r="T1606" s="4">
        <f t="shared" si="102"/>
        <v>-4.7298182223293565E-3</v>
      </c>
      <c r="U1606" s="35"/>
      <c r="V1606" s="35"/>
      <c r="W1606" s="35"/>
      <c r="X1606" s="35"/>
    </row>
    <row r="1607" spans="4:24" x14ac:dyDescent="0.3">
      <c r="D1607" s="23">
        <v>41913</v>
      </c>
      <c r="E1607" s="5">
        <v>163.96127300000001</v>
      </c>
      <c r="F1607" s="28">
        <v>63.371409999999997</v>
      </c>
      <c r="G1607" s="28">
        <v>116.77</v>
      </c>
      <c r="H1607" s="28">
        <v>90.041979999999995</v>
      </c>
      <c r="I1607" s="28">
        <v>84.493880000000004</v>
      </c>
      <c r="J1607" s="29"/>
      <c r="K1607" s="29"/>
      <c r="L1607" s="29"/>
      <c r="M1607" s="29"/>
      <c r="N1607" s="29"/>
      <c r="P1607" s="4">
        <f t="shared" si="102"/>
        <v>-1.3644597623387305E-2</v>
      </c>
      <c r="Q1607" s="4">
        <f t="shared" si="102"/>
        <v>4.2838029633558801E-3</v>
      </c>
      <c r="R1607" s="4">
        <f t="shared" si="102"/>
        <v>4.8072888528412619E-3</v>
      </c>
      <c r="S1607" s="4">
        <f t="shared" si="102"/>
        <v>-1.6122745892086825E-2</v>
      </c>
      <c r="T1607" s="4">
        <f t="shared" si="102"/>
        <v>-1.3224377934569726E-2</v>
      </c>
      <c r="U1607" s="35"/>
      <c r="V1607" s="35"/>
      <c r="W1607" s="35"/>
      <c r="X1607" s="35"/>
    </row>
    <row r="1608" spans="4:24" x14ac:dyDescent="0.3">
      <c r="D1608" s="23">
        <v>41914</v>
      </c>
      <c r="E1608" s="5">
        <v>163.986603</v>
      </c>
      <c r="F1608" s="28">
        <v>63.325060000000001</v>
      </c>
      <c r="G1608" s="28">
        <v>116.74</v>
      </c>
      <c r="H1608" s="28">
        <v>90.041979999999995</v>
      </c>
      <c r="I1608" s="28">
        <v>84.536180000000002</v>
      </c>
      <c r="J1608" s="29"/>
      <c r="K1608" s="29"/>
      <c r="L1608" s="29"/>
      <c r="M1608" s="29"/>
      <c r="N1608" s="29"/>
      <c r="P1608" s="4">
        <f t="shared" si="102"/>
        <v>1.544757682795989E-4</v>
      </c>
      <c r="Q1608" s="4">
        <f t="shared" si="102"/>
        <v>-7.3166998366654633E-4</v>
      </c>
      <c r="R1608" s="4">
        <f t="shared" si="102"/>
        <v>-2.5694831197859357E-4</v>
      </c>
      <c r="S1608" s="4">
        <f t="shared" si="102"/>
        <v>0</v>
      </c>
      <c r="T1608" s="4">
        <f t="shared" si="102"/>
        <v>5.0050270209944445E-4</v>
      </c>
      <c r="U1608" s="35"/>
      <c r="V1608" s="35"/>
      <c r="W1608" s="35"/>
      <c r="X1608" s="35"/>
    </row>
    <row r="1609" spans="4:24" x14ac:dyDescent="0.3">
      <c r="D1609" s="23">
        <v>41915</v>
      </c>
      <c r="E1609" s="5">
        <v>165.791977</v>
      </c>
      <c r="F1609" s="28">
        <v>63.286470000000001</v>
      </c>
      <c r="G1609" s="28">
        <v>114.61</v>
      </c>
      <c r="H1609" s="28">
        <v>90.931160000000006</v>
      </c>
      <c r="I1609" s="28">
        <v>85.483369999999994</v>
      </c>
      <c r="J1609" s="29"/>
      <c r="K1609" s="29"/>
      <c r="L1609" s="29"/>
      <c r="M1609" s="29"/>
      <c r="N1609" s="29"/>
      <c r="P1609" s="4">
        <f t="shared" si="102"/>
        <v>1.0949116441245292E-2</v>
      </c>
      <c r="Q1609" s="4">
        <f t="shared" si="102"/>
        <v>-6.0958115260070214E-4</v>
      </c>
      <c r="R1609" s="4">
        <f t="shared" si="102"/>
        <v>-1.8414179267037076E-2</v>
      </c>
      <c r="S1609" s="4">
        <f t="shared" si="102"/>
        <v>9.8267306990097673E-3</v>
      </c>
      <c r="T1609" s="4">
        <f t="shared" si="102"/>
        <v>1.1142245693758246E-2</v>
      </c>
      <c r="U1609" s="35"/>
      <c r="V1609" s="35"/>
      <c r="W1609" s="35"/>
      <c r="X1609" s="35"/>
    </row>
    <row r="1610" spans="4:24" x14ac:dyDescent="0.3">
      <c r="D1610" s="23">
        <v>41918</v>
      </c>
      <c r="E1610" s="5">
        <v>165.59793099999999</v>
      </c>
      <c r="F1610" s="28">
        <v>63.433129999999998</v>
      </c>
      <c r="G1610" s="28">
        <v>116.03</v>
      </c>
      <c r="H1610" s="28">
        <v>90.736670000000004</v>
      </c>
      <c r="I1610" s="28">
        <v>85.314210000000003</v>
      </c>
      <c r="J1610" s="29"/>
      <c r="K1610" s="29"/>
      <c r="L1610" s="29"/>
      <c r="M1610" s="29"/>
      <c r="N1610" s="29"/>
      <c r="P1610" s="4">
        <f t="shared" si="102"/>
        <v>-1.1711039925670027E-3</v>
      </c>
      <c r="Q1610" s="4">
        <f t="shared" si="102"/>
        <v>2.3147179360207422E-3</v>
      </c>
      <c r="R1610" s="4">
        <f t="shared" si="102"/>
        <v>1.2313717850846279E-2</v>
      </c>
      <c r="S1610" s="4">
        <f t="shared" si="102"/>
        <v>-2.1411614186667024E-3</v>
      </c>
      <c r="T1610" s="4">
        <f t="shared" si="102"/>
        <v>-1.9808249661455312E-3</v>
      </c>
      <c r="U1610" s="35"/>
      <c r="V1610" s="35"/>
      <c r="W1610" s="35"/>
      <c r="X1610" s="35"/>
    </row>
    <row r="1611" spans="4:24" x14ac:dyDescent="0.3">
      <c r="D1611" s="23">
        <v>41919</v>
      </c>
      <c r="E1611" s="5">
        <v>163.04173299999999</v>
      </c>
      <c r="F1611" s="28">
        <v>63.59516</v>
      </c>
      <c r="G1611" s="28">
        <v>116.36</v>
      </c>
      <c r="H1611" s="28">
        <v>89.449169999999995</v>
      </c>
      <c r="I1611" s="28">
        <v>83.994929999999997</v>
      </c>
      <c r="J1611" s="29"/>
      <c r="K1611" s="29"/>
      <c r="L1611" s="29"/>
      <c r="M1611" s="29"/>
      <c r="N1611" s="29"/>
      <c r="P1611" s="4">
        <f t="shared" si="102"/>
        <v>-1.5556549200407329E-2</v>
      </c>
      <c r="Q1611" s="4">
        <f t="shared" si="102"/>
        <v>2.5510866575443993E-3</v>
      </c>
      <c r="R1611" s="4">
        <f t="shared" si="102"/>
        <v>2.8400552675467618E-3</v>
      </c>
      <c r="S1611" s="4">
        <f t="shared" si="102"/>
        <v>-1.4291044318755181E-2</v>
      </c>
      <c r="T1611" s="4">
        <f t="shared" si="102"/>
        <v>-1.5584589255554638E-2</v>
      </c>
      <c r="U1611" s="35"/>
      <c r="V1611" s="35"/>
      <c r="W1611" s="35"/>
      <c r="X1611" s="35"/>
    </row>
    <row r="1612" spans="4:24" x14ac:dyDescent="0.3">
      <c r="D1612" s="23">
        <v>41920</v>
      </c>
      <c r="E1612" s="5">
        <v>165.893204</v>
      </c>
      <c r="F1612" s="28">
        <v>63.764919999999996</v>
      </c>
      <c r="G1612" s="28">
        <v>117.47</v>
      </c>
      <c r="H1612" s="28">
        <v>91.190510000000003</v>
      </c>
      <c r="I1612" s="28">
        <v>85.390320000000003</v>
      </c>
      <c r="J1612" s="29"/>
      <c r="K1612" s="29"/>
      <c r="L1612" s="29"/>
      <c r="M1612" s="29"/>
      <c r="N1612" s="29"/>
      <c r="P1612" s="4">
        <f t="shared" si="102"/>
        <v>1.7338033209576772E-2</v>
      </c>
      <c r="Q1612" s="4">
        <f t="shared" si="102"/>
        <v>2.6658290499710405E-3</v>
      </c>
      <c r="R1612" s="4">
        <f t="shared" si="102"/>
        <v>9.4941482087937401E-3</v>
      </c>
      <c r="S1612" s="4">
        <f t="shared" si="102"/>
        <v>1.9280303663530864E-2</v>
      </c>
      <c r="T1612" s="4">
        <f t="shared" si="102"/>
        <v>1.6476305545020282E-2</v>
      </c>
      <c r="U1612" s="35"/>
      <c r="V1612" s="35"/>
      <c r="W1612" s="35"/>
      <c r="X1612" s="35"/>
    </row>
    <row r="1613" spans="4:24" x14ac:dyDescent="0.3">
      <c r="D1613" s="23">
        <v>41921</v>
      </c>
      <c r="E1613" s="5">
        <v>162.603058</v>
      </c>
      <c r="F1613" s="28">
        <v>63.664610000000003</v>
      </c>
      <c r="G1613" s="28">
        <v>117.64</v>
      </c>
      <c r="H1613" s="28">
        <v>89.717770000000002</v>
      </c>
      <c r="I1613" s="28">
        <v>83.631249999999994</v>
      </c>
      <c r="J1613" s="29"/>
      <c r="K1613" s="29"/>
      <c r="L1613" s="29"/>
      <c r="M1613" s="29"/>
      <c r="N1613" s="29"/>
      <c r="P1613" s="4">
        <f t="shared" si="102"/>
        <v>-2.003222809599409E-2</v>
      </c>
      <c r="Q1613" s="4">
        <f t="shared" si="102"/>
        <v>-1.574360679492678E-3</v>
      </c>
      <c r="R1613" s="4">
        <f t="shared" si="102"/>
        <v>1.4461318499997134E-3</v>
      </c>
      <c r="S1613" s="4">
        <f t="shared" si="102"/>
        <v>-1.6281980410090911E-2</v>
      </c>
      <c r="T1613" s="4">
        <f t="shared" si="102"/>
        <v>-2.0815491352749283E-2</v>
      </c>
      <c r="U1613" s="35"/>
      <c r="V1613" s="35"/>
      <c r="W1613" s="35"/>
      <c r="X1613" s="35"/>
    </row>
    <row r="1614" spans="4:24" x14ac:dyDescent="0.3">
      <c r="D1614" s="23">
        <v>41922</v>
      </c>
      <c r="E1614" s="5">
        <v>160.746994</v>
      </c>
      <c r="F1614" s="28">
        <v>63.71866</v>
      </c>
      <c r="G1614" s="28">
        <v>117.59</v>
      </c>
      <c r="H1614" s="28">
        <v>87.476200000000006</v>
      </c>
      <c r="I1614" s="28">
        <v>82.591059999999999</v>
      </c>
      <c r="J1614" s="29"/>
      <c r="K1614" s="29"/>
      <c r="L1614" s="29"/>
      <c r="M1614" s="29"/>
      <c r="N1614" s="29"/>
      <c r="P1614" s="4">
        <f t="shared" si="102"/>
        <v>-1.1480340726526293E-2</v>
      </c>
      <c r="Q1614" s="4">
        <f t="shared" si="102"/>
        <v>8.4862012482020801E-4</v>
      </c>
      <c r="R1614" s="4">
        <f t="shared" si="102"/>
        <v>-4.2511585046990321E-4</v>
      </c>
      <c r="S1614" s="4">
        <f t="shared" si="102"/>
        <v>-2.5302097873484381E-2</v>
      </c>
      <c r="T1614" s="4">
        <f t="shared" si="102"/>
        <v>-1.2515811847303803E-2</v>
      </c>
      <c r="U1614" s="35"/>
      <c r="V1614" s="35"/>
      <c r="W1614" s="35"/>
      <c r="X1614" s="35"/>
    </row>
    <row r="1615" spans="4:24" x14ac:dyDescent="0.3">
      <c r="D1615" s="23">
        <v>41925</v>
      </c>
      <c r="E1615" s="5">
        <v>158.10640000000001</v>
      </c>
      <c r="F1615" s="28">
        <v>63.903849999999998</v>
      </c>
      <c r="G1615" s="28">
        <v>118.52</v>
      </c>
      <c r="H1615" s="28">
        <v>86.105329999999995</v>
      </c>
      <c r="I1615" s="28">
        <v>81.271770000000004</v>
      </c>
      <c r="J1615" s="29"/>
      <c r="K1615" s="29"/>
      <c r="L1615" s="29"/>
      <c r="M1615" s="29"/>
      <c r="N1615" s="29"/>
      <c r="P1615" s="4">
        <f t="shared" si="102"/>
        <v>-1.6563438993888506E-2</v>
      </c>
      <c r="Q1615" s="4">
        <f t="shared" si="102"/>
        <v>2.9021546430991673E-3</v>
      </c>
      <c r="R1615" s="4">
        <f t="shared" si="102"/>
        <v>7.8777248700400322E-3</v>
      </c>
      <c r="S1615" s="4">
        <f t="shared" si="102"/>
        <v>-1.5795442085290403E-2</v>
      </c>
      <c r="T1615" s="4">
        <f t="shared" si="102"/>
        <v>-1.6102718441571691E-2</v>
      </c>
      <c r="U1615" s="35"/>
      <c r="V1615" s="35"/>
      <c r="W1615" s="35"/>
      <c r="X1615" s="35"/>
    </row>
    <row r="1616" spans="4:24" x14ac:dyDescent="0.3">
      <c r="D1616" s="23">
        <v>41926</v>
      </c>
      <c r="E1616" s="5">
        <v>158.35110499999999</v>
      </c>
      <c r="F1616" s="28">
        <v>63.988729999999997</v>
      </c>
      <c r="G1616" s="28">
        <v>118.59</v>
      </c>
      <c r="H1616" s="28">
        <v>86.114580000000004</v>
      </c>
      <c r="I1616" s="28">
        <v>81.525469999999999</v>
      </c>
      <c r="J1616" s="29"/>
      <c r="K1616" s="29"/>
      <c r="L1616" s="29"/>
      <c r="M1616" s="29"/>
      <c r="N1616" s="29"/>
      <c r="P1616" s="4">
        <f t="shared" si="102"/>
        <v>1.5465270686038607E-3</v>
      </c>
      <c r="Q1616" s="4">
        <f t="shared" si="102"/>
        <v>1.3273641436035435E-3</v>
      </c>
      <c r="R1616" s="4">
        <f t="shared" si="102"/>
        <v>5.9044327133941151E-4</v>
      </c>
      <c r="S1616" s="4">
        <f t="shared" si="102"/>
        <v>1.074207971529505E-4</v>
      </c>
      <c r="T1616" s="4">
        <f t="shared" si="102"/>
        <v>3.1167629792074728E-3</v>
      </c>
      <c r="U1616" s="35"/>
      <c r="V1616" s="35"/>
      <c r="W1616" s="35"/>
      <c r="X1616" s="35"/>
    </row>
    <row r="1617" spans="4:24" x14ac:dyDescent="0.3">
      <c r="D1617" s="23">
        <v>41927</v>
      </c>
      <c r="E1617" s="5">
        <v>157.27964800000001</v>
      </c>
      <c r="F1617" s="28">
        <v>64.135339999999999</v>
      </c>
      <c r="G1617" s="28">
        <v>118.99</v>
      </c>
      <c r="H1617" s="28">
        <v>85.558869999999999</v>
      </c>
      <c r="I1617" s="28">
        <v>81.068799999999996</v>
      </c>
      <c r="J1617" s="29"/>
      <c r="K1617" s="29"/>
      <c r="L1617" s="29"/>
      <c r="M1617" s="29"/>
      <c r="N1617" s="29"/>
      <c r="P1617" s="4">
        <f t="shared" si="102"/>
        <v>-6.7893328235642866E-3</v>
      </c>
      <c r="Q1617" s="4">
        <f t="shared" si="102"/>
        <v>2.2885639519485213E-3</v>
      </c>
      <c r="R1617" s="4">
        <f t="shared" si="102"/>
        <v>3.3672899903581148E-3</v>
      </c>
      <c r="S1617" s="4">
        <f t="shared" si="102"/>
        <v>-6.4740580558561604E-3</v>
      </c>
      <c r="T1617" s="4">
        <f t="shared" si="102"/>
        <v>-5.6173098943723227E-3</v>
      </c>
      <c r="U1617" s="35"/>
      <c r="V1617" s="35"/>
      <c r="W1617" s="35"/>
      <c r="X1617" s="35"/>
    </row>
    <row r="1618" spans="4:24" x14ac:dyDescent="0.3">
      <c r="D1618" s="23">
        <v>41928</v>
      </c>
      <c r="E1618" s="5">
        <v>157.144699</v>
      </c>
      <c r="F1618" s="28">
        <v>64.02731</v>
      </c>
      <c r="G1618" s="28">
        <v>119.22</v>
      </c>
      <c r="H1618" s="28">
        <v>85.021649999999994</v>
      </c>
      <c r="I1618" s="28">
        <v>81.246420000000001</v>
      </c>
      <c r="J1618" s="29"/>
      <c r="K1618" s="29"/>
      <c r="L1618" s="29"/>
      <c r="M1618" s="29"/>
      <c r="N1618" s="29"/>
      <c r="P1618" s="4">
        <f t="shared" si="102"/>
        <v>-8.5838777800627698E-4</v>
      </c>
      <c r="Q1618" s="4">
        <f t="shared" si="102"/>
        <v>-1.6858269641773793E-3</v>
      </c>
      <c r="R1618" s="4">
        <f t="shared" si="102"/>
        <v>1.9310698247183991E-3</v>
      </c>
      <c r="S1618" s="4">
        <f t="shared" si="102"/>
        <v>-6.2987470802328841E-3</v>
      </c>
      <c r="T1618" s="4">
        <f t="shared" si="102"/>
        <v>2.1885818335257274E-3</v>
      </c>
      <c r="U1618" s="35"/>
      <c r="V1618" s="35"/>
      <c r="W1618" s="35"/>
      <c r="X1618" s="35"/>
    </row>
    <row r="1619" spans="4:24" x14ac:dyDescent="0.3">
      <c r="D1619" s="23">
        <v>41929</v>
      </c>
      <c r="E1619" s="5">
        <v>159.00070199999999</v>
      </c>
      <c r="F1619" s="28">
        <v>63.981000000000002</v>
      </c>
      <c r="G1619" s="28">
        <v>118.99</v>
      </c>
      <c r="H1619" s="28">
        <v>86.142399999999995</v>
      </c>
      <c r="I1619" s="28">
        <v>82.134389999999996</v>
      </c>
      <c r="J1619" s="29"/>
      <c r="K1619" s="29"/>
      <c r="L1619" s="29"/>
      <c r="M1619" s="29"/>
      <c r="N1619" s="29"/>
      <c r="P1619" s="4">
        <f t="shared" si="102"/>
        <v>1.1741586733274464E-2</v>
      </c>
      <c r="Q1619" s="4">
        <f t="shared" si="102"/>
        <v>-7.2354680755255764E-4</v>
      </c>
      <c r="R1619" s="4">
        <f t="shared" si="102"/>
        <v>-1.9310698247183716E-3</v>
      </c>
      <c r="S1619" s="4">
        <f t="shared" si="102"/>
        <v>1.3095810917821339E-2</v>
      </c>
      <c r="T1619" s="4">
        <f t="shared" si="102"/>
        <v>1.0870049467591212E-2</v>
      </c>
      <c r="U1619" s="35"/>
      <c r="V1619" s="35"/>
      <c r="W1619" s="35"/>
      <c r="X1619" s="35"/>
    </row>
    <row r="1620" spans="4:24" x14ac:dyDescent="0.3">
      <c r="D1620" s="23">
        <v>41932</v>
      </c>
      <c r="E1620" s="5">
        <v>160.54452499999999</v>
      </c>
      <c r="F1620" s="28">
        <v>64.035030000000006</v>
      </c>
      <c r="G1620" s="28">
        <v>119.8</v>
      </c>
      <c r="H1620" s="28">
        <v>87.429879999999997</v>
      </c>
      <c r="I1620" s="28">
        <v>82.954710000000006</v>
      </c>
      <c r="J1620" s="29"/>
      <c r="K1620" s="29"/>
      <c r="L1620" s="29"/>
      <c r="M1620" s="29"/>
      <c r="N1620" s="29"/>
      <c r="P1620" s="4">
        <f t="shared" si="102"/>
        <v>9.6627011232236337E-3</v>
      </c>
      <c r="Q1620" s="4">
        <f t="shared" si="102"/>
        <v>8.4411308815238986E-4</v>
      </c>
      <c r="R1620" s="4">
        <f t="shared" si="102"/>
        <v>6.7842297142869153E-3</v>
      </c>
      <c r="S1620" s="4">
        <f t="shared" si="102"/>
        <v>1.4835359806810658E-2</v>
      </c>
      <c r="T1620" s="4">
        <f t="shared" si="102"/>
        <v>9.9379880497141894E-3</v>
      </c>
      <c r="U1620" s="35"/>
      <c r="V1620" s="35"/>
      <c r="W1620" s="35"/>
      <c r="X1620" s="35"/>
    </row>
    <row r="1621" spans="4:24" x14ac:dyDescent="0.3">
      <c r="D1621" s="23">
        <v>41933</v>
      </c>
      <c r="E1621" s="5">
        <v>163.725067</v>
      </c>
      <c r="F1621" s="28">
        <v>63.942430000000002</v>
      </c>
      <c r="G1621" s="28">
        <v>120.02</v>
      </c>
      <c r="H1621" s="28">
        <v>89.727019999999996</v>
      </c>
      <c r="I1621" s="28">
        <v>84.595349999999996</v>
      </c>
      <c r="J1621" s="29"/>
      <c r="K1621" s="29"/>
      <c r="L1621" s="29"/>
      <c r="M1621" s="29"/>
      <c r="N1621" s="29"/>
      <c r="P1621" s="4">
        <f t="shared" ref="P1621:T1636" si="103">LN(E1621/E1620)</f>
        <v>1.96172818987673E-2</v>
      </c>
      <c r="Q1621" s="4">
        <f t="shared" si="103"/>
        <v>-1.4471300830652082E-3</v>
      </c>
      <c r="R1621" s="4">
        <f t="shared" si="103"/>
        <v>1.8347098800177632E-3</v>
      </c>
      <c r="S1621" s="4">
        <f t="shared" si="103"/>
        <v>2.5934849349871308E-2</v>
      </c>
      <c r="T1621" s="4">
        <f t="shared" si="103"/>
        <v>1.9584504344612078E-2</v>
      </c>
      <c r="U1621" s="35"/>
      <c r="V1621" s="35"/>
      <c r="W1621" s="35"/>
      <c r="X1621" s="35"/>
    </row>
    <row r="1622" spans="4:24" x14ac:dyDescent="0.3">
      <c r="D1622" s="23">
        <v>41934</v>
      </c>
      <c r="E1622" s="5">
        <v>162.56079099999999</v>
      </c>
      <c r="F1622" s="28">
        <v>63.926960000000001</v>
      </c>
      <c r="G1622" s="28">
        <v>119.34</v>
      </c>
      <c r="H1622" s="28">
        <v>89.263890000000004</v>
      </c>
      <c r="I1622" s="28">
        <v>83.935720000000003</v>
      </c>
      <c r="J1622" s="29"/>
      <c r="K1622" s="29"/>
      <c r="L1622" s="29"/>
      <c r="M1622" s="29"/>
      <c r="N1622" s="29"/>
      <c r="P1622" s="4">
        <f t="shared" si="103"/>
        <v>-7.1365700528677181E-3</v>
      </c>
      <c r="Q1622" s="4">
        <f t="shared" si="103"/>
        <v>-2.419656506609018E-4</v>
      </c>
      <c r="R1622" s="4">
        <f t="shared" si="103"/>
        <v>-5.6818334674309462E-3</v>
      </c>
      <c r="S1622" s="4">
        <f t="shared" si="103"/>
        <v>-5.1749112124182184E-3</v>
      </c>
      <c r="T1622" s="4">
        <f t="shared" si="103"/>
        <v>-7.828032758618016E-3</v>
      </c>
      <c r="U1622" s="35"/>
      <c r="V1622" s="35"/>
      <c r="W1622" s="35"/>
      <c r="X1622" s="35"/>
    </row>
    <row r="1623" spans="4:24" x14ac:dyDescent="0.3">
      <c r="D1623" s="23">
        <v>41935</v>
      </c>
      <c r="E1623" s="5">
        <v>164.45056199999999</v>
      </c>
      <c r="F1623" s="28">
        <v>63.73404</v>
      </c>
      <c r="G1623" s="28">
        <v>118.52</v>
      </c>
      <c r="H1623" s="28">
        <v>90.606989999999996</v>
      </c>
      <c r="I1623" s="28">
        <v>84.950559999999996</v>
      </c>
      <c r="J1623" s="29"/>
      <c r="K1623" s="29"/>
      <c r="L1623" s="29"/>
      <c r="M1623" s="29"/>
      <c r="N1623" s="29"/>
      <c r="P1623" s="4">
        <f t="shared" si="103"/>
        <v>1.1557959807391721E-2</v>
      </c>
      <c r="Q1623" s="4">
        <f t="shared" si="103"/>
        <v>-3.0223818841617713E-3</v>
      </c>
      <c r="R1623" s="4">
        <f t="shared" si="103"/>
        <v>-6.8948393885713902E-3</v>
      </c>
      <c r="S1623" s="4">
        <f t="shared" si="103"/>
        <v>1.4934323588009432E-2</v>
      </c>
      <c r="T1623" s="4">
        <f t="shared" si="103"/>
        <v>1.2018172405273829E-2</v>
      </c>
      <c r="U1623" s="35"/>
      <c r="V1623" s="35"/>
      <c r="W1623" s="35"/>
      <c r="X1623" s="35"/>
    </row>
    <row r="1624" spans="4:24" x14ac:dyDescent="0.3">
      <c r="D1624" s="23">
        <v>41936</v>
      </c>
      <c r="E1624" s="5">
        <v>165.71606399999999</v>
      </c>
      <c r="F1624" s="28">
        <v>63.7881</v>
      </c>
      <c r="G1624" s="28">
        <v>118.35</v>
      </c>
      <c r="H1624" s="28">
        <v>91.347989999999996</v>
      </c>
      <c r="I1624" s="28">
        <v>85.542559999999995</v>
      </c>
      <c r="J1624" s="29"/>
      <c r="K1624" s="29"/>
      <c r="L1624" s="29"/>
      <c r="M1624" s="29"/>
      <c r="N1624" s="29"/>
      <c r="P1624" s="4">
        <f t="shared" si="103"/>
        <v>7.665875940663109E-3</v>
      </c>
      <c r="Q1624" s="4">
        <f t="shared" si="103"/>
        <v>8.4785282364985639E-4</v>
      </c>
      <c r="R1624" s="4">
        <f t="shared" si="103"/>
        <v>-1.4353867453715625E-3</v>
      </c>
      <c r="S1624" s="4">
        <f t="shared" si="103"/>
        <v>8.1449169071402903E-3</v>
      </c>
      <c r="T1624" s="4">
        <f t="shared" si="103"/>
        <v>6.9445896610116596E-3</v>
      </c>
      <c r="U1624" s="35"/>
      <c r="V1624" s="35"/>
      <c r="W1624" s="35"/>
      <c r="X1624" s="35"/>
    </row>
    <row r="1625" spans="4:24" x14ac:dyDescent="0.3">
      <c r="D1625" s="23">
        <v>41939</v>
      </c>
      <c r="E1625" s="5">
        <v>165.48829699999999</v>
      </c>
      <c r="F1625" s="28">
        <v>63.764919999999996</v>
      </c>
      <c r="G1625" s="28">
        <v>118.06</v>
      </c>
      <c r="H1625" s="28">
        <v>91.41283</v>
      </c>
      <c r="I1625" s="28">
        <v>85.424149999999997</v>
      </c>
      <c r="J1625" s="29"/>
      <c r="K1625" s="29"/>
      <c r="L1625" s="29"/>
      <c r="M1625" s="29"/>
      <c r="N1625" s="29"/>
      <c r="P1625" s="4">
        <f t="shared" si="103"/>
        <v>-1.3753866961030402E-3</v>
      </c>
      <c r="Q1625" s="4">
        <f t="shared" si="103"/>
        <v>-3.6345670616308884E-4</v>
      </c>
      <c r="R1625" s="4">
        <f t="shared" si="103"/>
        <v>-2.4533661474495623E-3</v>
      </c>
      <c r="S1625" s="4">
        <f t="shared" si="103"/>
        <v>7.0956130225788944E-4</v>
      </c>
      <c r="T1625" s="4">
        <f t="shared" si="103"/>
        <v>-1.385182167137186E-3</v>
      </c>
      <c r="U1625" s="35"/>
      <c r="V1625" s="35"/>
      <c r="W1625" s="35"/>
      <c r="X1625" s="35"/>
    </row>
    <row r="1626" spans="4:24" x14ac:dyDescent="0.3">
      <c r="D1626" s="23">
        <v>41940</v>
      </c>
      <c r="E1626" s="5">
        <v>167.38647499999999</v>
      </c>
      <c r="F1626" s="28">
        <v>63.72636</v>
      </c>
      <c r="G1626" s="28">
        <v>118.1</v>
      </c>
      <c r="H1626" s="28">
        <v>92.792959999999994</v>
      </c>
      <c r="I1626" s="28">
        <v>86.532039999999995</v>
      </c>
      <c r="J1626" s="29"/>
      <c r="K1626" s="29"/>
      <c r="L1626" s="29"/>
      <c r="M1626" s="29"/>
      <c r="N1626" s="29"/>
      <c r="P1626" s="4">
        <f t="shared" si="103"/>
        <v>1.1404880961242075E-2</v>
      </c>
      <c r="Q1626" s="4">
        <f t="shared" si="103"/>
        <v>-6.0490413424010717E-4</v>
      </c>
      <c r="R1626" s="4">
        <f t="shared" si="103"/>
        <v>3.3875339077332414E-4</v>
      </c>
      <c r="S1626" s="4">
        <f t="shared" si="103"/>
        <v>1.4984934245391575E-2</v>
      </c>
      <c r="T1626" s="4">
        <f t="shared" si="103"/>
        <v>1.2885902276158092E-2</v>
      </c>
      <c r="U1626" s="35"/>
      <c r="V1626" s="35"/>
      <c r="W1626" s="35"/>
      <c r="X1626" s="35"/>
    </row>
    <row r="1627" spans="4:24" x14ac:dyDescent="0.3">
      <c r="D1627" s="23">
        <v>41941</v>
      </c>
      <c r="E1627" s="5">
        <v>167.13336200000001</v>
      </c>
      <c r="F1627" s="28">
        <v>63.61835</v>
      </c>
      <c r="G1627" s="28">
        <v>116.41</v>
      </c>
      <c r="H1627" s="28">
        <v>92.450239999999994</v>
      </c>
      <c r="I1627" s="28">
        <v>86.405180000000001</v>
      </c>
      <c r="J1627" s="29"/>
      <c r="K1627" s="29"/>
      <c r="L1627" s="29"/>
      <c r="M1627" s="29"/>
      <c r="N1627" s="29"/>
      <c r="P1627" s="4">
        <f t="shared" si="103"/>
        <v>-1.5132917113281944E-3</v>
      </c>
      <c r="Q1627" s="4">
        <f t="shared" si="103"/>
        <v>-1.6963409928932938E-3</v>
      </c>
      <c r="R1627" s="4">
        <f t="shared" si="103"/>
        <v>-1.4413280943166941E-2</v>
      </c>
      <c r="S1627" s="4">
        <f t="shared" si="103"/>
        <v>-3.7002210179162081E-3</v>
      </c>
      <c r="T1627" s="4">
        <f t="shared" si="103"/>
        <v>-1.4671222626910275E-3</v>
      </c>
      <c r="U1627" s="35"/>
      <c r="V1627" s="35"/>
      <c r="W1627" s="35"/>
      <c r="X1627" s="35"/>
    </row>
    <row r="1628" spans="4:24" x14ac:dyDescent="0.3">
      <c r="D1628" s="23">
        <v>41942</v>
      </c>
      <c r="E1628" s="5">
        <v>168.20481899999999</v>
      </c>
      <c r="F1628" s="28">
        <v>63.664610000000003</v>
      </c>
      <c r="G1628" s="28">
        <v>115.19</v>
      </c>
      <c r="H1628" s="28">
        <v>92.644739999999999</v>
      </c>
      <c r="I1628" s="28">
        <v>86.937939999999998</v>
      </c>
      <c r="J1628" s="29"/>
      <c r="K1628" s="29"/>
      <c r="L1628" s="29"/>
      <c r="M1628" s="29"/>
      <c r="N1628" s="29"/>
      <c r="P1628" s="4">
        <f t="shared" si="103"/>
        <v>6.3903289687901547E-3</v>
      </c>
      <c r="Q1628" s="4">
        <f t="shared" si="103"/>
        <v>7.2688444764075044E-4</v>
      </c>
      <c r="R1628" s="4">
        <f t="shared" si="103"/>
        <v>-1.0535503321734611E-2</v>
      </c>
      <c r="S1628" s="4">
        <f t="shared" si="103"/>
        <v>2.1016244912679728E-3</v>
      </c>
      <c r="T1628" s="4">
        <f t="shared" si="103"/>
        <v>6.1469030614093164E-3</v>
      </c>
      <c r="U1628" s="35"/>
      <c r="V1628" s="35"/>
      <c r="W1628" s="35"/>
      <c r="X1628" s="35"/>
    </row>
    <row r="1629" spans="4:24" x14ac:dyDescent="0.3">
      <c r="D1629" s="23">
        <v>41943</v>
      </c>
      <c r="E1629" s="5">
        <v>170.12832599999999</v>
      </c>
      <c r="F1629" s="28">
        <v>63.556550000000001</v>
      </c>
      <c r="G1629" s="28">
        <v>112.66</v>
      </c>
      <c r="H1629" s="28">
        <v>93.923019999999994</v>
      </c>
      <c r="I1629" s="28">
        <v>87.969719999999995</v>
      </c>
      <c r="J1629" s="29"/>
      <c r="K1629" s="29"/>
      <c r="L1629" s="29"/>
      <c r="M1629" s="29"/>
      <c r="N1629" s="29"/>
      <c r="P1629" s="4">
        <f t="shared" si="103"/>
        <v>1.1370613566560587E-2</v>
      </c>
      <c r="Q1629" s="4">
        <f t="shared" si="103"/>
        <v>-1.6987744175094828E-3</v>
      </c>
      <c r="R1629" s="4">
        <f t="shared" si="103"/>
        <v>-2.2208505471847162E-2</v>
      </c>
      <c r="S1629" s="4">
        <f t="shared" si="103"/>
        <v>1.3703332269509247E-2</v>
      </c>
      <c r="T1629" s="4">
        <f t="shared" si="103"/>
        <v>1.1798133578283757E-2</v>
      </c>
      <c r="U1629" s="35"/>
      <c r="V1629" s="35"/>
      <c r="W1629" s="35"/>
      <c r="X1629" s="35"/>
    </row>
    <row r="1630" spans="4:24" x14ac:dyDescent="0.3">
      <c r="D1630" s="23">
        <v>41946</v>
      </c>
      <c r="E1630" s="5">
        <v>170.22108499999999</v>
      </c>
      <c r="F1630" s="28">
        <v>63.527970000000003</v>
      </c>
      <c r="G1630" s="28">
        <v>112.15</v>
      </c>
      <c r="H1630" s="28">
        <v>94.200869999999995</v>
      </c>
      <c r="I1630" s="28">
        <v>88.020480000000006</v>
      </c>
      <c r="J1630" s="29"/>
      <c r="K1630" s="29"/>
      <c r="L1630" s="29"/>
      <c r="M1630" s="29"/>
      <c r="N1630" s="29"/>
      <c r="P1630" s="4">
        <f t="shared" si="103"/>
        <v>5.450810214368408E-4</v>
      </c>
      <c r="Q1630" s="4">
        <f t="shared" si="103"/>
        <v>-4.4977941423255259E-4</v>
      </c>
      <c r="R1630" s="4">
        <f t="shared" si="103"/>
        <v>-4.5371725003505422E-3</v>
      </c>
      <c r="S1630" s="4">
        <f t="shared" si="103"/>
        <v>2.9539066200804497E-3</v>
      </c>
      <c r="T1630" s="4">
        <f t="shared" si="103"/>
        <v>5.7685031788779005E-4</v>
      </c>
      <c r="U1630" s="35"/>
      <c r="V1630" s="35"/>
      <c r="W1630" s="35"/>
      <c r="X1630" s="35"/>
    </row>
    <row r="1631" spans="4:24" x14ac:dyDescent="0.3">
      <c r="D1631" s="23">
        <v>41947</v>
      </c>
      <c r="E1631" s="5">
        <v>169.630585</v>
      </c>
      <c r="F1631" s="28">
        <v>63.512509999999999</v>
      </c>
      <c r="G1631" s="28">
        <v>112.22</v>
      </c>
      <c r="H1631" s="28">
        <v>93.885949999999994</v>
      </c>
      <c r="I1631" s="28">
        <v>87.699079999999995</v>
      </c>
      <c r="J1631" s="29"/>
      <c r="K1631" s="29"/>
      <c r="L1631" s="29"/>
      <c r="M1631" s="29"/>
      <c r="N1631" s="29"/>
      <c r="P1631" s="4">
        <f t="shared" si="103"/>
        <v>-3.4750489484897916E-3</v>
      </c>
      <c r="Q1631" s="4">
        <f t="shared" si="103"/>
        <v>-2.4338699092326497E-4</v>
      </c>
      <c r="R1631" s="4">
        <f t="shared" si="103"/>
        <v>6.2396935660853105E-4</v>
      </c>
      <c r="S1631" s="4">
        <f t="shared" si="103"/>
        <v>-3.3486694525629397E-3</v>
      </c>
      <c r="T1631" s="4">
        <f t="shared" si="103"/>
        <v>-3.6581056588970702E-3</v>
      </c>
      <c r="U1631" s="35"/>
      <c r="V1631" s="35"/>
      <c r="W1631" s="35"/>
      <c r="X1631" s="35"/>
    </row>
    <row r="1632" spans="4:24" x14ac:dyDescent="0.3">
      <c r="D1632" s="23">
        <v>41948</v>
      </c>
      <c r="E1632" s="5">
        <v>170.70198099999999</v>
      </c>
      <c r="F1632" s="28">
        <v>63.589829999999999</v>
      </c>
      <c r="G1632" s="28">
        <v>109.79</v>
      </c>
      <c r="H1632" s="28">
        <v>93.895229999999998</v>
      </c>
      <c r="I1632" s="28">
        <v>88.113470000000007</v>
      </c>
      <c r="J1632" s="29"/>
      <c r="K1632" s="29"/>
      <c r="L1632" s="29"/>
      <c r="M1632" s="29"/>
      <c r="N1632" s="29"/>
      <c r="P1632" s="4">
        <f t="shared" si="103"/>
        <v>6.296191704187562E-3</v>
      </c>
      <c r="Q1632" s="4">
        <f t="shared" si="103"/>
        <v>1.2166575302669251E-3</v>
      </c>
      <c r="R1632" s="4">
        <f t="shared" si="103"/>
        <v>-2.189178007618487E-2</v>
      </c>
      <c r="S1632" s="4">
        <f t="shared" si="103"/>
        <v>9.883844597799537E-5</v>
      </c>
      <c r="T1632" s="4">
        <f t="shared" si="103"/>
        <v>4.7140066778630207E-3</v>
      </c>
      <c r="U1632" s="35"/>
      <c r="V1632" s="35"/>
      <c r="W1632" s="35"/>
      <c r="X1632" s="35"/>
    </row>
    <row r="1633" spans="4:24" x14ac:dyDescent="0.3">
      <c r="D1633" s="23">
        <v>41949</v>
      </c>
      <c r="E1633" s="5">
        <v>171.3853</v>
      </c>
      <c r="F1633" s="28">
        <v>63.442900000000002</v>
      </c>
      <c r="G1633" s="28">
        <v>109.88</v>
      </c>
      <c r="H1633" s="28">
        <v>94.191590000000005</v>
      </c>
      <c r="I1633" s="28">
        <v>88.544790000000006</v>
      </c>
      <c r="J1633" s="29"/>
      <c r="K1633" s="29"/>
      <c r="L1633" s="29"/>
      <c r="M1633" s="29"/>
      <c r="N1633" s="29"/>
      <c r="P1633" s="4">
        <f t="shared" si="103"/>
        <v>3.9950033033644312E-3</v>
      </c>
      <c r="Q1633" s="4">
        <f t="shared" si="103"/>
        <v>-2.3132631333800673E-3</v>
      </c>
      <c r="R1633" s="4">
        <f t="shared" si="103"/>
        <v>8.1941098043195471E-4</v>
      </c>
      <c r="S1633" s="4">
        <f t="shared" si="103"/>
        <v>3.1513132632793443E-3</v>
      </c>
      <c r="T1633" s="4">
        <f t="shared" si="103"/>
        <v>4.8831099894216645E-3</v>
      </c>
      <c r="U1633" s="35"/>
      <c r="V1633" s="35"/>
      <c r="W1633" s="35"/>
      <c r="X1633" s="35"/>
    </row>
    <row r="1634" spans="4:24" x14ac:dyDescent="0.3">
      <c r="D1634" s="23">
        <v>41950</v>
      </c>
      <c r="E1634" s="5">
        <v>171.545624</v>
      </c>
      <c r="F1634" s="28">
        <v>63.65945</v>
      </c>
      <c r="G1634" s="28">
        <v>112.97</v>
      </c>
      <c r="H1634" s="28">
        <v>94.108249999999998</v>
      </c>
      <c r="I1634" s="28">
        <v>88.612449999999995</v>
      </c>
      <c r="J1634" s="29"/>
      <c r="K1634" s="29"/>
      <c r="L1634" s="29"/>
      <c r="M1634" s="29"/>
      <c r="N1634" s="29"/>
      <c r="P1634" s="4">
        <f t="shared" si="103"/>
        <v>9.3502218936947429E-4</v>
      </c>
      <c r="Q1634" s="4">
        <f t="shared" si="103"/>
        <v>3.4074934024481088E-3</v>
      </c>
      <c r="R1634" s="4">
        <f t="shared" si="103"/>
        <v>2.7733435511764378E-2</v>
      </c>
      <c r="S1634" s="4">
        <f t="shared" si="103"/>
        <v>-8.8518402821548389E-4</v>
      </c>
      <c r="T1634" s="4">
        <f t="shared" si="103"/>
        <v>7.6384124396709405E-4</v>
      </c>
      <c r="U1634" s="35"/>
      <c r="V1634" s="35"/>
      <c r="W1634" s="35"/>
      <c r="X1634" s="35"/>
    </row>
    <row r="1635" spans="4:24" x14ac:dyDescent="0.3">
      <c r="D1635" s="23">
        <v>41953</v>
      </c>
      <c r="E1635" s="5">
        <v>172.08551</v>
      </c>
      <c r="F1635" s="28">
        <v>63.527970000000003</v>
      </c>
      <c r="G1635" s="28">
        <v>110.46</v>
      </c>
      <c r="H1635" s="28">
        <v>94.441699999999997</v>
      </c>
      <c r="I1635" s="28">
        <v>88.883080000000007</v>
      </c>
      <c r="J1635" s="29"/>
      <c r="K1635" s="29"/>
      <c r="L1635" s="29"/>
      <c r="M1635" s="29"/>
      <c r="N1635" s="29"/>
      <c r="P1635" s="4">
        <f t="shared" si="103"/>
        <v>3.1422440565151517E-3</v>
      </c>
      <c r="Q1635" s="4">
        <f t="shared" si="103"/>
        <v>-2.0675008084119618E-3</v>
      </c>
      <c r="R1635" s="4">
        <f t="shared" si="103"/>
        <v>-2.2468832265795907E-2</v>
      </c>
      <c r="S1635" s="4">
        <f t="shared" si="103"/>
        <v>3.5369974654601071E-3</v>
      </c>
      <c r="T1635" s="4">
        <f t="shared" si="103"/>
        <v>3.0494312698057281E-3</v>
      </c>
      <c r="U1635" s="35"/>
      <c r="V1635" s="35"/>
      <c r="W1635" s="35"/>
      <c r="X1635" s="35"/>
    </row>
    <row r="1636" spans="4:24" x14ac:dyDescent="0.3">
      <c r="D1636" s="23">
        <v>41954</v>
      </c>
      <c r="E1636" s="5">
        <v>172.25427199999999</v>
      </c>
      <c r="F1636" s="28">
        <v>63.558880000000002</v>
      </c>
      <c r="G1636" s="28">
        <v>112.04</v>
      </c>
      <c r="H1636" s="28">
        <v>94.738110000000006</v>
      </c>
      <c r="I1636" s="28">
        <v>88.96763</v>
      </c>
      <c r="J1636" s="29"/>
      <c r="K1636" s="29"/>
      <c r="L1636" s="29"/>
      <c r="M1636" s="29"/>
      <c r="N1636" s="29"/>
      <c r="P1636" s="4">
        <f t="shared" si="103"/>
        <v>9.8020630977946202E-4</v>
      </c>
      <c r="Q1636" s="4">
        <f t="shared" si="103"/>
        <v>4.8643900780445643E-4</v>
      </c>
      <c r="R1636" s="4">
        <f t="shared" si="103"/>
        <v>1.4202485918866506E-2</v>
      </c>
      <c r="S1636" s="4">
        <f t="shared" si="103"/>
        <v>3.1336350591953666E-3</v>
      </c>
      <c r="T1636" s="4">
        <f t="shared" si="103"/>
        <v>9.5079751292012865E-4</v>
      </c>
      <c r="U1636" s="35"/>
      <c r="V1636" s="35"/>
      <c r="W1636" s="35"/>
      <c r="X1636" s="35"/>
    </row>
    <row r="1637" spans="4:24" x14ac:dyDescent="0.3">
      <c r="D1637" s="23">
        <v>41955</v>
      </c>
      <c r="E1637" s="5">
        <v>172.068634</v>
      </c>
      <c r="F1637" s="28">
        <v>63.551160000000003</v>
      </c>
      <c r="G1637" s="28">
        <v>111.5</v>
      </c>
      <c r="H1637" s="28">
        <v>94.904830000000004</v>
      </c>
      <c r="I1637" s="28">
        <v>88.950710000000001</v>
      </c>
      <c r="J1637" s="29"/>
      <c r="K1637" s="29"/>
      <c r="L1637" s="29"/>
      <c r="M1637" s="29"/>
      <c r="N1637" s="29"/>
      <c r="P1637" s="4">
        <f t="shared" ref="P1637:T1652" si="104">LN(E1637/E1636)</f>
        <v>-1.0782786433995346E-3</v>
      </c>
      <c r="Q1637" s="4">
        <f t="shared" si="104"/>
        <v>-1.2146955519002095E-4</v>
      </c>
      <c r="R1637" s="4">
        <f t="shared" si="104"/>
        <v>-4.8313594917343402E-3</v>
      </c>
      <c r="S1637" s="4">
        <f t="shared" si="104"/>
        <v>1.7582520388108799E-3</v>
      </c>
      <c r="T1637" s="4">
        <f t="shared" si="104"/>
        <v>-1.9019961686929875E-4</v>
      </c>
      <c r="U1637" s="35"/>
      <c r="V1637" s="35"/>
      <c r="W1637" s="35"/>
      <c r="X1637" s="35"/>
    </row>
    <row r="1638" spans="4:24" x14ac:dyDescent="0.3">
      <c r="D1638" s="23">
        <v>41956</v>
      </c>
      <c r="E1638" s="5">
        <v>172.26267999999999</v>
      </c>
      <c r="F1638" s="28">
        <v>63.597560000000001</v>
      </c>
      <c r="G1638" s="28">
        <v>111.67</v>
      </c>
      <c r="H1638" s="28">
        <v>95.312389999999994</v>
      </c>
      <c r="I1638" s="28">
        <v>88.933819999999997</v>
      </c>
      <c r="J1638" s="29"/>
      <c r="K1638" s="29"/>
      <c r="L1638" s="29"/>
      <c r="M1638" s="29"/>
      <c r="N1638" s="29"/>
      <c r="P1638" s="4">
        <f t="shared" si="104"/>
        <v>1.1270890137042168E-3</v>
      </c>
      <c r="Q1638" s="4">
        <f t="shared" si="104"/>
        <v>7.298540175586448E-4</v>
      </c>
      <c r="R1638" s="4">
        <f t="shared" si="104"/>
        <v>1.5235025575272457E-3</v>
      </c>
      <c r="S1638" s="4">
        <f t="shared" si="104"/>
        <v>4.2852127023002224E-3</v>
      </c>
      <c r="T1638" s="4">
        <f t="shared" si="104"/>
        <v>-1.898984701003383E-4</v>
      </c>
      <c r="U1638" s="35"/>
      <c r="V1638" s="35"/>
      <c r="W1638" s="35"/>
      <c r="X1638" s="35"/>
    </row>
    <row r="1639" spans="4:24" x14ac:dyDescent="0.3">
      <c r="D1639" s="23">
        <v>41957</v>
      </c>
      <c r="E1639" s="5">
        <v>172.30482499999999</v>
      </c>
      <c r="F1639" s="28">
        <v>63.613039999999998</v>
      </c>
      <c r="G1639" s="28">
        <v>114.47</v>
      </c>
      <c r="H1639" s="28">
        <v>95.608810000000005</v>
      </c>
      <c r="I1639" s="28">
        <v>88.942269999999994</v>
      </c>
      <c r="J1639" s="29"/>
      <c r="K1639" s="29"/>
      <c r="L1639" s="29"/>
      <c r="M1639" s="29"/>
      <c r="N1639" s="29"/>
      <c r="P1639" s="4">
        <f t="shared" si="104"/>
        <v>2.4462550646014503E-4</v>
      </c>
      <c r="Q1639" s="4">
        <f t="shared" si="104"/>
        <v>2.4337594628752075E-4</v>
      </c>
      <c r="R1639" s="4">
        <f t="shared" si="104"/>
        <v>2.4764686472684143E-2</v>
      </c>
      <c r="S1639" s="4">
        <f t="shared" si="104"/>
        <v>3.1051579203732241E-3</v>
      </c>
      <c r="T1639" s="4">
        <f t="shared" si="104"/>
        <v>9.5009958970455465E-5</v>
      </c>
      <c r="U1639" s="35"/>
      <c r="V1639" s="35"/>
      <c r="W1639" s="35"/>
      <c r="X1639" s="35"/>
    </row>
    <row r="1640" spans="4:24" x14ac:dyDescent="0.3">
      <c r="D1640" s="23">
        <v>41960</v>
      </c>
      <c r="E1640" s="5">
        <v>172.41456600000001</v>
      </c>
      <c r="F1640" s="28">
        <v>63.613039999999998</v>
      </c>
      <c r="G1640" s="28">
        <v>114.05</v>
      </c>
      <c r="H1640" s="28">
        <v>95.321650000000005</v>
      </c>
      <c r="I1640" s="28">
        <v>88.933819999999997</v>
      </c>
      <c r="J1640" s="29"/>
      <c r="K1640" s="29"/>
      <c r="L1640" s="29"/>
      <c r="M1640" s="29"/>
      <c r="N1640" s="29"/>
      <c r="P1640" s="4">
        <f t="shared" si="104"/>
        <v>6.366975956236038E-4</v>
      </c>
      <c r="Q1640" s="4">
        <f t="shared" si="104"/>
        <v>0</v>
      </c>
      <c r="R1640" s="4">
        <f t="shared" si="104"/>
        <v>-3.6758311999879438E-3</v>
      </c>
      <c r="S1640" s="4">
        <f t="shared" si="104"/>
        <v>-3.0080084290516826E-3</v>
      </c>
      <c r="T1640" s="4">
        <f t="shared" si="104"/>
        <v>-9.500995897031006E-5</v>
      </c>
      <c r="U1640" s="35"/>
      <c r="V1640" s="35"/>
      <c r="W1640" s="35"/>
      <c r="X1640" s="35"/>
    </row>
    <row r="1641" spans="4:24" x14ac:dyDescent="0.3">
      <c r="D1641" s="23">
        <v>41961</v>
      </c>
      <c r="E1641" s="5">
        <v>173.41001900000001</v>
      </c>
      <c r="F1641" s="28">
        <v>63.70581</v>
      </c>
      <c r="G1641" s="28">
        <v>115.05</v>
      </c>
      <c r="H1641" s="28">
        <v>96.034859999999995</v>
      </c>
      <c r="I1641" s="28">
        <v>89.458150000000003</v>
      </c>
      <c r="J1641" s="29"/>
      <c r="K1641" s="29"/>
      <c r="L1641" s="29"/>
      <c r="M1641" s="29"/>
      <c r="N1641" s="29"/>
      <c r="P1641" s="4">
        <f t="shared" si="104"/>
        <v>5.7569981576585808E-3</v>
      </c>
      <c r="Q1641" s="4">
        <f t="shared" si="104"/>
        <v>1.4572864335147477E-3</v>
      </c>
      <c r="R1641" s="4">
        <f t="shared" si="104"/>
        <v>8.7298677509777527E-3</v>
      </c>
      <c r="S1641" s="4">
        <f t="shared" si="104"/>
        <v>7.4542883598838362E-3</v>
      </c>
      <c r="T1641" s="4">
        <f t="shared" si="104"/>
        <v>5.8784205352655234E-3</v>
      </c>
      <c r="U1641" s="35"/>
      <c r="V1641" s="35"/>
      <c r="W1641" s="35"/>
      <c r="X1641" s="35"/>
    </row>
    <row r="1642" spans="4:24" x14ac:dyDescent="0.3">
      <c r="D1642" s="23">
        <v>41962</v>
      </c>
      <c r="E1642" s="5">
        <v>173.131653</v>
      </c>
      <c r="F1642" s="28">
        <v>63.543419999999998</v>
      </c>
      <c r="G1642" s="28">
        <v>113.68</v>
      </c>
      <c r="H1642" s="28">
        <v>95.599519999999998</v>
      </c>
      <c r="I1642" s="28">
        <v>89.229839999999996</v>
      </c>
      <c r="J1642" s="29"/>
      <c r="K1642" s="29"/>
      <c r="L1642" s="29"/>
      <c r="M1642" s="29"/>
      <c r="N1642" s="29"/>
      <c r="P1642" s="4">
        <f t="shared" si="104"/>
        <v>-1.6065372932754338E-3</v>
      </c>
      <c r="Q1642" s="4">
        <f t="shared" si="104"/>
        <v>-2.5523154545602504E-3</v>
      </c>
      <c r="R1642" s="4">
        <f t="shared" si="104"/>
        <v>-1.197933269252956E-2</v>
      </c>
      <c r="S1642" s="4">
        <f t="shared" si="104"/>
        <v>-4.5434514296609236E-3</v>
      </c>
      <c r="T1642" s="4">
        <f t="shared" si="104"/>
        <v>-2.5554053659736149E-3</v>
      </c>
      <c r="U1642" s="35"/>
      <c r="V1642" s="35"/>
      <c r="W1642" s="35"/>
      <c r="X1642" s="35"/>
    </row>
    <row r="1643" spans="4:24" x14ac:dyDescent="0.3">
      <c r="D1643" s="23">
        <v>41963</v>
      </c>
      <c r="E1643" s="5">
        <v>173.43536399999999</v>
      </c>
      <c r="F1643" s="28">
        <v>63.620750000000001</v>
      </c>
      <c r="G1643" s="28">
        <v>114.86</v>
      </c>
      <c r="H1643" s="28">
        <v>96.025599999999997</v>
      </c>
      <c r="I1643" s="28">
        <v>89.483530000000002</v>
      </c>
      <c r="J1643" s="29"/>
      <c r="K1643" s="29"/>
      <c r="L1643" s="29"/>
      <c r="M1643" s="29"/>
      <c r="N1643" s="29"/>
      <c r="P1643" s="4">
        <f t="shared" si="104"/>
        <v>1.7526831051405602E-3</v>
      </c>
      <c r="Q1643" s="4">
        <f t="shared" si="104"/>
        <v>1.216223241691606E-3</v>
      </c>
      <c r="R1643" s="4">
        <f t="shared" si="104"/>
        <v>1.032651164730523E-2</v>
      </c>
      <c r="S1643" s="4">
        <f t="shared" si="104"/>
        <v>4.4470234610185008E-3</v>
      </c>
      <c r="T1643" s="4">
        <f t="shared" si="104"/>
        <v>2.8390732087053847E-3</v>
      </c>
      <c r="U1643" s="35"/>
      <c r="V1643" s="35"/>
      <c r="W1643" s="35"/>
      <c r="X1643" s="35"/>
    </row>
    <row r="1644" spans="4:24" x14ac:dyDescent="0.3">
      <c r="D1644" s="23">
        <v>41964</v>
      </c>
      <c r="E1644" s="5">
        <v>174.36334199999999</v>
      </c>
      <c r="F1644" s="28">
        <v>63.75996</v>
      </c>
      <c r="G1644" s="28">
        <v>115.39</v>
      </c>
      <c r="H1644" s="28">
        <v>96.210849999999994</v>
      </c>
      <c r="I1644" s="28">
        <v>89.957099999999997</v>
      </c>
      <c r="J1644" s="29"/>
      <c r="K1644" s="29"/>
      <c r="L1644" s="29"/>
      <c r="M1644" s="29"/>
      <c r="N1644" s="29"/>
      <c r="P1644" s="4">
        <f t="shared" si="104"/>
        <v>5.3363062374558153E-3</v>
      </c>
      <c r="Q1644" s="4">
        <f t="shared" si="104"/>
        <v>2.1857321320018852E-3</v>
      </c>
      <c r="R1644" s="4">
        <f t="shared" si="104"/>
        <v>4.6036997704258118E-3</v>
      </c>
      <c r="S1644" s="4">
        <f t="shared" si="104"/>
        <v>1.9273145893322701E-3</v>
      </c>
      <c r="T1644" s="4">
        <f t="shared" si="104"/>
        <v>5.2783040216772201E-3</v>
      </c>
      <c r="U1644" s="35"/>
      <c r="V1644" s="35"/>
      <c r="W1644" s="35"/>
      <c r="X1644" s="35"/>
    </row>
    <row r="1645" spans="4:24" x14ac:dyDescent="0.3">
      <c r="D1645" s="23">
        <v>41967</v>
      </c>
      <c r="E1645" s="5">
        <v>174.85270700000001</v>
      </c>
      <c r="F1645" s="28">
        <v>63.767699999999998</v>
      </c>
      <c r="G1645" s="28">
        <v>115.11</v>
      </c>
      <c r="H1645" s="28">
        <v>96.961119999999994</v>
      </c>
      <c r="I1645" s="28">
        <v>90.286929999999998</v>
      </c>
      <c r="J1645" s="29"/>
      <c r="K1645" s="29"/>
      <c r="L1645" s="29"/>
      <c r="M1645" s="29"/>
      <c r="N1645" s="29"/>
      <c r="P1645" s="4">
        <f t="shared" si="104"/>
        <v>2.8026508044255963E-3</v>
      </c>
      <c r="Q1645" s="4">
        <f t="shared" si="104"/>
        <v>1.2138543135656529E-4</v>
      </c>
      <c r="R1645" s="4">
        <f t="shared" si="104"/>
        <v>-2.4295022796056802E-3</v>
      </c>
      <c r="S1645" s="4">
        <f t="shared" si="104"/>
        <v>7.767936234806286E-3</v>
      </c>
      <c r="T1645" s="4">
        <f t="shared" si="104"/>
        <v>3.6598201688341817E-3</v>
      </c>
      <c r="U1645" s="35"/>
      <c r="V1645" s="35"/>
      <c r="W1645" s="35"/>
      <c r="X1645" s="35"/>
    </row>
    <row r="1646" spans="4:24" x14ac:dyDescent="0.3">
      <c r="D1646" s="23">
        <v>41968</v>
      </c>
      <c r="E1646" s="5">
        <v>174.72610499999999</v>
      </c>
      <c r="F1646" s="28">
        <v>63.883690000000001</v>
      </c>
      <c r="G1646" s="28">
        <v>115.38</v>
      </c>
      <c r="H1646" s="28">
        <v>97.10933</v>
      </c>
      <c r="I1646" s="28">
        <v>90.27</v>
      </c>
      <c r="J1646" s="29"/>
      <c r="K1646" s="29"/>
      <c r="L1646" s="29"/>
      <c r="M1646" s="29"/>
      <c r="N1646" s="29"/>
      <c r="P1646" s="4">
        <f t="shared" si="104"/>
        <v>-7.2431166414582823E-4</v>
      </c>
      <c r="Q1646" s="4">
        <f t="shared" si="104"/>
        <v>1.8172936765037133E-3</v>
      </c>
      <c r="R1646" s="4">
        <f t="shared" si="104"/>
        <v>2.3428359017726671E-3</v>
      </c>
      <c r="S1646" s="4">
        <f t="shared" si="104"/>
        <v>1.527383780614604E-3</v>
      </c>
      <c r="T1646" s="4">
        <f t="shared" si="104"/>
        <v>-1.8753088069917471E-4</v>
      </c>
      <c r="U1646" s="35"/>
      <c r="V1646" s="35"/>
      <c r="W1646" s="35"/>
      <c r="X1646" s="35"/>
    </row>
    <row r="1647" spans="4:24" x14ac:dyDescent="0.3">
      <c r="D1647" s="23">
        <v>41969</v>
      </c>
      <c r="E1647" s="5">
        <v>175.17326399999999</v>
      </c>
      <c r="F1647" s="28">
        <v>63.976520000000001</v>
      </c>
      <c r="G1647" s="28">
        <v>115.16</v>
      </c>
      <c r="H1647" s="28">
        <v>97.739170000000001</v>
      </c>
      <c r="I1647" s="28">
        <v>90.472970000000004</v>
      </c>
      <c r="J1647" s="29"/>
      <c r="K1647" s="29"/>
      <c r="L1647" s="29"/>
      <c r="M1647" s="29"/>
      <c r="N1647" s="29"/>
      <c r="P1647" s="4">
        <f t="shared" si="104"/>
        <v>2.5559305506070444E-3</v>
      </c>
      <c r="Q1647" s="4">
        <f t="shared" si="104"/>
        <v>1.4520548075233589E-3</v>
      </c>
      <c r="R1647" s="4">
        <f t="shared" si="104"/>
        <v>-1.908563084768273E-3</v>
      </c>
      <c r="S1647" s="4">
        <f t="shared" si="104"/>
        <v>6.4649426986004366E-3</v>
      </c>
      <c r="T1647" s="4">
        <f t="shared" si="104"/>
        <v>2.2459527506955186E-3</v>
      </c>
      <c r="U1647" s="35"/>
      <c r="V1647" s="35"/>
      <c r="W1647" s="35"/>
      <c r="X1647" s="35"/>
    </row>
    <row r="1648" spans="4:24" x14ac:dyDescent="0.3">
      <c r="D1648" s="23">
        <v>41971</v>
      </c>
      <c r="E1648" s="5">
        <v>174.80209400000001</v>
      </c>
      <c r="F1648" s="28">
        <v>64.084760000000003</v>
      </c>
      <c r="G1648" s="28">
        <v>112.11</v>
      </c>
      <c r="H1648" s="28">
        <v>98.193049999999999</v>
      </c>
      <c r="I1648" s="28">
        <v>90.151610000000005</v>
      </c>
      <c r="J1648" s="29"/>
      <c r="K1648" s="29"/>
      <c r="L1648" s="29"/>
      <c r="M1648" s="29"/>
      <c r="N1648" s="29"/>
      <c r="P1648" s="4">
        <f t="shared" si="104"/>
        <v>-2.1211215628651713E-3</v>
      </c>
      <c r="Q1648" s="4">
        <f t="shared" si="104"/>
        <v>1.6904411040632851E-3</v>
      </c>
      <c r="R1648" s="4">
        <f t="shared" si="104"/>
        <v>-2.6841933578472837E-2</v>
      </c>
      <c r="S1648" s="4">
        <f t="shared" si="104"/>
        <v>4.6330390364533259E-3</v>
      </c>
      <c r="T1648" s="4">
        <f t="shared" si="104"/>
        <v>-3.558323447222293E-3</v>
      </c>
      <c r="U1648" s="35"/>
      <c r="V1648" s="35"/>
      <c r="W1648" s="35"/>
      <c r="X1648" s="35"/>
    </row>
    <row r="1649" spans="4:24" x14ac:dyDescent="0.3">
      <c r="D1649" s="23">
        <v>41974</v>
      </c>
      <c r="E1649" s="5">
        <v>173.587219</v>
      </c>
      <c r="F1649" s="28">
        <v>63.988639999999997</v>
      </c>
      <c r="G1649" s="28">
        <v>116.58</v>
      </c>
      <c r="H1649" s="28">
        <v>97.081549999999993</v>
      </c>
      <c r="I1649" s="28">
        <v>89.390500000000003</v>
      </c>
      <c r="J1649" s="29"/>
      <c r="K1649" s="29"/>
      <c r="L1649" s="29"/>
      <c r="M1649" s="29"/>
      <c r="N1649" s="29"/>
      <c r="P1649" s="4">
        <f t="shared" si="104"/>
        <v>-6.97426631068266E-3</v>
      </c>
      <c r="Q1649" s="4">
        <f t="shared" si="104"/>
        <v>-1.5010145439551248E-3</v>
      </c>
      <c r="R1649" s="4">
        <f t="shared" si="104"/>
        <v>3.9097200451901563E-2</v>
      </c>
      <c r="S1649" s="4">
        <f t="shared" si="104"/>
        <v>-1.1384091980699623E-2</v>
      </c>
      <c r="T1649" s="4">
        <f t="shared" si="104"/>
        <v>-8.4783960625882254E-3</v>
      </c>
      <c r="U1649" s="35"/>
      <c r="V1649" s="35"/>
      <c r="W1649" s="35"/>
      <c r="X1649" s="35"/>
    </row>
    <row r="1650" spans="4:24" x14ac:dyDescent="0.3">
      <c r="D1650" s="23">
        <v>41975</v>
      </c>
      <c r="E1650" s="5">
        <v>174.70919799999999</v>
      </c>
      <c r="F1650" s="28">
        <v>63.849200000000003</v>
      </c>
      <c r="G1650" s="28">
        <v>115.14</v>
      </c>
      <c r="H1650" s="28">
        <v>97.470579999999998</v>
      </c>
      <c r="I1650" s="28">
        <v>89.948660000000004</v>
      </c>
      <c r="J1650" s="29"/>
      <c r="K1650" s="29"/>
      <c r="L1650" s="29"/>
      <c r="M1650" s="29"/>
      <c r="N1650" s="29"/>
      <c r="P1650" s="4">
        <f t="shared" si="104"/>
        <v>6.4426897675848504E-3</v>
      </c>
      <c r="Q1650" s="4">
        <f t="shared" si="104"/>
        <v>-2.1815145703280594E-3</v>
      </c>
      <c r="R1650" s="4">
        <f t="shared" si="104"/>
        <v>-1.2428953369740205E-2</v>
      </c>
      <c r="S1650" s="4">
        <f t="shared" si="104"/>
        <v>3.9992419359269E-3</v>
      </c>
      <c r="T1650" s="4">
        <f t="shared" si="104"/>
        <v>6.2246505695379307E-3</v>
      </c>
      <c r="U1650" s="35"/>
      <c r="V1650" s="35"/>
      <c r="W1650" s="35"/>
      <c r="X1650" s="35"/>
    </row>
    <row r="1651" spans="4:24" x14ac:dyDescent="0.3">
      <c r="D1651" s="23">
        <v>41976</v>
      </c>
      <c r="E1651" s="5">
        <v>175.38412500000001</v>
      </c>
      <c r="F1651" s="28">
        <v>63.833680000000001</v>
      </c>
      <c r="G1651" s="28">
        <v>116.33</v>
      </c>
      <c r="H1651" s="28">
        <v>97.64658</v>
      </c>
      <c r="I1651" s="28">
        <v>90.354590000000002</v>
      </c>
      <c r="J1651" s="29"/>
      <c r="K1651" s="29"/>
      <c r="L1651" s="29"/>
      <c r="M1651" s="29"/>
      <c r="N1651" s="29"/>
      <c r="P1651" s="4">
        <f t="shared" si="104"/>
        <v>3.855702418790268E-3</v>
      </c>
      <c r="Q1651" s="4">
        <f t="shared" si="104"/>
        <v>-2.4310228711065147E-4</v>
      </c>
      <c r="R1651" s="4">
        <f t="shared" si="104"/>
        <v>1.0282200581011572E-2</v>
      </c>
      <c r="S1651" s="4">
        <f t="shared" si="104"/>
        <v>1.8040447875913032E-3</v>
      </c>
      <c r="T1651" s="4">
        <f t="shared" si="104"/>
        <v>4.5027550623259645E-3</v>
      </c>
      <c r="U1651" s="35"/>
      <c r="V1651" s="35"/>
      <c r="W1651" s="35"/>
      <c r="X1651" s="35"/>
    </row>
    <row r="1652" spans="4:24" x14ac:dyDescent="0.3">
      <c r="D1652" s="23">
        <v>41977</v>
      </c>
      <c r="E1652" s="5">
        <v>175.19014000000001</v>
      </c>
      <c r="F1652" s="28">
        <v>63.942189999999997</v>
      </c>
      <c r="G1652" s="28">
        <v>115.88</v>
      </c>
      <c r="H1652" s="28">
        <v>97.600260000000006</v>
      </c>
      <c r="I1652" s="28">
        <v>90.244640000000004</v>
      </c>
      <c r="J1652" s="29"/>
      <c r="K1652" s="29"/>
      <c r="L1652" s="29"/>
      <c r="M1652" s="29"/>
      <c r="N1652" s="29"/>
      <c r="P1652" s="4">
        <f t="shared" si="104"/>
        <v>-1.1066700506272942E-3</v>
      </c>
      <c r="Q1652" s="4">
        <f t="shared" si="104"/>
        <v>1.6984431580857136E-3</v>
      </c>
      <c r="R1652" s="4">
        <f t="shared" si="104"/>
        <v>-3.875806927525417E-3</v>
      </c>
      <c r="S1652" s="4">
        <f t="shared" si="104"/>
        <v>-4.7447631796744972E-4</v>
      </c>
      <c r="T1652" s="4">
        <f t="shared" si="104"/>
        <v>-1.2176133152301608E-3</v>
      </c>
      <c r="U1652" s="35"/>
      <c r="V1652" s="35"/>
      <c r="W1652" s="35"/>
      <c r="X1652" s="35"/>
    </row>
    <row r="1653" spans="4:24" x14ac:dyDescent="0.3">
      <c r="D1653" s="23">
        <v>41978</v>
      </c>
      <c r="E1653" s="5">
        <v>175.47699</v>
      </c>
      <c r="F1653" s="28">
        <v>63.756189999999997</v>
      </c>
      <c r="G1653" s="28">
        <v>114.43</v>
      </c>
      <c r="H1653" s="28">
        <v>97.609520000000003</v>
      </c>
      <c r="I1653" s="28">
        <v>90.447620000000001</v>
      </c>
      <c r="J1653" s="29"/>
      <c r="K1653" s="29"/>
      <c r="L1653" s="29"/>
      <c r="M1653" s="29"/>
      <c r="N1653" s="29"/>
      <c r="P1653" s="4">
        <f t="shared" ref="P1653:T1668" si="105">LN(E1653/E1652)</f>
        <v>1.636024819214285E-3</v>
      </c>
      <c r="Q1653" s="4">
        <f t="shared" si="105"/>
        <v>-2.9131165412877727E-3</v>
      </c>
      <c r="R1653" s="4">
        <f t="shared" si="105"/>
        <v>-1.2591890571526154E-2</v>
      </c>
      <c r="S1653" s="4">
        <f t="shared" si="105"/>
        <v>9.4872295916238571E-5</v>
      </c>
      <c r="T1653" s="4">
        <f t="shared" si="105"/>
        <v>2.2466937474874484E-3</v>
      </c>
      <c r="U1653" s="35"/>
      <c r="V1653" s="35"/>
      <c r="W1653" s="35"/>
      <c r="X1653" s="35"/>
    </row>
    <row r="1654" spans="4:24" x14ac:dyDescent="0.3">
      <c r="D1654" s="23">
        <v>41981</v>
      </c>
      <c r="E1654" s="5">
        <v>174.304306</v>
      </c>
      <c r="F1654" s="28">
        <v>63.887929999999997</v>
      </c>
      <c r="G1654" s="28">
        <v>115.78</v>
      </c>
      <c r="H1654" s="28">
        <v>96.914829999999995</v>
      </c>
      <c r="I1654" s="28">
        <v>89.80489</v>
      </c>
      <c r="J1654" s="29"/>
      <c r="K1654" s="29"/>
      <c r="L1654" s="29"/>
      <c r="M1654" s="29"/>
      <c r="N1654" s="29"/>
      <c r="P1654" s="4">
        <f t="shared" si="105"/>
        <v>-6.7052664457576882E-3</v>
      </c>
      <c r="Q1654" s="4">
        <f t="shared" si="105"/>
        <v>2.0641772888056521E-3</v>
      </c>
      <c r="R1654" s="4">
        <f t="shared" si="105"/>
        <v>1.1728556321235116E-2</v>
      </c>
      <c r="S1654" s="4">
        <f t="shared" si="105"/>
        <v>-7.1424780835711342E-3</v>
      </c>
      <c r="T1654" s="4">
        <f t="shared" si="105"/>
        <v>-7.1314704465155988E-3</v>
      </c>
      <c r="U1654" s="35"/>
      <c r="V1654" s="35"/>
      <c r="W1654" s="35"/>
      <c r="X1654" s="35"/>
    </row>
    <row r="1655" spans="4:24" x14ac:dyDescent="0.3">
      <c r="D1655" s="23">
        <v>41982</v>
      </c>
      <c r="E1655" s="5">
        <v>174.18620300000001</v>
      </c>
      <c r="F1655" s="28">
        <v>63.911189999999998</v>
      </c>
      <c r="G1655" s="28">
        <v>118.19</v>
      </c>
      <c r="H1655" s="28">
        <v>97.220510000000004</v>
      </c>
      <c r="I1655" s="28">
        <v>89.855630000000005</v>
      </c>
      <c r="J1655" s="29"/>
      <c r="K1655" s="29"/>
      <c r="L1655" s="29"/>
      <c r="M1655" s="29"/>
      <c r="N1655" s="29"/>
      <c r="P1655" s="4">
        <f t="shared" si="105"/>
        <v>-6.7779753807566904E-4</v>
      </c>
      <c r="Q1655" s="4">
        <f t="shared" si="105"/>
        <v>3.6400877027681453E-4</v>
      </c>
      <c r="R1655" s="4">
        <f t="shared" si="105"/>
        <v>2.0601660373290736E-2</v>
      </c>
      <c r="S1655" s="4">
        <f t="shared" si="105"/>
        <v>3.1491458754709192E-3</v>
      </c>
      <c r="T1655" s="4">
        <f t="shared" si="105"/>
        <v>5.6484308682897184E-4</v>
      </c>
      <c r="U1655" s="35"/>
      <c r="V1655" s="35"/>
      <c r="W1655" s="35"/>
      <c r="X1655" s="35"/>
    </row>
    <row r="1656" spans="4:24" x14ac:dyDescent="0.3">
      <c r="D1656" s="23">
        <v>41983</v>
      </c>
      <c r="E1656" s="5">
        <v>171.393753</v>
      </c>
      <c r="F1656" s="28">
        <v>64.081649999999996</v>
      </c>
      <c r="G1656" s="28">
        <v>117.96</v>
      </c>
      <c r="H1656" s="28">
        <v>95.692160000000001</v>
      </c>
      <c r="I1656" s="28">
        <v>88.384110000000007</v>
      </c>
      <c r="J1656" s="29"/>
      <c r="K1656" s="29"/>
      <c r="L1656" s="29"/>
      <c r="M1656" s="29"/>
      <c r="N1656" s="29"/>
      <c r="P1656" s="4">
        <f t="shared" si="105"/>
        <v>-1.616130062350625E-2</v>
      </c>
      <c r="Q1656" s="4">
        <f t="shared" si="105"/>
        <v>2.6635880691484527E-3</v>
      </c>
      <c r="R1656" s="4">
        <f t="shared" si="105"/>
        <v>-1.9479150770738054E-3</v>
      </c>
      <c r="S1656" s="4">
        <f t="shared" si="105"/>
        <v>-1.5845325009703769E-2</v>
      </c>
      <c r="T1656" s="4">
        <f t="shared" si="105"/>
        <v>-1.6512068900178027E-2</v>
      </c>
      <c r="U1656" s="35"/>
      <c r="V1656" s="35"/>
      <c r="W1656" s="35"/>
      <c r="X1656" s="35"/>
    </row>
    <row r="1657" spans="4:24" x14ac:dyDescent="0.3">
      <c r="D1657" s="23">
        <v>41984</v>
      </c>
      <c r="E1657" s="5">
        <v>172.26267999999999</v>
      </c>
      <c r="F1657" s="28">
        <v>64.019649999999999</v>
      </c>
      <c r="G1657" s="28">
        <v>117.69</v>
      </c>
      <c r="H1657" s="28">
        <v>96.146029999999996</v>
      </c>
      <c r="I1657" s="28">
        <v>88.790059999999997</v>
      </c>
      <c r="J1657" s="29"/>
      <c r="K1657" s="29"/>
      <c r="L1657" s="29"/>
      <c r="M1657" s="29"/>
      <c r="N1657" s="29"/>
      <c r="P1657" s="4">
        <f t="shared" si="105"/>
        <v>5.0569625259750083E-3</v>
      </c>
      <c r="Q1657" s="4">
        <f t="shared" si="105"/>
        <v>-9.6798400704957064E-4</v>
      </c>
      <c r="R1657" s="4">
        <f t="shared" si="105"/>
        <v>-2.2915350575045271E-3</v>
      </c>
      <c r="S1657" s="4">
        <f t="shared" si="105"/>
        <v>4.731809102724591E-3</v>
      </c>
      <c r="T1657" s="4">
        <f t="shared" si="105"/>
        <v>4.5825044405755216E-3</v>
      </c>
      <c r="U1657" s="35"/>
      <c r="V1657" s="35"/>
      <c r="W1657" s="35"/>
      <c r="X1657" s="35"/>
    </row>
    <row r="1658" spans="4:24" x14ac:dyDescent="0.3">
      <c r="D1658" s="23">
        <v>41985</v>
      </c>
      <c r="E1658" s="5">
        <v>169.47869900000001</v>
      </c>
      <c r="F1658" s="28">
        <v>64.236660000000001</v>
      </c>
      <c r="G1658" s="28">
        <v>117.41</v>
      </c>
      <c r="H1658" s="28">
        <v>95.099339999999998</v>
      </c>
      <c r="I1658" s="28">
        <v>87.394649999999999</v>
      </c>
      <c r="J1658" s="29"/>
      <c r="K1658" s="29"/>
      <c r="L1658" s="29"/>
      <c r="M1658" s="29"/>
      <c r="N1658" s="29"/>
      <c r="P1658" s="4">
        <f t="shared" si="105"/>
        <v>-1.6293271810733912E-2</v>
      </c>
      <c r="Q1658" s="4">
        <f t="shared" si="105"/>
        <v>3.3840082736048627E-3</v>
      </c>
      <c r="R1658" s="4">
        <f t="shared" si="105"/>
        <v>-2.3819662474503945E-3</v>
      </c>
      <c r="S1658" s="4">
        <f t="shared" si="105"/>
        <v>-1.0946152066590742E-2</v>
      </c>
      <c r="T1658" s="4">
        <f t="shared" si="105"/>
        <v>-1.5840638822517291E-2</v>
      </c>
      <c r="U1658" s="35"/>
      <c r="V1658" s="35"/>
      <c r="W1658" s="35"/>
      <c r="X1658" s="35"/>
    </row>
    <row r="1659" spans="4:24" x14ac:dyDescent="0.3">
      <c r="D1659" s="23">
        <v>41988</v>
      </c>
      <c r="E1659" s="5">
        <v>168.314438</v>
      </c>
      <c r="F1659" s="28">
        <v>64.120419999999996</v>
      </c>
      <c r="G1659" s="28">
        <v>114.39</v>
      </c>
      <c r="H1659" s="28">
        <v>94.117519999999999</v>
      </c>
      <c r="I1659" s="28">
        <v>86.760360000000006</v>
      </c>
      <c r="J1659" s="29"/>
      <c r="K1659" s="29"/>
      <c r="L1659" s="29"/>
      <c r="M1659" s="29"/>
      <c r="N1659" s="29"/>
      <c r="P1659" s="4">
        <f t="shared" si="105"/>
        <v>-6.8933645050455314E-3</v>
      </c>
      <c r="Q1659" s="4">
        <f t="shared" si="105"/>
        <v>-1.8111978205877831E-3</v>
      </c>
      <c r="R1659" s="4">
        <f t="shared" si="105"/>
        <v>-2.6058420104538391E-2</v>
      </c>
      <c r="S1659" s="4">
        <f t="shared" si="105"/>
        <v>-1.0377815293425449E-2</v>
      </c>
      <c r="T1659" s="4">
        <f t="shared" si="105"/>
        <v>-7.2842326456052505E-3</v>
      </c>
      <c r="U1659" s="35"/>
      <c r="V1659" s="35"/>
      <c r="W1659" s="35"/>
      <c r="X1659" s="35"/>
    </row>
    <row r="1660" spans="4:24" x14ac:dyDescent="0.3">
      <c r="D1660" s="23">
        <v>41989</v>
      </c>
      <c r="E1660" s="5">
        <v>166.96459999999999</v>
      </c>
      <c r="F1660" s="28">
        <v>64.267619999999994</v>
      </c>
      <c r="G1660" s="28">
        <v>114.95</v>
      </c>
      <c r="H1660" s="28">
        <v>92.60772</v>
      </c>
      <c r="I1660" s="28">
        <v>86.117620000000002</v>
      </c>
      <c r="J1660" s="29"/>
      <c r="K1660" s="29"/>
      <c r="L1660" s="29"/>
      <c r="M1660" s="29"/>
      <c r="N1660" s="29"/>
      <c r="P1660" s="4">
        <f t="shared" si="105"/>
        <v>-8.0520709030995532E-3</v>
      </c>
      <c r="Q1660" s="4">
        <f t="shared" si="105"/>
        <v>2.293049484968598E-3</v>
      </c>
      <c r="R1660" s="4">
        <f t="shared" si="105"/>
        <v>4.8835886716085521E-3</v>
      </c>
      <c r="S1660" s="4">
        <f t="shared" si="105"/>
        <v>-1.6171706663187502E-2</v>
      </c>
      <c r="T1660" s="4">
        <f t="shared" si="105"/>
        <v>-7.4357990703172328E-3</v>
      </c>
      <c r="U1660" s="35"/>
      <c r="V1660" s="35"/>
      <c r="W1660" s="35"/>
      <c r="X1660" s="35"/>
    </row>
    <row r="1661" spans="4:24" x14ac:dyDescent="0.3">
      <c r="D1661" s="23">
        <v>41990</v>
      </c>
      <c r="E1661" s="5">
        <v>170.23793000000001</v>
      </c>
      <c r="F1661" s="28">
        <v>64.112669999999994</v>
      </c>
      <c r="G1661" s="28">
        <v>114.27</v>
      </c>
      <c r="H1661" s="28">
        <v>94.293499999999995</v>
      </c>
      <c r="I1661" s="28">
        <v>87.961250000000007</v>
      </c>
      <c r="J1661" s="29"/>
      <c r="K1661" s="29"/>
      <c r="L1661" s="29"/>
      <c r="M1661" s="29"/>
      <c r="N1661" s="29"/>
      <c r="P1661" s="4">
        <f t="shared" si="105"/>
        <v>1.9415232876090472E-2</v>
      </c>
      <c r="Q1661" s="4">
        <f t="shared" si="105"/>
        <v>-2.413923122333678E-3</v>
      </c>
      <c r="R1661" s="4">
        <f t="shared" si="105"/>
        <v>-5.9331820505682444E-3</v>
      </c>
      <c r="S1661" s="4">
        <f t="shared" si="105"/>
        <v>1.8039750805985619E-2</v>
      </c>
      <c r="T1661" s="4">
        <f t="shared" si="105"/>
        <v>2.1182340333246171E-2</v>
      </c>
      <c r="U1661" s="35"/>
      <c r="V1661" s="35"/>
      <c r="W1661" s="35"/>
      <c r="X1661" s="35"/>
    </row>
    <row r="1662" spans="4:24" x14ac:dyDescent="0.3">
      <c r="D1662" s="23">
        <v>41991</v>
      </c>
      <c r="E1662" s="5">
        <v>174.447723</v>
      </c>
      <c r="F1662" s="28">
        <v>64.011939999999996</v>
      </c>
      <c r="G1662" s="28">
        <v>115.15</v>
      </c>
      <c r="H1662" s="28">
        <v>96.562870000000004</v>
      </c>
      <c r="I1662" s="28">
        <v>90.041669999999996</v>
      </c>
      <c r="J1662" s="29"/>
      <c r="K1662" s="29"/>
      <c r="L1662" s="29"/>
      <c r="M1662" s="29"/>
      <c r="N1662" s="29"/>
      <c r="P1662" s="4">
        <f t="shared" si="105"/>
        <v>2.4428068322196891E-2</v>
      </c>
      <c r="Q1662" s="4">
        <f t="shared" si="105"/>
        <v>-1.5723758418222148E-3</v>
      </c>
      <c r="R1662" s="4">
        <f t="shared" si="105"/>
        <v>7.6715571080718274E-3</v>
      </c>
      <c r="S1662" s="4">
        <f t="shared" si="105"/>
        <v>2.3782040486390592E-2</v>
      </c>
      <c r="T1662" s="4">
        <f t="shared" si="105"/>
        <v>2.3376186588250424E-2</v>
      </c>
      <c r="U1662" s="35"/>
      <c r="V1662" s="35"/>
      <c r="W1662" s="35"/>
      <c r="X1662" s="35"/>
    </row>
    <row r="1663" spans="4:24" x14ac:dyDescent="0.3">
      <c r="D1663" s="23">
        <v>41992</v>
      </c>
      <c r="E1663" s="5">
        <v>175.18997200000001</v>
      </c>
      <c r="F1663" s="28">
        <v>64.151359999999997</v>
      </c>
      <c r="G1663" s="28">
        <v>114.77</v>
      </c>
      <c r="H1663" s="28">
        <v>96.987719999999996</v>
      </c>
      <c r="I1663" s="28">
        <v>90.413780000000003</v>
      </c>
      <c r="J1663" s="29"/>
      <c r="K1663" s="29"/>
      <c r="L1663" s="29"/>
      <c r="M1663" s="29"/>
      <c r="N1663" s="29"/>
      <c r="P1663" s="4">
        <f t="shared" si="105"/>
        <v>4.2458243242035508E-3</v>
      </c>
      <c r="Q1663" s="4">
        <f t="shared" si="105"/>
        <v>2.1756626896384775E-3</v>
      </c>
      <c r="R1663" s="4">
        <f t="shared" si="105"/>
        <v>-3.3055005741172909E-3</v>
      </c>
      <c r="S1663" s="4">
        <f t="shared" si="105"/>
        <v>4.3900737511090625E-3</v>
      </c>
      <c r="T1663" s="4">
        <f t="shared" si="105"/>
        <v>4.1241262307866759E-3</v>
      </c>
      <c r="U1663" s="35"/>
      <c r="V1663" s="35"/>
      <c r="W1663" s="35"/>
      <c r="X1663" s="35"/>
    </row>
    <row r="1664" spans="4:24" x14ac:dyDescent="0.3">
      <c r="D1664" s="23">
        <v>41995</v>
      </c>
      <c r="E1664" s="5">
        <v>175.99584999999999</v>
      </c>
      <c r="F1664" s="28">
        <v>64.120419999999996</v>
      </c>
      <c r="G1664" s="28">
        <v>112.55</v>
      </c>
      <c r="H1664" s="28">
        <v>97.22945</v>
      </c>
      <c r="I1664" s="28">
        <v>90.771720000000002</v>
      </c>
      <c r="J1664" s="29"/>
      <c r="K1664" s="29"/>
      <c r="L1664" s="29"/>
      <c r="M1664" s="29"/>
      <c r="N1664" s="29"/>
      <c r="P1664" s="4">
        <f t="shared" si="105"/>
        <v>4.5894757934515987E-3</v>
      </c>
      <c r="Q1664" s="4">
        <f t="shared" si="105"/>
        <v>-4.8241321045112474E-4</v>
      </c>
      <c r="R1664" s="4">
        <f t="shared" si="105"/>
        <v>-1.9532558339835738E-2</v>
      </c>
      <c r="S1664" s="4">
        <f t="shared" si="105"/>
        <v>2.4892765642016766E-3</v>
      </c>
      <c r="T1664" s="4">
        <f t="shared" si="105"/>
        <v>3.9510939413393131E-3</v>
      </c>
      <c r="U1664" s="35"/>
      <c r="V1664" s="35"/>
      <c r="W1664" s="35"/>
      <c r="X1664" s="35"/>
    </row>
    <row r="1665" spans="4:24" x14ac:dyDescent="0.3">
      <c r="D1665" s="23">
        <v>41996</v>
      </c>
      <c r="E1665" s="5">
        <v>176.23335299999999</v>
      </c>
      <c r="F1665" s="28">
        <v>63.840899999999998</v>
      </c>
      <c r="G1665" s="28">
        <v>112.74</v>
      </c>
      <c r="H1665" s="28">
        <v>96.885450000000006</v>
      </c>
      <c r="I1665" s="28">
        <v>90.975759999999994</v>
      </c>
      <c r="J1665" s="29"/>
      <c r="K1665" s="29"/>
      <c r="L1665" s="29"/>
      <c r="M1665" s="29"/>
      <c r="N1665" s="29"/>
      <c r="P1665" s="4">
        <f t="shared" si="105"/>
        <v>1.3485709530702535E-3</v>
      </c>
      <c r="Q1665" s="4">
        <f t="shared" si="105"/>
        <v>-4.3688271516982057E-3</v>
      </c>
      <c r="R1665" s="4">
        <f t="shared" si="105"/>
        <v>1.686715300687732E-3</v>
      </c>
      <c r="S1665" s="4">
        <f t="shared" si="105"/>
        <v>-3.5442962916460586E-3</v>
      </c>
      <c r="T1665" s="4">
        <f t="shared" si="105"/>
        <v>2.2453140557568275E-3</v>
      </c>
      <c r="U1665" s="35"/>
      <c r="V1665" s="35"/>
      <c r="W1665" s="35"/>
      <c r="X1665" s="35"/>
    </row>
    <row r="1666" spans="4:24" x14ac:dyDescent="0.3">
      <c r="D1666" s="23">
        <v>41997</v>
      </c>
      <c r="E1666" s="5">
        <v>176.25036600000001</v>
      </c>
      <c r="F1666" s="28">
        <v>63.864269999999998</v>
      </c>
      <c r="G1666" s="28">
        <v>112.77</v>
      </c>
      <c r="H1666" s="28">
        <v>96.969130000000007</v>
      </c>
      <c r="I1666" s="28">
        <v>91.001270000000005</v>
      </c>
      <c r="J1666" s="29"/>
      <c r="K1666" s="29"/>
      <c r="L1666" s="29"/>
      <c r="M1666" s="29"/>
      <c r="N1666" s="29"/>
      <c r="P1666" s="4">
        <f t="shared" si="105"/>
        <v>9.6532118200970052E-5</v>
      </c>
      <c r="Q1666" s="4">
        <f t="shared" si="105"/>
        <v>3.659992819536303E-4</v>
      </c>
      <c r="R1666" s="4">
        <f t="shared" si="105"/>
        <v>2.6606359076742964E-4</v>
      </c>
      <c r="S1666" s="4">
        <f t="shared" si="105"/>
        <v>8.6332760564609913E-4</v>
      </c>
      <c r="T1666" s="4">
        <f t="shared" si="105"/>
        <v>2.8036505670098736E-4</v>
      </c>
      <c r="U1666" s="35"/>
      <c r="V1666" s="35"/>
      <c r="W1666" s="35"/>
      <c r="X1666" s="35"/>
    </row>
    <row r="1667" spans="4:24" x14ac:dyDescent="0.3">
      <c r="D1667" s="23">
        <v>41999</v>
      </c>
      <c r="E1667" s="5">
        <v>176.81871000000001</v>
      </c>
      <c r="F1667" s="28">
        <v>63.918819999999997</v>
      </c>
      <c r="G1667" s="28">
        <v>114.83</v>
      </c>
      <c r="H1667" s="28">
        <v>97.657139999999998</v>
      </c>
      <c r="I1667" s="28">
        <v>91.273309999999995</v>
      </c>
      <c r="J1667" s="29"/>
      <c r="K1667" s="29"/>
      <c r="L1667" s="29"/>
      <c r="M1667" s="29"/>
      <c r="N1667" s="29"/>
      <c r="P1667" s="4">
        <f t="shared" si="105"/>
        <v>3.2194521102775426E-3</v>
      </c>
      <c r="Q1667" s="4">
        <f t="shared" si="105"/>
        <v>8.5379064340558358E-4</v>
      </c>
      <c r="R1667" s="4">
        <f t="shared" si="105"/>
        <v>1.8102427543901588E-2</v>
      </c>
      <c r="S1667" s="4">
        <f t="shared" si="105"/>
        <v>7.0700925000020684E-3</v>
      </c>
      <c r="T1667" s="4">
        <f t="shared" si="105"/>
        <v>2.9849494316531743E-3</v>
      </c>
      <c r="U1667" s="35"/>
      <c r="V1667" s="35"/>
      <c r="W1667" s="35"/>
      <c r="X1667" s="35"/>
    </row>
    <row r="1668" spans="4:24" x14ac:dyDescent="0.3">
      <c r="D1668" s="23">
        <v>42002</v>
      </c>
      <c r="E1668" s="5">
        <v>177.05619799999999</v>
      </c>
      <c r="F1668" s="28">
        <v>64.027720000000002</v>
      </c>
      <c r="G1668" s="28">
        <v>113.67</v>
      </c>
      <c r="H1668" s="28">
        <v>97.638509999999997</v>
      </c>
      <c r="I1668" s="28">
        <v>91.468819999999994</v>
      </c>
      <c r="J1668" s="29"/>
      <c r="K1668" s="29"/>
      <c r="L1668" s="29"/>
      <c r="M1668" s="29"/>
      <c r="N1668" s="29"/>
      <c r="P1668" s="4">
        <f t="shared" si="105"/>
        <v>1.3422146090881725E-3</v>
      </c>
      <c r="Q1668" s="4">
        <f t="shared" si="105"/>
        <v>1.7022738762137019E-3</v>
      </c>
      <c r="R1668" s="4">
        <f t="shared" si="105"/>
        <v>-1.0153260089478819E-2</v>
      </c>
      <c r="S1668" s="4">
        <f t="shared" si="105"/>
        <v>-1.9078766021176282E-4</v>
      </c>
      <c r="T1668" s="4">
        <f t="shared" si="105"/>
        <v>2.1397372854830804E-3</v>
      </c>
      <c r="U1668" s="35"/>
      <c r="V1668" s="35"/>
      <c r="W1668" s="35"/>
      <c r="X1668" s="35"/>
    </row>
    <row r="1669" spans="4:24" x14ac:dyDescent="0.3">
      <c r="D1669" s="23">
        <v>42003</v>
      </c>
      <c r="E1669" s="5">
        <v>176.106155</v>
      </c>
      <c r="F1669" s="28">
        <v>64.074489999999997</v>
      </c>
      <c r="G1669" s="28">
        <v>115.2</v>
      </c>
      <c r="H1669" s="28">
        <v>96.987719999999996</v>
      </c>
      <c r="I1669" s="28">
        <v>91.018259999999998</v>
      </c>
      <c r="J1669" s="29"/>
      <c r="K1669" s="29"/>
      <c r="L1669" s="29"/>
      <c r="M1669" s="29"/>
      <c r="N1669" s="29"/>
      <c r="P1669" s="4">
        <f t="shared" ref="P1669:T1684" si="106">LN(E1669/E1668)</f>
        <v>-5.3802183819990157E-3</v>
      </c>
      <c r="Q1669" s="4">
        <f t="shared" si="106"/>
        <v>7.3019820779207374E-4</v>
      </c>
      <c r="R1669" s="4">
        <f t="shared" si="106"/>
        <v>1.3370234563171858E-2</v>
      </c>
      <c r="S1669" s="4">
        <f t="shared" si="106"/>
        <v>-6.6876127179918855E-3</v>
      </c>
      <c r="T1669" s="4">
        <f t="shared" si="106"/>
        <v>-4.9380034524413403E-3</v>
      </c>
      <c r="U1669" s="35"/>
      <c r="V1669" s="35"/>
      <c r="W1669" s="35"/>
      <c r="X1669" s="35"/>
    </row>
    <row r="1670" spans="4:24" x14ac:dyDescent="0.3">
      <c r="D1670" s="23">
        <v>42004</v>
      </c>
      <c r="E1670" s="5">
        <v>174.35862700000001</v>
      </c>
      <c r="F1670" s="28">
        <v>64.121170000000006</v>
      </c>
      <c r="G1670" s="28">
        <v>113.58</v>
      </c>
      <c r="H1670" s="28">
        <v>95.992919999999998</v>
      </c>
      <c r="I1670" s="28">
        <v>90.117069999999998</v>
      </c>
      <c r="J1670" s="29"/>
      <c r="K1670" s="29"/>
      <c r="L1670" s="29"/>
      <c r="M1670" s="29"/>
      <c r="N1670" s="29"/>
      <c r="P1670" s="4">
        <f t="shared" si="106"/>
        <v>-9.9727137966485035E-3</v>
      </c>
      <c r="Q1670" s="4">
        <f t="shared" si="106"/>
        <v>7.2826181577634612E-4</v>
      </c>
      <c r="R1670" s="4">
        <f t="shared" si="106"/>
        <v>-1.4162313812504473E-2</v>
      </c>
      <c r="S1670" s="4">
        <f t="shared" si="106"/>
        <v>-1.0309933802871821E-2</v>
      </c>
      <c r="T1670" s="4">
        <f t="shared" si="106"/>
        <v>-9.9505428985537207E-3</v>
      </c>
      <c r="U1670" s="35"/>
      <c r="V1670" s="35"/>
      <c r="W1670" s="35"/>
      <c r="X1670" s="35"/>
    </row>
    <row r="1671" spans="4:24" x14ac:dyDescent="0.3">
      <c r="D1671" s="23">
        <v>42006</v>
      </c>
      <c r="E1671" s="5">
        <v>174.26535000000001</v>
      </c>
      <c r="F1671" s="28">
        <v>64.339129999999997</v>
      </c>
      <c r="G1671" s="28">
        <v>114.08</v>
      </c>
      <c r="H1671" s="28">
        <v>95.704710000000006</v>
      </c>
      <c r="I1671" s="28">
        <v>90.04907</v>
      </c>
      <c r="J1671" s="29"/>
      <c r="K1671" s="29"/>
      <c r="L1671" s="29"/>
      <c r="M1671" s="29"/>
      <c r="N1671" s="29"/>
      <c r="P1671" s="4">
        <f t="shared" si="106"/>
        <v>-5.3511524381354158E-4</v>
      </c>
      <c r="Q1671" s="4">
        <f t="shared" si="106"/>
        <v>3.3934251929477171E-3</v>
      </c>
      <c r="R1671" s="4">
        <f t="shared" si="106"/>
        <v>4.3925222166992248E-3</v>
      </c>
      <c r="S1671" s="4">
        <f t="shared" si="106"/>
        <v>-3.0069251994045919E-3</v>
      </c>
      <c r="T1671" s="4">
        <f t="shared" si="106"/>
        <v>-7.5485885670788168E-4</v>
      </c>
      <c r="U1671" s="35"/>
      <c r="V1671" s="35"/>
      <c r="W1671" s="35"/>
      <c r="X1671" s="35"/>
    </row>
    <row r="1672" spans="4:24" x14ac:dyDescent="0.3">
      <c r="D1672" s="23">
        <v>42009</v>
      </c>
      <c r="E1672" s="5">
        <v>171.11816400000001</v>
      </c>
      <c r="F1672" s="28">
        <v>64.525959999999998</v>
      </c>
      <c r="G1672" s="28">
        <v>115.8</v>
      </c>
      <c r="H1672" s="28">
        <v>94.300839999999994</v>
      </c>
      <c r="I1672" s="28">
        <v>88.501760000000004</v>
      </c>
      <c r="J1672" s="29"/>
      <c r="K1672" s="29"/>
      <c r="L1672" s="29"/>
      <c r="M1672" s="29"/>
      <c r="N1672" s="29"/>
      <c r="P1672" s="4">
        <f t="shared" si="106"/>
        <v>-1.8224802179043532E-2</v>
      </c>
      <c r="Q1672" s="4">
        <f t="shared" si="106"/>
        <v>2.8996236436523931E-3</v>
      </c>
      <c r="R1672" s="4">
        <f t="shared" si="106"/>
        <v>1.4964608472908973E-2</v>
      </c>
      <c r="S1672" s="4">
        <f t="shared" si="106"/>
        <v>-1.477741620777728E-2</v>
      </c>
      <c r="T1672" s="4">
        <f t="shared" si="106"/>
        <v>-1.7332305151065305E-2</v>
      </c>
      <c r="U1672" s="35"/>
      <c r="V1672" s="35"/>
      <c r="W1672" s="35"/>
      <c r="X1672" s="35"/>
    </row>
    <row r="1673" spans="4:24" x14ac:dyDescent="0.3">
      <c r="D1673" s="23">
        <v>42010</v>
      </c>
      <c r="E1673" s="5">
        <v>169.506393</v>
      </c>
      <c r="F1673" s="28">
        <v>64.71284</v>
      </c>
      <c r="G1673" s="28">
        <v>117.12</v>
      </c>
      <c r="H1673" s="28">
        <v>93.036429999999996</v>
      </c>
      <c r="I1673" s="28">
        <v>87.634619999999998</v>
      </c>
      <c r="J1673" s="29"/>
      <c r="K1673" s="29"/>
      <c r="L1673" s="29"/>
      <c r="M1673" s="29"/>
      <c r="N1673" s="29"/>
      <c r="P1673" s="4">
        <f t="shared" si="106"/>
        <v>-9.4636924804247097E-3</v>
      </c>
      <c r="Q1673" s="4">
        <f t="shared" si="106"/>
        <v>2.8920127740471031E-3</v>
      </c>
      <c r="R1673" s="4">
        <f t="shared" si="106"/>
        <v>1.1334485074106644E-2</v>
      </c>
      <c r="S1673" s="4">
        <f t="shared" si="106"/>
        <v>-1.349896046004365E-2</v>
      </c>
      <c r="T1673" s="4">
        <f t="shared" si="106"/>
        <v>-9.8463134731081609E-3</v>
      </c>
      <c r="U1673" s="35"/>
      <c r="V1673" s="35"/>
      <c r="W1673" s="35"/>
      <c r="X1673" s="35"/>
    </row>
    <row r="1674" spans="4:24" x14ac:dyDescent="0.3">
      <c r="D1674" s="23">
        <v>42011</v>
      </c>
      <c r="E1674" s="5">
        <v>171.61866800000001</v>
      </c>
      <c r="F1674" s="28">
        <v>64.751720000000006</v>
      </c>
      <c r="G1674" s="28">
        <v>116.43</v>
      </c>
      <c r="H1674" s="28">
        <v>94.235789999999994</v>
      </c>
      <c r="I1674" s="28">
        <v>88.680289999999999</v>
      </c>
      <c r="J1674" s="29"/>
      <c r="K1674" s="29"/>
      <c r="L1674" s="29"/>
      <c r="M1674" s="29"/>
      <c r="N1674" s="29"/>
      <c r="P1674" s="4">
        <f t="shared" si="106"/>
        <v>1.2384326092274687E-2</v>
      </c>
      <c r="Q1674" s="4">
        <f t="shared" si="106"/>
        <v>6.0062771107167979E-4</v>
      </c>
      <c r="R1674" s="4">
        <f t="shared" si="106"/>
        <v>-5.9088161640767538E-3</v>
      </c>
      <c r="S1674" s="4">
        <f t="shared" si="106"/>
        <v>1.2808908849582225E-2</v>
      </c>
      <c r="T1674" s="4">
        <f t="shared" si="106"/>
        <v>1.1861529579016714E-2</v>
      </c>
      <c r="U1674" s="35"/>
      <c r="V1674" s="35"/>
      <c r="W1674" s="35"/>
      <c r="X1674" s="35"/>
    </row>
    <row r="1675" spans="4:24" x14ac:dyDescent="0.3">
      <c r="D1675" s="23">
        <v>42012</v>
      </c>
      <c r="E1675" s="5">
        <v>174.664017</v>
      </c>
      <c r="F1675" s="28">
        <v>64.65052</v>
      </c>
      <c r="G1675" s="28">
        <v>115.94</v>
      </c>
      <c r="H1675" s="28">
        <v>96.039420000000007</v>
      </c>
      <c r="I1675" s="28">
        <v>90.244609999999994</v>
      </c>
      <c r="J1675" s="29"/>
      <c r="K1675" s="29"/>
      <c r="L1675" s="29"/>
      <c r="M1675" s="29"/>
      <c r="N1675" s="29"/>
      <c r="P1675" s="4">
        <f t="shared" si="106"/>
        <v>1.7589256674863302E-2</v>
      </c>
      <c r="Q1675" s="4">
        <f t="shared" si="106"/>
        <v>-1.564115437751242E-3</v>
      </c>
      <c r="R1675" s="4">
        <f t="shared" si="106"/>
        <v>-4.2174181373379437E-3</v>
      </c>
      <c r="S1675" s="4">
        <f t="shared" si="106"/>
        <v>1.895868645393493E-2</v>
      </c>
      <c r="T1675" s="4">
        <f t="shared" si="106"/>
        <v>1.7486217510113315E-2</v>
      </c>
      <c r="U1675" s="35"/>
      <c r="V1675" s="35"/>
      <c r="W1675" s="35"/>
      <c r="X1675" s="35"/>
    </row>
    <row r="1676" spans="4:24" x14ac:dyDescent="0.3">
      <c r="D1676" s="23">
        <v>42013</v>
      </c>
      <c r="E1676" s="5">
        <v>173.264343</v>
      </c>
      <c r="F1676" s="28">
        <v>64.75949</v>
      </c>
      <c r="G1676" s="28">
        <v>117.26</v>
      </c>
      <c r="H1676" s="28">
        <v>95.407210000000006</v>
      </c>
      <c r="I1676" s="28">
        <v>89.496470000000002</v>
      </c>
      <c r="J1676" s="29"/>
      <c r="K1676" s="29"/>
      <c r="L1676" s="29"/>
      <c r="M1676" s="29"/>
      <c r="N1676" s="29"/>
      <c r="P1676" s="4">
        <f t="shared" si="106"/>
        <v>-8.0458031684677439E-3</v>
      </c>
      <c r="Q1676" s="4">
        <f t="shared" si="106"/>
        <v>1.6841050511494135E-3</v>
      </c>
      <c r="R1676" s="4">
        <f t="shared" si="106"/>
        <v>1.1320875624482293E-2</v>
      </c>
      <c r="S1676" s="4">
        <f t="shared" si="106"/>
        <v>-6.6045800660670508E-3</v>
      </c>
      <c r="T1676" s="4">
        <f t="shared" si="106"/>
        <v>-8.3246892756142013E-3</v>
      </c>
      <c r="U1676" s="35"/>
      <c r="V1676" s="35"/>
      <c r="W1676" s="35"/>
      <c r="X1676" s="35"/>
    </row>
    <row r="1677" spans="4:24" x14ac:dyDescent="0.3">
      <c r="D1677" s="23">
        <v>42016</v>
      </c>
      <c r="E1677" s="5">
        <v>171.90708900000001</v>
      </c>
      <c r="F1677" s="28">
        <v>64.845110000000005</v>
      </c>
      <c r="G1677" s="28">
        <v>118.56</v>
      </c>
      <c r="H1677" s="28">
        <v>94.412409999999994</v>
      </c>
      <c r="I1677" s="28">
        <v>88.858850000000004</v>
      </c>
      <c r="J1677" s="29"/>
      <c r="K1677" s="29"/>
      <c r="L1677" s="29"/>
      <c r="M1677" s="29"/>
      <c r="N1677" s="29"/>
      <c r="P1677" s="4">
        <f t="shared" si="106"/>
        <v>-7.864271891081848E-3</v>
      </c>
      <c r="Q1677" s="4">
        <f t="shared" si="106"/>
        <v>1.3212495923072673E-3</v>
      </c>
      <c r="R1677" s="4">
        <f t="shared" si="106"/>
        <v>1.1025470011707641E-2</v>
      </c>
      <c r="S1677" s="4">
        <f t="shared" si="106"/>
        <v>-1.0481625742887739E-2</v>
      </c>
      <c r="T1677" s="4">
        <f t="shared" si="106"/>
        <v>-7.1500274442340183E-3</v>
      </c>
      <c r="U1677" s="35"/>
      <c r="V1677" s="35"/>
      <c r="W1677" s="35"/>
      <c r="X1677" s="35"/>
    </row>
    <row r="1678" spans="4:24" x14ac:dyDescent="0.3">
      <c r="D1678" s="23">
        <v>42017</v>
      </c>
      <c r="E1678" s="5">
        <v>171.42353800000001</v>
      </c>
      <c r="F1678" s="28">
        <v>64.907409999999999</v>
      </c>
      <c r="G1678" s="28">
        <v>118.16</v>
      </c>
      <c r="H1678" s="28">
        <v>94.384529999999998</v>
      </c>
      <c r="I1678" s="28">
        <v>88.654820000000001</v>
      </c>
      <c r="J1678" s="29"/>
      <c r="K1678" s="29"/>
      <c r="L1678" s="29"/>
      <c r="M1678" s="29"/>
      <c r="N1678" s="29"/>
      <c r="P1678" s="4">
        <f t="shared" si="106"/>
        <v>-2.8168260079416848E-3</v>
      </c>
      <c r="Q1678" s="4">
        <f t="shared" si="106"/>
        <v>9.6028970824639103E-4</v>
      </c>
      <c r="R1678" s="4">
        <f t="shared" si="106"/>
        <v>-3.3795233246524839E-3</v>
      </c>
      <c r="S1678" s="4">
        <f t="shared" si="106"/>
        <v>-2.9534377201936418E-4</v>
      </c>
      <c r="T1678" s="4">
        <f t="shared" si="106"/>
        <v>-2.29875355341098E-3</v>
      </c>
      <c r="U1678" s="35"/>
      <c r="V1678" s="35"/>
      <c r="W1678" s="35"/>
      <c r="X1678" s="35"/>
    </row>
    <row r="1679" spans="4:24" x14ac:dyDescent="0.3">
      <c r="D1679" s="23">
        <v>42018</v>
      </c>
      <c r="E1679" s="5">
        <v>170.388687</v>
      </c>
      <c r="F1679" s="28">
        <v>65.055319999999995</v>
      </c>
      <c r="G1679" s="28">
        <v>117.97</v>
      </c>
      <c r="H1679" s="28">
        <v>93.863879999999995</v>
      </c>
      <c r="I1679" s="28">
        <v>88.17022</v>
      </c>
      <c r="J1679" s="29"/>
      <c r="K1679" s="29"/>
      <c r="L1679" s="29"/>
      <c r="M1679" s="29"/>
      <c r="N1679" s="29"/>
      <c r="P1679" s="4">
        <f t="shared" si="106"/>
        <v>-6.0551032768743004E-3</v>
      </c>
      <c r="Q1679" s="4">
        <f t="shared" si="106"/>
        <v>2.2761920107519057E-3</v>
      </c>
      <c r="R1679" s="4">
        <f t="shared" si="106"/>
        <v>-1.6092833693731991E-3</v>
      </c>
      <c r="S1679" s="4">
        <f t="shared" si="106"/>
        <v>-5.531534928393732E-3</v>
      </c>
      <c r="T1679" s="4">
        <f t="shared" si="106"/>
        <v>-5.4811378889633782E-3</v>
      </c>
      <c r="U1679" s="35"/>
      <c r="V1679" s="35"/>
      <c r="W1679" s="35"/>
      <c r="X1679" s="35"/>
    </row>
    <row r="1680" spans="4:24" x14ac:dyDescent="0.3">
      <c r="D1680" s="23">
        <v>42019</v>
      </c>
      <c r="E1680" s="5">
        <v>168.82777400000001</v>
      </c>
      <c r="F1680" s="28">
        <v>65.343320000000006</v>
      </c>
      <c r="G1680" s="28">
        <v>120.94</v>
      </c>
      <c r="H1680" s="28">
        <v>92.645960000000002</v>
      </c>
      <c r="I1680" s="28">
        <v>87.277529999999999</v>
      </c>
      <c r="J1680" s="29"/>
      <c r="K1680" s="29"/>
      <c r="L1680" s="29"/>
      <c r="M1680" s="29"/>
      <c r="N1680" s="29"/>
      <c r="P1680" s="4">
        <f t="shared" si="106"/>
        <v>-9.2031148045046279E-3</v>
      </c>
      <c r="Q1680" s="4">
        <f t="shared" si="106"/>
        <v>4.4172311656962377E-3</v>
      </c>
      <c r="R1680" s="4">
        <f t="shared" si="106"/>
        <v>2.4864199991315832E-2</v>
      </c>
      <c r="S1680" s="4">
        <f t="shared" si="106"/>
        <v>-1.3060300859372084E-2</v>
      </c>
      <c r="T1680" s="4">
        <f t="shared" si="106"/>
        <v>-1.0176222876241396E-2</v>
      </c>
      <c r="U1680" s="35"/>
      <c r="V1680" s="35"/>
      <c r="W1680" s="35"/>
      <c r="X1680" s="35"/>
    </row>
    <row r="1681" spans="4:24" x14ac:dyDescent="0.3">
      <c r="D1681" s="23">
        <v>42020</v>
      </c>
      <c r="E1681" s="5">
        <v>171.04179400000001</v>
      </c>
      <c r="F1681" s="28">
        <v>65.148719999999997</v>
      </c>
      <c r="G1681" s="28">
        <v>122.52</v>
      </c>
      <c r="H1681" s="28">
        <v>93.733729999999994</v>
      </c>
      <c r="I1681" s="28">
        <v>88.433769999999996</v>
      </c>
      <c r="J1681" s="29"/>
      <c r="K1681" s="29"/>
      <c r="L1681" s="29"/>
      <c r="M1681" s="29"/>
      <c r="N1681" s="29"/>
      <c r="P1681" s="4">
        <f t="shared" si="106"/>
        <v>1.3028829454613398E-2</v>
      </c>
      <c r="Q1681" s="4">
        <f t="shared" si="106"/>
        <v>-2.9825596144863421E-3</v>
      </c>
      <c r="R1681" s="4">
        <f t="shared" si="106"/>
        <v>1.2979727119507716E-2</v>
      </c>
      <c r="S1681" s="4">
        <f t="shared" si="106"/>
        <v>1.1672756307165319E-2</v>
      </c>
      <c r="T1681" s="4">
        <f t="shared" si="106"/>
        <v>1.3160868870302626E-2</v>
      </c>
      <c r="U1681" s="35"/>
      <c r="V1681" s="35"/>
      <c r="W1681" s="35"/>
      <c r="X1681" s="35"/>
    </row>
    <row r="1682" spans="4:24" x14ac:dyDescent="0.3">
      <c r="D1682" s="23">
        <v>42024</v>
      </c>
      <c r="E1682" s="5">
        <v>171.406586</v>
      </c>
      <c r="F1682" s="28">
        <v>65.078699999999998</v>
      </c>
      <c r="G1682" s="28">
        <v>124.2</v>
      </c>
      <c r="H1682" s="28">
        <v>94.477519999999998</v>
      </c>
      <c r="I1682" s="28">
        <v>88.561279999999996</v>
      </c>
      <c r="J1682" s="29"/>
      <c r="K1682" s="29"/>
      <c r="L1682" s="29"/>
      <c r="M1682" s="29"/>
      <c r="N1682" s="29"/>
      <c r="P1682" s="4">
        <f t="shared" si="106"/>
        <v>2.1304941666403674E-3</v>
      </c>
      <c r="Q1682" s="4">
        <f t="shared" si="106"/>
        <v>-1.0753496728639971E-3</v>
      </c>
      <c r="R1682" s="4">
        <f t="shared" si="106"/>
        <v>1.3618887534804039E-2</v>
      </c>
      <c r="S1682" s="4">
        <f t="shared" si="106"/>
        <v>7.9038194801341784E-3</v>
      </c>
      <c r="T1682" s="4">
        <f t="shared" si="106"/>
        <v>1.4408315041486031E-3</v>
      </c>
      <c r="U1682" s="35"/>
      <c r="V1682" s="35"/>
      <c r="W1682" s="35"/>
      <c r="X1682" s="35"/>
    </row>
    <row r="1683" spans="4:24" x14ac:dyDescent="0.3">
      <c r="D1683" s="23">
        <v>42025</v>
      </c>
      <c r="E1683" s="5">
        <v>172.27186599999999</v>
      </c>
      <c r="F1683" s="28">
        <v>64.954160000000002</v>
      </c>
      <c r="G1683" s="28">
        <v>124.23</v>
      </c>
      <c r="H1683" s="28">
        <v>94.96096</v>
      </c>
      <c r="I1683" s="28">
        <v>88.960859999999997</v>
      </c>
      <c r="J1683" s="29"/>
      <c r="K1683" s="29"/>
      <c r="L1683" s="29"/>
      <c r="M1683" s="29"/>
      <c r="N1683" s="29"/>
      <c r="P1683" s="4">
        <f t="shared" si="106"/>
        <v>5.0354150704387717E-3</v>
      </c>
      <c r="Q1683" s="4">
        <f t="shared" si="106"/>
        <v>-1.9155164022418561E-3</v>
      </c>
      <c r="R1683" s="4">
        <f t="shared" si="106"/>
        <v>2.4151672620709998E-4</v>
      </c>
      <c r="S1683" s="4">
        <f t="shared" si="106"/>
        <v>5.1039371670872462E-3</v>
      </c>
      <c r="T1683" s="4">
        <f t="shared" si="106"/>
        <v>4.5017559479325472E-3</v>
      </c>
      <c r="U1683" s="35"/>
      <c r="V1683" s="35"/>
      <c r="W1683" s="35"/>
      <c r="X1683" s="35"/>
    </row>
    <row r="1684" spans="4:24" x14ac:dyDescent="0.3">
      <c r="D1684" s="23">
        <v>42026</v>
      </c>
      <c r="E1684" s="5">
        <v>174.83367899999999</v>
      </c>
      <c r="F1684" s="28">
        <v>64.969679999999997</v>
      </c>
      <c r="G1684" s="28">
        <v>125.23</v>
      </c>
      <c r="H1684" s="28">
        <v>96.718119999999999</v>
      </c>
      <c r="I1684" s="28">
        <v>90.312640000000002</v>
      </c>
      <c r="J1684" s="29"/>
      <c r="K1684" s="29"/>
      <c r="L1684" s="29"/>
      <c r="M1684" s="29"/>
      <c r="N1684" s="29"/>
      <c r="P1684" s="4">
        <f t="shared" si="106"/>
        <v>1.4761271053992046E-2</v>
      </c>
      <c r="Q1684" s="4">
        <f t="shared" si="106"/>
        <v>2.3890919593851873E-4</v>
      </c>
      <c r="R1684" s="4">
        <f t="shared" si="106"/>
        <v>8.0173603503555999E-3</v>
      </c>
      <c r="S1684" s="4">
        <f t="shared" si="106"/>
        <v>1.8334908795820431E-2</v>
      </c>
      <c r="T1684" s="4">
        <f t="shared" si="106"/>
        <v>1.5080930756828684E-2</v>
      </c>
      <c r="U1684" s="35"/>
      <c r="V1684" s="35"/>
      <c r="W1684" s="35"/>
      <c r="X1684" s="35"/>
    </row>
    <row r="1685" spans="4:24" x14ac:dyDescent="0.3">
      <c r="D1685" s="23">
        <v>42027</v>
      </c>
      <c r="E1685" s="5">
        <v>173.875092</v>
      </c>
      <c r="F1685" s="28">
        <v>65.179829999999995</v>
      </c>
      <c r="G1685" s="28">
        <v>124.23</v>
      </c>
      <c r="H1685" s="28">
        <v>96.931920000000005</v>
      </c>
      <c r="I1685" s="28">
        <v>89.904560000000004</v>
      </c>
      <c r="J1685" s="29"/>
      <c r="K1685" s="29"/>
      <c r="L1685" s="29"/>
      <c r="M1685" s="29"/>
      <c r="N1685" s="29"/>
      <c r="P1685" s="4">
        <f t="shared" ref="P1685:T1700" si="107">LN(E1685/E1684)</f>
        <v>-5.4979369281442881E-3</v>
      </c>
      <c r="Q1685" s="4">
        <f t="shared" si="107"/>
        <v>3.2293657138528727E-3</v>
      </c>
      <c r="R1685" s="4">
        <f t="shared" si="107"/>
        <v>-8.0173603503555322E-3</v>
      </c>
      <c r="S1685" s="4">
        <f t="shared" si="107"/>
        <v>2.208107851353263E-3</v>
      </c>
      <c r="T1685" s="4">
        <f t="shared" si="107"/>
        <v>-4.5287652617707575E-3</v>
      </c>
      <c r="U1685" s="35"/>
      <c r="V1685" s="35"/>
      <c r="W1685" s="35"/>
      <c r="X1685" s="35"/>
    </row>
    <row r="1686" spans="4:24" x14ac:dyDescent="0.3">
      <c r="D1686" s="23">
        <v>42030</v>
      </c>
      <c r="E1686" s="5">
        <v>174.28230300000001</v>
      </c>
      <c r="F1686" s="28">
        <v>65.102010000000007</v>
      </c>
      <c r="G1686" s="28">
        <v>122.99</v>
      </c>
      <c r="H1686" s="28">
        <v>96.820390000000003</v>
      </c>
      <c r="I1686" s="28">
        <v>90.278630000000007</v>
      </c>
      <c r="J1686" s="29"/>
      <c r="K1686" s="29"/>
      <c r="L1686" s="29"/>
      <c r="M1686" s="29"/>
      <c r="N1686" s="29"/>
      <c r="P1686" s="4">
        <f t="shared" si="107"/>
        <v>2.3392361704056312E-3</v>
      </c>
      <c r="Q1686" s="4">
        <f t="shared" si="107"/>
        <v>-1.1946409300814648E-3</v>
      </c>
      <c r="R1686" s="4">
        <f t="shared" si="107"/>
        <v>-1.0031634971266534E-2</v>
      </c>
      <c r="S1686" s="4">
        <f t="shared" si="107"/>
        <v>-1.1512638204784782E-3</v>
      </c>
      <c r="T1686" s="4">
        <f t="shared" si="107"/>
        <v>4.1521136063273657E-3</v>
      </c>
      <c r="U1686" s="35"/>
      <c r="V1686" s="35"/>
      <c r="W1686" s="35"/>
      <c r="X1686" s="35"/>
    </row>
    <row r="1687" spans="4:24" x14ac:dyDescent="0.3">
      <c r="D1687" s="23">
        <v>42031</v>
      </c>
      <c r="E1687" s="5">
        <v>171.98341400000001</v>
      </c>
      <c r="F1687" s="28">
        <v>65.140940000000001</v>
      </c>
      <c r="G1687" s="28">
        <v>124.4</v>
      </c>
      <c r="H1687" s="28">
        <v>94.310140000000004</v>
      </c>
      <c r="I1687" s="28">
        <v>89.224400000000003</v>
      </c>
      <c r="J1687" s="29"/>
      <c r="K1687" s="29"/>
      <c r="L1687" s="29"/>
      <c r="M1687" s="29"/>
      <c r="N1687" s="29"/>
      <c r="P1687" s="4">
        <f t="shared" si="107"/>
        <v>-1.3278373598415475E-2</v>
      </c>
      <c r="Q1687" s="4">
        <f t="shared" si="107"/>
        <v>5.9780588752593531E-4</v>
      </c>
      <c r="R1687" s="4">
        <f t="shared" si="107"/>
        <v>1.1399129050760111E-2</v>
      </c>
      <c r="S1687" s="4">
        <f t="shared" si="107"/>
        <v>-2.626889957599074E-2</v>
      </c>
      <c r="T1687" s="4">
        <f t="shared" si="107"/>
        <v>-1.1746232042212139E-2</v>
      </c>
      <c r="U1687" s="35"/>
      <c r="V1687" s="35"/>
      <c r="W1687" s="35"/>
      <c r="X1687" s="35"/>
    </row>
    <row r="1688" spans="4:24" x14ac:dyDescent="0.3">
      <c r="D1688" s="23">
        <v>42032</v>
      </c>
      <c r="E1688" s="5">
        <v>169.77783199999999</v>
      </c>
      <c r="F1688" s="28">
        <v>65.374480000000005</v>
      </c>
      <c r="G1688" s="28">
        <v>123.42</v>
      </c>
      <c r="H1688" s="28">
        <v>93.826710000000006</v>
      </c>
      <c r="I1688" s="28">
        <v>88.017169999999993</v>
      </c>
      <c r="J1688" s="29"/>
      <c r="K1688" s="29"/>
      <c r="L1688" s="29"/>
      <c r="M1688" s="29"/>
      <c r="N1688" s="29"/>
      <c r="P1688" s="4">
        <f t="shared" si="107"/>
        <v>-1.2907330169278072E-2</v>
      </c>
      <c r="Q1688" s="4">
        <f t="shared" si="107"/>
        <v>3.5787380411086314E-3</v>
      </c>
      <c r="R1688" s="4">
        <f t="shared" si="107"/>
        <v>-7.9090074121583118E-3</v>
      </c>
      <c r="S1688" s="4">
        <f t="shared" si="107"/>
        <v>-5.1391427461461702E-3</v>
      </c>
      <c r="T1688" s="4">
        <f t="shared" si="107"/>
        <v>-1.3622635698524573E-2</v>
      </c>
      <c r="U1688" s="35"/>
      <c r="V1688" s="35"/>
      <c r="W1688" s="35"/>
      <c r="X1688" s="35"/>
    </row>
    <row r="1689" spans="4:24" x14ac:dyDescent="0.3">
      <c r="D1689" s="23">
        <v>42033</v>
      </c>
      <c r="E1689" s="5">
        <v>171.34716800000001</v>
      </c>
      <c r="F1689" s="28">
        <v>65.304410000000004</v>
      </c>
      <c r="G1689" s="28">
        <v>120.76</v>
      </c>
      <c r="H1689" s="28">
        <v>94.72851</v>
      </c>
      <c r="I1689" s="28">
        <v>88.858850000000004</v>
      </c>
      <c r="J1689" s="29"/>
      <c r="K1689" s="29"/>
      <c r="L1689" s="29"/>
      <c r="M1689" s="29"/>
      <c r="N1689" s="29"/>
      <c r="P1689" s="4">
        <f t="shared" si="107"/>
        <v>9.2010088469742408E-3</v>
      </c>
      <c r="Q1689" s="4">
        <f t="shared" si="107"/>
        <v>-1.0723997841623307E-3</v>
      </c>
      <c r="R1689" s="4">
        <f t="shared" si="107"/>
        <v>-2.1788068054282756E-2</v>
      </c>
      <c r="S1689" s="4">
        <f t="shared" si="107"/>
        <v>9.5654405753197048E-3</v>
      </c>
      <c r="T1689" s="4">
        <f t="shared" si="107"/>
        <v>9.5172466355832458E-3</v>
      </c>
      <c r="U1689" s="35"/>
      <c r="V1689" s="35"/>
      <c r="W1689" s="35"/>
      <c r="X1689" s="35"/>
    </row>
    <row r="1690" spans="4:24" x14ac:dyDescent="0.3">
      <c r="D1690" s="23">
        <v>42034</v>
      </c>
      <c r="E1690" s="5">
        <v>169.19253499999999</v>
      </c>
      <c r="F1690" s="28">
        <v>65.662499999999994</v>
      </c>
      <c r="G1690" s="28">
        <v>123.45</v>
      </c>
      <c r="H1690" s="28">
        <v>93.994039999999998</v>
      </c>
      <c r="I1690" s="28">
        <v>87.651600000000002</v>
      </c>
      <c r="J1690" s="29"/>
      <c r="K1690" s="29"/>
      <c r="L1690" s="29"/>
      <c r="M1690" s="29"/>
      <c r="N1690" s="29"/>
      <c r="P1690" s="4">
        <f t="shared" si="107"/>
        <v>-1.2654393795406072E-2</v>
      </c>
      <c r="Q1690" s="4">
        <f t="shared" si="107"/>
        <v>5.4684178216877991E-3</v>
      </c>
      <c r="R1690" s="4">
        <f t="shared" si="107"/>
        <v>2.2031110952550385E-2</v>
      </c>
      <c r="S1690" s="4">
        <f t="shared" si="107"/>
        <v>-7.7836348454376359E-3</v>
      </c>
      <c r="T1690" s="4">
        <f t="shared" si="107"/>
        <v>-1.3679290096337178E-2</v>
      </c>
      <c r="U1690" s="35"/>
      <c r="V1690" s="35"/>
      <c r="W1690" s="35"/>
      <c r="X1690" s="35"/>
    </row>
    <row r="1691" spans="4:24" x14ac:dyDescent="0.3">
      <c r="D1691" s="23">
        <v>42037</v>
      </c>
      <c r="E1691" s="5">
        <v>171.28784200000001</v>
      </c>
      <c r="F1691" s="28">
        <v>65.584479999999999</v>
      </c>
      <c r="G1691" s="28">
        <v>122.42</v>
      </c>
      <c r="H1691" s="28">
        <v>94.812169999999995</v>
      </c>
      <c r="I1691" s="28">
        <v>88.637789999999995</v>
      </c>
      <c r="J1691" s="29"/>
      <c r="K1691" s="29"/>
      <c r="L1691" s="29"/>
      <c r="M1691" s="29"/>
      <c r="N1691" s="29"/>
      <c r="P1691" s="4">
        <f t="shared" si="107"/>
        <v>1.2308101099905712E-2</v>
      </c>
      <c r="Q1691" s="4">
        <f t="shared" si="107"/>
        <v>-1.188903686622747E-3</v>
      </c>
      <c r="R1691" s="4">
        <f t="shared" si="107"/>
        <v>-8.3784603682647858E-3</v>
      </c>
      <c r="S1691" s="4">
        <f t="shared" si="107"/>
        <v>8.6664005444194656E-3</v>
      </c>
      <c r="T1691" s="4">
        <f t="shared" si="107"/>
        <v>1.1188424756062789E-2</v>
      </c>
      <c r="U1691" s="35"/>
      <c r="V1691" s="35"/>
      <c r="W1691" s="35"/>
      <c r="X1691" s="35"/>
    </row>
    <row r="1692" spans="4:24" x14ac:dyDescent="0.3">
      <c r="D1692" s="23">
        <v>42038</v>
      </c>
      <c r="E1692" s="5">
        <v>173.76483200000001</v>
      </c>
      <c r="F1692" s="28">
        <v>65.381739999999994</v>
      </c>
      <c r="G1692" s="28">
        <v>121.05</v>
      </c>
      <c r="H1692" s="28">
        <v>95.723299999999995</v>
      </c>
      <c r="I1692" s="28">
        <v>89.998050000000006</v>
      </c>
      <c r="J1692" s="29"/>
      <c r="K1692" s="29"/>
      <c r="L1692" s="29"/>
      <c r="M1692" s="29"/>
      <c r="N1692" s="29"/>
      <c r="P1692" s="4">
        <f t="shared" si="107"/>
        <v>1.4357416916980122E-2</v>
      </c>
      <c r="Q1692" s="4">
        <f t="shared" si="107"/>
        <v>-3.0960680082133831E-3</v>
      </c>
      <c r="R1692" s="4">
        <f t="shared" si="107"/>
        <v>-1.1254072038856285E-2</v>
      </c>
      <c r="S1692" s="4">
        <f t="shared" si="107"/>
        <v>9.5639614506331516E-3</v>
      </c>
      <c r="T1692" s="4">
        <f t="shared" si="107"/>
        <v>1.5229713051183711E-2</v>
      </c>
      <c r="U1692" s="35"/>
      <c r="V1692" s="35"/>
      <c r="W1692" s="35"/>
      <c r="X1692" s="35"/>
    </row>
    <row r="1693" spans="4:24" x14ac:dyDescent="0.3">
      <c r="D1693" s="23">
        <v>42039</v>
      </c>
      <c r="E1693" s="5">
        <v>173.103149</v>
      </c>
      <c r="F1693" s="28">
        <v>65.405109999999993</v>
      </c>
      <c r="G1693" s="28">
        <v>121.58</v>
      </c>
      <c r="H1693" s="28">
        <v>95.639660000000006</v>
      </c>
      <c r="I1693" s="28">
        <v>89.683490000000006</v>
      </c>
      <c r="J1693" s="29"/>
      <c r="K1693" s="29"/>
      <c r="L1693" s="29"/>
      <c r="M1693" s="29"/>
      <c r="N1693" s="29"/>
      <c r="P1693" s="4">
        <f t="shared" si="107"/>
        <v>-3.8151910170330372E-3</v>
      </c>
      <c r="Q1693" s="4">
        <f t="shared" si="107"/>
        <v>3.5737538213859654E-4</v>
      </c>
      <c r="R1693" s="4">
        <f t="shared" si="107"/>
        <v>4.3687989365089339E-3</v>
      </c>
      <c r="S1693" s="4">
        <f t="shared" si="107"/>
        <v>-8.741504137063697E-4</v>
      </c>
      <c r="T1693" s="4">
        <f t="shared" si="107"/>
        <v>-3.5013092758840003E-3</v>
      </c>
      <c r="U1693" s="35"/>
      <c r="V1693" s="35"/>
      <c r="W1693" s="35"/>
      <c r="X1693" s="35"/>
    </row>
    <row r="1694" spans="4:24" x14ac:dyDescent="0.3">
      <c r="D1694" s="23">
        <v>42040</v>
      </c>
      <c r="E1694" s="5">
        <v>174.850662</v>
      </c>
      <c r="F1694" s="28">
        <v>65.264709999999994</v>
      </c>
      <c r="G1694" s="28">
        <v>121.79</v>
      </c>
      <c r="H1694" s="28">
        <v>96.467089999999999</v>
      </c>
      <c r="I1694" s="28">
        <v>90.669700000000006</v>
      </c>
      <c r="J1694" s="29"/>
      <c r="K1694" s="29"/>
      <c r="L1694" s="29"/>
      <c r="M1694" s="29"/>
      <c r="N1694" s="29"/>
      <c r="P1694" s="4">
        <f t="shared" si="107"/>
        <v>1.004459579124695E-2</v>
      </c>
      <c r="Q1694" s="4">
        <f t="shared" si="107"/>
        <v>-2.1489285594693147E-3</v>
      </c>
      <c r="R1694" s="4">
        <f t="shared" si="107"/>
        <v>1.725767778442862E-3</v>
      </c>
      <c r="S1694" s="4">
        <f t="shared" si="107"/>
        <v>8.6143263235206116E-3</v>
      </c>
      <c r="T1694" s="4">
        <f t="shared" si="107"/>
        <v>1.0936538797616174E-2</v>
      </c>
      <c r="U1694" s="35"/>
      <c r="V1694" s="35"/>
      <c r="W1694" s="35"/>
      <c r="X1694" s="35"/>
    </row>
    <row r="1695" spans="4:24" x14ac:dyDescent="0.3">
      <c r="D1695" s="23">
        <v>42041</v>
      </c>
      <c r="E1695" s="5">
        <v>174.367096</v>
      </c>
      <c r="F1695" s="28">
        <v>64.843490000000003</v>
      </c>
      <c r="G1695" s="28">
        <v>118.64</v>
      </c>
      <c r="H1695" s="28">
        <v>95.881360000000001</v>
      </c>
      <c r="I1695" s="28">
        <v>90.397639999999996</v>
      </c>
      <c r="J1695" s="29"/>
      <c r="K1695" s="29"/>
      <c r="L1695" s="29"/>
      <c r="M1695" s="29"/>
      <c r="N1695" s="29"/>
      <c r="P1695" s="4">
        <f t="shared" si="107"/>
        <v>-2.7694256548538572E-3</v>
      </c>
      <c r="Q1695" s="4">
        <f t="shared" si="107"/>
        <v>-6.4749411894338095E-3</v>
      </c>
      <c r="R1695" s="4">
        <f t="shared" si="107"/>
        <v>-2.6204552269342572E-2</v>
      </c>
      <c r="S1695" s="4">
        <f t="shared" si="107"/>
        <v>-6.0903200466676573E-3</v>
      </c>
      <c r="T1695" s="4">
        <f t="shared" si="107"/>
        <v>-3.0050720879372175E-3</v>
      </c>
      <c r="U1695" s="35"/>
      <c r="V1695" s="35"/>
      <c r="W1695" s="35"/>
      <c r="X1695" s="35"/>
    </row>
    <row r="1696" spans="4:24" x14ac:dyDescent="0.3">
      <c r="D1696" s="23">
        <v>42044</v>
      </c>
      <c r="E1696" s="5">
        <v>173.58670000000001</v>
      </c>
      <c r="F1696" s="28">
        <v>64.820080000000004</v>
      </c>
      <c r="G1696" s="28">
        <v>119.17</v>
      </c>
      <c r="H1696" s="28">
        <v>95.574560000000005</v>
      </c>
      <c r="I1696" s="28">
        <v>89.947050000000004</v>
      </c>
      <c r="J1696" s="29"/>
      <c r="K1696" s="29"/>
      <c r="L1696" s="29"/>
      <c r="M1696" s="29"/>
      <c r="N1696" s="29"/>
      <c r="P1696" s="4">
        <f t="shared" si="107"/>
        <v>-4.4856375616315215E-3</v>
      </c>
      <c r="Q1696" s="4">
        <f t="shared" si="107"/>
        <v>-3.6108831886027425E-4</v>
      </c>
      <c r="R1696" s="4">
        <f t="shared" si="107"/>
        <v>4.4573472730381801E-3</v>
      </c>
      <c r="S1696" s="4">
        <f t="shared" si="107"/>
        <v>-3.2049180052302062E-3</v>
      </c>
      <c r="T1696" s="4">
        <f t="shared" si="107"/>
        <v>-4.9969970017026914E-3</v>
      </c>
      <c r="U1696" s="35"/>
      <c r="V1696" s="35"/>
      <c r="W1696" s="35"/>
      <c r="X1696" s="35"/>
    </row>
    <row r="1697" spans="4:24" x14ac:dyDescent="0.3">
      <c r="D1697" s="23">
        <v>42045</v>
      </c>
      <c r="E1697" s="5">
        <v>175.43594400000001</v>
      </c>
      <c r="F1697" s="28">
        <v>64.703059999999994</v>
      </c>
      <c r="G1697" s="28">
        <v>118.47</v>
      </c>
      <c r="H1697" s="28">
        <v>97.062110000000004</v>
      </c>
      <c r="I1697" s="28">
        <v>90.865229999999997</v>
      </c>
      <c r="J1697" s="29"/>
      <c r="K1697" s="29"/>
      <c r="L1697" s="29"/>
      <c r="M1697" s="29"/>
      <c r="N1697" s="29"/>
      <c r="P1697" s="4">
        <f t="shared" si="107"/>
        <v>1.0596798439230806E-2</v>
      </c>
      <c r="Q1697" s="4">
        <f t="shared" si="107"/>
        <v>-1.806936302492149E-3</v>
      </c>
      <c r="R1697" s="4">
        <f t="shared" si="107"/>
        <v>-5.8912811360470954E-3</v>
      </c>
      <c r="S1697" s="4">
        <f t="shared" si="107"/>
        <v>1.5444407013694454E-2</v>
      </c>
      <c r="T1697" s="4">
        <f t="shared" si="107"/>
        <v>1.0156255896701348E-2</v>
      </c>
      <c r="U1697" s="35"/>
      <c r="V1697" s="35"/>
      <c r="W1697" s="35"/>
      <c r="X1697" s="35"/>
    </row>
    <row r="1698" spans="4:24" x14ac:dyDescent="0.3">
      <c r="D1698" s="23">
        <v>42046</v>
      </c>
      <c r="E1698" s="5">
        <v>175.537781</v>
      </c>
      <c r="F1698" s="28">
        <v>64.703059999999994</v>
      </c>
      <c r="G1698" s="28">
        <v>117.07</v>
      </c>
      <c r="H1698" s="28">
        <v>97.415400000000005</v>
      </c>
      <c r="I1698" s="28">
        <v>90.907740000000004</v>
      </c>
      <c r="J1698" s="29"/>
      <c r="K1698" s="29"/>
      <c r="L1698" s="29"/>
      <c r="M1698" s="29"/>
      <c r="N1698" s="29"/>
      <c r="P1698" s="4">
        <f t="shared" si="107"/>
        <v>5.8031126323129865E-4</v>
      </c>
      <c r="Q1698" s="4">
        <f t="shared" si="107"/>
        <v>0</v>
      </c>
      <c r="R1698" s="4">
        <f t="shared" si="107"/>
        <v>-1.1887717475086747E-2</v>
      </c>
      <c r="S1698" s="4">
        <f t="shared" si="107"/>
        <v>3.6332261620247016E-3</v>
      </c>
      <c r="T1698" s="4">
        <f t="shared" si="107"/>
        <v>4.6772631568917761E-4</v>
      </c>
      <c r="U1698" s="35"/>
      <c r="V1698" s="35"/>
      <c r="W1698" s="35"/>
      <c r="X1698" s="35"/>
    </row>
    <row r="1699" spans="4:24" x14ac:dyDescent="0.3">
      <c r="D1699" s="23">
        <v>42047</v>
      </c>
      <c r="E1699" s="5">
        <v>177.22590600000001</v>
      </c>
      <c r="F1699" s="28">
        <v>64.734319999999997</v>
      </c>
      <c r="G1699" s="28">
        <v>117.34</v>
      </c>
      <c r="H1699" s="28">
        <v>98.549629999999993</v>
      </c>
      <c r="I1699" s="28">
        <v>91.783410000000003</v>
      </c>
      <c r="J1699" s="29"/>
      <c r="K1699" s="29"/>
      <c r="L1699" s="29"/>
      <c r="M1699" s="29"/>
      <c r="N1699" s="29"/>
      <c r="P1699" s="4">
        <f t="shared" si="107"/>
        <v>9.5709277830242946E-3</v>
      </c>
      <c r="Q1699" s="4">
        <f t="shared" si="107"/>
        <v>4.8301349436708884E-4</v>
      </c>
      <c r="R1699" s="4">
        <f t="shared" si="107"/>
        <v>2.3036570061328119E-3</v>
      </c>
      <c r="S1699" s="4">
        <f t="shared" si="107"/>
        <v>1.1575970119072279E-2</v>
      </c>
      <c r="T1699" s="4">
        <f t="shared" si="107"/>
        <v>9.5864162672029459E-3</v>
      </c>
      <c r="U1699" s="35"/>
      <c r="V1699" s="35"/>
      <c r="W1699" s="35"/>
      <c r="X1699" s="35"/>
    </row>
    <row r="1700" spans="4:24" x14ac:dyDescent="0.3">
      <c r="D1700" s="23">
        <v>42048</v>
      </c>
      <c r="E1700" s="5">
        <v>177.95541399999999</v>
      </c>
      <c r="F1700" s="28">
        <v>64.586089999999999</v>
      </c>
      <c r="G1700" s="28">
        <v>117.98</v>
      </c>
      <c r="H1700" s="28">
        <v>99.395700000000005</v>
      </c>
      <c r="I1700" s="28">
        <v>92.216989999999996</v>
      </c>
      <c r="J1700" s="29"/>
      <c r="K1700" s="29"/>
      <c r="L1700" s="29"/>
      <c r="M1700" s="29"/>
      <c r="N1700" s="29"/>
      <c r="P1700" s="4">
        <f t="shared" si="107"/>
        <v>4.1078118962828798E-3</v>
      </c>
      <c r="Q1700" s="4">
        <f t="shared" si="107"/>
        <v>-2.2924465661101462E-3</v>
      </c>
      <c r="R1700" s="4">
        <f t="shared" si="107"/>
        <v>5.4394150772153222E-3</v>
      </c>
      <c r="S1700" s="4">
        <f t="shared" si="107"/>
        <v>8.5485740171523314E-3</v>
      </c>
      <c r="T1700" s="4">
        <f t="shared" si="107"/>
        <v>4.7128245646188794E-3</v>
      </c>
      <c r="U1700" s="35"/>
      <c r="V1700" s="35"/>
      <c r="W1700" s="35"/>
      <c r="X1700" s="35"/>
    </row>
    <row r="1701" spans="4:24" x14ac:dyDescent="0.3">
      <c r="D1701" s="23">
        <v>42052</v>
      </c>
      <c r="E1701" s="5">
        <v>178.23533599999999</v>
      </c>
      <c r="F1701" s="28">
        <v>64.328639999999993</v>
      </c>
      <c r="G1701" s="28">
        <v>116.01</v>
      </c>
      <c r="H1701" s="28">
        <v>99.488659999999996</v>
      </c>
      <c r="I1701" s="28">
        <v>92.36148</v>
      </c>
      <c r="J1701" s="29"/>
      <c r="K1701" s="29"/>
      <c r="L1701" s="29"/>
      <c r="M1701" s="29"/>
      <c r="N1701" s="29"/>
      <c r="P1701" s="4">
        <f t="shared" ref="P1701:T1716" si="108">LN(E1701/E1700)</f>
        <v>1.5717536607945456E-3</v>
      </c>
      <c r="Q1701" s="4">
        <f t="shared" si="108"/>
        <v>-3.9941183177101911E-3</v>
      </c>
      <c r="R1701" s="4">
        <f t="shared" si="108"/>
        <v>-1.6838724287613838E-2</v>
      </c>
      <c r="S1701" s="4">
        <f t="shared" si="108"/>
        <v>9.3481465078126466E-4</v>
      </c>
      <c r="T1701" s="4">
        <f t="shared" si="108"/>
        <v>1.5656217056534806E-3</v>
      </c>
      <c r="U1701" s="35"/>
      <c r="V1701" s="35"/>
      <c r="W1701" s="35"/>
      <c r="X1701" s="35"/>
    </row>
    <row r="1702" spans="4:24" x14ac:dyDescent="0.3">
      <c r="D1702" s="23">
        <v>42053</v>
      </c>
      <c r="E1702" s="5">
        <v>178.25237999999999</v>
      </c>
      <c r="F1702" s="28">
        <v>64.508030000000005</v>
      </c>
      <c r="G1702" s="28">
        <v>116.34</v>
      </c>
      <c r="H1702" s="28">
        <v>99.628119999999996</v>
      </c>
      <c r="I1702" s="28">
        <v>92.412499999999994</v>
      </c>
      <c r="J1702" s="29"/>
      <c r="K1702" s="29"/>
      <c r="L1702" s="29"/>
      <c r="M1702" s="29"/>
      <c r="N1702" s="29"/>
      <c r="P1702" s="4">
        <f t="shared" si="108"/>
        <v>9.5621808258857844E-5</v>
      </c>
      <c r="Q1702" s="4">
        <f t="shared" si="108"/>
        <v>2.7847679690848792E-3</v>
      </c>
      <c r="R1702" s="4">
        <f t="shared" si="108"/>
        <v>2.8405441953001103E-3</v>
      </c>
      <c r="S1702" s="4">
        <f t="shared" si="108"/>
        <v>1.4007862401557117E-3</v>
      </c>
      <c r="T1702" s="4">
        <f t="shared" si="108"/>
        <v>5.5224227238743161E-4</v>
      </c>
      <c r="U1702" s="35"/>
      <c r="V1702" s="35"/>
      <c r="W1702" s="35"/>
      <c r="X1702" s="35"/>
    </row>
    <row r="1703" spans="4:24" x14ac:dyDescent="0.3">
      <c r="D1703" s="23">
        <v>42054</v>
      </c>
      <c r="E1703" s="5">
        <v>178.12510700000001</v>
      </c>
      <c r="F1703" s="28">
        <v>64.453440000000001</v>
      </c>
      <c r="G1703" s="28">
        <v>115.94</v>
      </c>
      <c r="H1703" s="28">
        <v>100.12090000000001</v>
      </c>
      <c r="I1703" s="28">
        <v>92.387020000000007</v>
      </c>
      <c r="J1703" s="29"/>
      <c r="K1703" s="29"/>
      <c r="L1703" s="29"/>
      <c r="M1703" s="29"/>
      <c r="N1703" s="29"/>
      <c r="P1703" s="4">
        <f t="shared" si="108"/>
        <v>-7.1425951443927088E-4</v>
      </c>
      <c r="Q1703" s="4">
        <f t="shared" si="108"/>
        <v>-8.4660950686444875E-4</v>
      </c>
      <c r="R1703" s="4">
        <f t="shared" si="108"/>
        <v>-3.4441225710286644E-3</v>
      </c>
      <c r="S1703" s="4">
        <f t="shared" si="108"/>
        <v>4.9340016757155854E-3</v>
      </c>
      <c r="T1703" s="4">
        <f t="shared" si="108"/>
        <v>-2.7575829376021794E-4</v>
      </c>
      <c r="U1703" s="35"/>
      <c r="V1703" s="35"/>
      <c r="W1703" s="35"/>
      <c r="X1703" s="35"/>
    </row>
    <row r="1704" spans="4:24" x14ac:dyDescent="0.3">
      <c r="D1704" s="23">
        <v>42055</v>
      </c>
      <c r="E1704" s="5">
        <v>179.19397000000001</v>
      </c>
      <c r="F1704" s="28">
        <v>64.469070000000002</v>
      </c>
      <c r="G1704" s="28">
        <v>115.28</v>
      </c>
      <c r="H1704" s="28">
        <v>100.7903</v>
      </c>
      <c r="I1704" s="28">
        <v>92.905600000000007</v>
      </c>
      <c r="J1704" s="29"/>
      <c r="K1704" s="29"/>
      <c r="L1704" s="29"/>
      <c r="M1704" s="29"/>
      <c r="N1704" s="29"/>
      <c r="P1704" s="4">
        <f t="shared" si="108"/>
        <v>5.9826986966106882E-3</v>
      </c>
      <c r="Q1704" s="4">
        <f t="shared" si="108"/>
        <v>2.4247123448929082E-4</v>
      </c>
      <c r="R1704" s="4">
        <f t="shared" si="108"/>
        <v>-5.7088642203200922E-3</v>
      </c>
      <c r="S1704" s="4">
        <f t="shared" si="108"/>
        <v>6.6636651120041621E-3</v>
      </c>
      <c r="T1704" s="4">
        <f t="shared" si="108"/>
        <v>5.5974312844051617E-3</v>
      </c>
      <c r="U1704" s="35"/>
      <c r="V1704" s="35"/>
      <c r="W1704" s="35"/>
      <c r="X1704" s="35"/>
    </row>
    <row r="1705" spans="4:24" x14ac:dyDescent="0.3">
      <c r="D1705" s="23">
        <v>42058</v>
      </c>
      <c r="E1705" s="5">
        <v>179.168488</v>
      </c>
      <c r="F1705" s="28">
        <v>64.601650000000006</v>
      </c>
      <c r="G1705" s="28">
        <v>115.43</v>
      </c>
      <c r="H1705" s="28">
        <v>100.8925</v>
      </c>
      <c r="I1705" s="28">
        <v>92.897099999999995</v>
      </c>
      <c r="J1705" s="29"/>
      <c r="K1705" s="29"/>
      <c r="L1705" s="29"/>
      <c r="M1705" s="29"/>
      <c r="N1705" s="29"/>
      <c r="P1705" s="4">
        <f t="shared" si="108"/>
        <v>-1.4221355766548928E-4</v>
      </c>
      <c r="Q1705" s="4">
        <f t="shared" si="108"/>
        <v>2.0543783536523604E-3</v>
      </c>
      <c r="R1705" s="4">
        <f t="shared" si="108"/>
        <v>1.3003339355542399E-3</v>
      </c>
      <c r="S1705" s="4">
        <f t="shared" si="108"/>
        <v>1.0134727279441148E-3</v>
      </c>
      <c r="T1705" s="4">
        <f t="shared" si="108"/>
        <v>-9.1494902990603191E-5</v>
      </c>
      <c r="U1705" s="35"/>
      <c r="V1705" s="35"/>
      <c r="W1705" s="35"/>
      <c r="X1705" s="35"/>
    </row>
    <row r="1706" spans="4:24" x14ac:dyDescent="0.3">
      <c r="D1706" s="23">
        <v>42059</v>
      </c>
      <c r="E1706" s="5">
        <v>179.67742899999999</v>
      </c>
      <c r="F1706" s="28">
        <v>64.866910000000004</v>
      </c>
      <c r="G1706" s="28">
        <v>115.26</v>
      </c>
      <c r="H1706" s="28">
        <v>100.9669</v>
      </c>
      <c r="I1706" s="28">
        <v>93.109639999999999</v>
      </c>
      <c r="J1706" s="29"/>
      <c r="K1706" s="29"/>
      <c r="L1706" s="29"/>
      <c r="M1706" s="29"/>
      <c r="N1706" s="29"/>
      <c r="P1706" s="4">
        <f t="shared" si="108"/>
        <v>2.8365452531784094E-3</v>
      </c>
      <c r="Q1706" s="4">
        <f t="shared" si="108"/>
        <v>4.0976801034097766E-3</v>
      </c>
      <c r="R1706" s="4">
        <f t="shared" si="108"/>
        <v>-1.4738396183005527E-3</v>
      </c>
      <c r="S1706" s="4">
        <f t="shared" si="108"/>
        <v>7.37146780075451E-4</v>
      </c>
      <c r="T1706" s="4">
        <f t="shared" si="108"/>
        <v>2.285294527504071E-3</v>
      </c>
      <c r="U1706" s="35"/>
      <c r="V1706" s="35"/>
      <c r="W1706" s="35"/>
      <c r="X1706" s="35"/>
    </row>
    <row r="1707" spans="4:24" x14ac:dyDescent="0.3">
      <c r="D1707" s="23">
        <v>42060</v>
      </c>
      <c r="E1707" s="5">
        <v>179.52477999999999</v>
      </c>
      <c r="F1707" s="28">
        <v>64.929249999999996</v>
      </c>
      <c r="G1707" s="28">
        <v>115.7</v>
      </c>
      <c r="H1707" s="28">
        <v>100.7159</v>
      </c>
      <c r="I1707" s="28">
        <v>93.075649999999996</v>
      </c>
      <c r="J1707" s="29"/>
      <c r="K1707" s="29"/>
      <c r="L1707" s="29"/>
      <c r="M1707" s="29"/>
      <c r="N1707" s="29"/>
      <c r="P1707" s="4">
        <f t="shared" si="108"/>
        <v>-8.4993357704711764E-4</v>
      </c>
      <c r="Q1707" s="4">
        <f t="shared" si="108"/>
        <v>9.6058319126727805E-4</v>
      </c>
      <c r="R1707" s="4">
        <f t="shared" si="108"/>
        <v>3.8101881911106364E-3</v>
      </c>
      <c r="S1707" s="4">
        <f t="shared" si="108"/>
        <v>-2.4890583588421029E-3</v>
      </c>
      <c r="T1707" s="4">
        <f t="shared" si="108"/>
        <v>-3.6512014861765022E-4</v>
      </c>
      <c r="U1707" s="35"/>
      <c r="V1707" s="35"/>
      <c r="W1707" s="35"/>
      <c r="X1707" s="35"/>
    </row>
    <row r="1708" spans="4:24" x14ac:dyDescent="0.3">
      <c r="D1708" s="23">
        <v>42061</v>
      </c>
      <c r="E1708" s="5">
        <v>179.312714</v>
      </c>
      <c r="F1708" s="28">
        <v>64.749870000000001</v>
      </c>
      <c r="G1708" s="28">
        <v>116.07</v>
      </c>
      <c r="H1708" s="28">
        <v>101.2272</v>
      </c>
      <c r="I1708" s="28">
        <v>93.016130000000004</v>
      </c>
      <c r="J1708" s="29"/>
      <c r="K1708" s="29"/>
      <c r="L1708" s="29"/>
      <c r="M1708" s="29"/>
      <c r="N1708" s="29"/>
      <c r="P1708" s="4">
        <f t="shared" si="108"/>
        <v>-1.181961351500176E-3</v>
      </c>
      <c r="Q1708" s="4">
        <f t="shared" si="108"/>
        <v>-2.7665226970889321E-3</v>
      </c>
      <c r="R1708" s="4">
        <f t="shared" si="108"/>
        <v>3.1928231809004023E-3</v>
      </c>
      <c r="S1708" s="4">
        <f t="shared" si="108"/>
        <v>5.0638134461758596E-3</v>
      </c>
      <c r="T1708" s="4">
        <f t="shared" si="108"/>
        <v>-6.396843754152158E-4</v>
      </c>
      <c r="U1708" s="35"/>
      <c r="V1708" s="35"/>
      <c r="W1708" s="35"/>
      <c r="X1708" s="35"/>
    </row>
    <row r="1709" spans="4:24" x14ac:dyDescent="0.3">
      <c r="D1709" s="23">
        <v>42062</v>
      </c>
      <c r="E1709" s="5">
        <v>178.70188899999999</v>
      </c>
      <c r="F1709" s="28">
        <v>64.804460000000006</v>
      </c>
      <c r="G1709" s="28">
        <v>116.16</v>
      </c>
      <c r="H1709" s="28">
        <v>100.7809</v>
      </c>
      <c r="I1709" s="28">
        <v>92.684579999999997</v>
      </c>
      <c r="J1709" s="29"/>
      <c r="K1709" s="29"/>
      <c r="L1709" s="29"/>
      <c r="M1709" s="29"/>
      <c r="N1709" s="29"/>
      <c r="P1709" s="4">
        <f t="shared" si="108"/>
        <v>-3.4122942895216729E-3</v>
      </c>
      <c r="Q1709" s="4">
        <f t="shared" si="108"/>
        <v>8.4273529461855465E-4</v>
      </c>
      <c r="R1709" s="4">
        <f t="shared" si="108"/>
        <v>7.7509369595476303E-4</v>
      </c>
      <c r="S1709" s="4">
        <f t="shared" si="108"/>
        <v>-4.4186418875737437E-3</v>
      </c>
      <c r="T1709" s="4">
        <f t="shared" si="108"/>
        <v>-3.5708032811439657E-3</v>
      </c>
      <c r="U1709" s="35"/>
      <c r="V1709" s="35"/>
      <c r="W1709" s="35"/>
      <c r="X1709" s="35"/>
    </row>
    <row r="1710" spans="4:24" x14ac:dyDescent="0.3">
      <c r="D1710" s="23">
        <v>42065</v>
      </c>
      <c r="E1710" s="5">
        <v>179.83015399999999</v>
      </c>
      <c r="F1710" s="28">
        <v>64.595020000000005</v>
      </c>
      <c r="G1710" s="28">
        <v>115.68</v>
      </c>
      <c r="H1710" s="28">
        <v>101.6921</v>
      </c>
      <c r="I1710" s="28">
        <v>93.254180000000005</v>
      </c>
      <c r="J1710" s="29"/>
      <c r="K1710" s="29"/>
      <c r="L1710" s="29"/>
      <c r="M1710" s="29"/>
      <c r="N1710" s="29"/>
      <c r="P1710" s="4">
        <f t="shared" si="108"/>
        <v>6.2938236425391066E-3</v>
      </c>
      <c r="Q1710" s="4">
        <f t="shared" si="108"/>
        <v>-3.2371101165381993E-3</v>
      </c>
      <c r="R1710" s="4">
        <f t="shared" si="108"/>
        <v>-4.1407926660312769E-3</v>
      </c>
      <c r="S1710" s="4">
        <f t="shared" si="108"/>
        <v>9.0007670320499129E-3</v>
      </c>
      <c r="T1710" s="4">
        <f t="shared" si="108"/>
        <v>6.1267675633469975E-3</v>
      </c>
      <c r="U1710" s="35"/>
      <c r="V1710" s="35"/>
      <c r="W1710" s="35"/>
      <c r="X1710" s="35"/>
    </row>
    <row r="1711" spans="4:24" x14ac:dyDescent="0.3">
      <c r="D1711" s="23">
        <v>42066</v>
      </c>
      <c r="E1711" s="5">
        <v>179.09213299999999</v>
      </c>
      <c r="F1711" s="28">
        <v>64.51688</v>
      </c>
      <c r="G1711" s="28">
        <v>115.47</v>
      </c>
      <c r="H1711" s="28">
        <v>101.2179</v>
      </c>
      <c r="I1711" s="28">
        <v>92.871610000000004</v>
      </c>
      <c r="J1711" s="29"/>
      <c r="K1711" s="29"/>
      <c r="L1711" s="29"/>
      <c r="M1711" s="29"/>
      <c r="N1711" s="29"/>
      <c r="P1711" s="4">
        <f t="shared" si="108"/>
        <v>-4.1124336206187781E-3</v>
      </c>
      <c r="Q1711" s="4">
        <f t="shared" si="108"/>
        <v>-1.2104230445125991E-3</v>
      </c>
      <c r="R1711" s="4">
        <f t="shared" si="108"/>
        <v>-1.8170024466902187E-3</v>
      </c>
      <c r="S1711" s="4">
        <f t="shared" si="108"/>
        <v>-4.6740019052032636E-3</v>
      </c>
      <c r="T1711" s="4">
        <f t="shared" si="108"/>
        <v>-4.1108815577370617E-3</v>
      </c>
      <c r="U1711" s="35"/>
      <c r="V1711" s="35"/>
      <c r="W1711" s="35"/>
      <c r="X1711" s="35"/>
    </row>
    <row r="1712" spans="4:24" x14ac:dyDescent="0.3">
      <c r="D1712" s="23">
        <v>42067</v>
      </c>
      <c r="E1712" s="5">
        <v>178.337097</v>
      </c>
      <c r="F1712" s="28">
        <v>64.51688</v>
      </c>
      <c r="G1712" s="28">
        <v>115.11</v>
      </c>
      <c r="H1712" s="28">
        <v>100.8275</v>
      </c>
      <c r="I1712" s="28">
        <v>92.497540000000001</v>
      </c>
      <c r="J1712" s="29"/>
      <c r="K1712" s="29"/>
      <c r="L1712" s="29"/>
      <c r="M1712" s="29"/>
      <c r="N1712" s="29"/>
      <c r="P1712" s="4">
        <f t="shared" si="108"/>
        <v>-4.224820242370547E-3</v>
      </c>
      <c r="Q1712" s="4">
        <f t="shared" si="108"/>
        <v>0</v>
      </c>
      <c r="R1712" s="4">
        <f t="shared" si="108"/>
        <v>-3.1225630367937166E-3</v>
      </c>
      <c r="S1712" s="4">
        <f t="shared" si="108"/>
        <v>-3.8644827930759545E-3</v>
      </c>
      <c r="T1712" s="4">
        <f t="shared" si="108"/>
        <v>-4.0359521286675833E-3</v>
      </c>
      <c r="U1712" s="35"/>
      <c r="V1712" s="35"/>
      <c r="W1712" s="35"/>
      <c r="X1712" s="35"/>
    </row>
    <row r="1713" spans="4:24" x14ac:dyDescent="0.3">
      <c r="D1713" s="23">
        <v>42068</v>
      </c>
      <c r="E1713" s="5">
        <v>178.532242</v>
      </c>
      <c r="F1713" s="28">
        <v>64.555959999999999</v>
      </c>
      <c r="G1713" s="28">
        <v>115</v>
      </c>
      <c r="H1713" s="28">
        <v>101.00409999999999</v>
      </c>
      <c r="I1713" s="28">
        <v>92.642060000000001</v>
      </c>
      <c r="J1713" s="29"/>
      <c r="K1713" s="29"/>
      <c r="L1713" s="29"/>
      <c r="M1713" s="29"/>
      <c r="N1713" s="29"/>
      <c r="P1713" s="4">
        <f t="shared" si="108"/>
        <v>1.0936496814066118E-3</v>
      </c>
      <c r="Q1713" s="4">
        <f t="shared" si="108"/>
        <v>6.0554956711544611E-4</v>
      </c>
      <c r="R1713" s="4">
        <f t="shared" si="108"/>
        <v>-9.5606456372061388E-4</v>
      </c>
      <c r="S1713" s="4">
        <f t="shared" si="108"/>
        <v>1.7499741870793271E-3</v>
      </c>
      <c r="T1713" s="4">
        <f t="shared" si="108"/>
        <v>1.5612006221660658E-3</v>
      </c>
      <c r="U1713" s="35"/>
      <c r="V1713" s="35"/>
      <c r="W1713" s="35"/>
      <c r="X1713" s="35"/>
    </row>
    <row r="1714" spans="4:24" x14ac:dyDescent="0.3">
      <c r="D1714" s="23">
        <v>42069</v>
      </c>
      <c r="E1714" s="5">
        <v>176.021255</v>
      </c>
      <c r="F1714" s="28">
        <v>64.180790000000002</v>
      </c>
      <c r="G1714" s="28">
        <v>111.86</v>
      </c>
      <c r="H1714" s="28">
        <v>99.860519999999994</v>
      </c>
      <c r="I1714" s="28">
        <v>91.358279999999993</v>
      </c>
      <c r="J1714" s="29"/>
      <c r="K1714" s="29"/>
      <c r="L1714" s="29"/>
      <c r="M1714" s="29"/>
      <c r="N1714" s="29"/>
      <c r="P1714" s="4">
        <f t="shared" si="108"/>
        <v>-1.4164457567646541E-2</v>
      </c>
      <c r="Q1714" s="4">
        <f t="shared" si="108"/>
        <v>-5.8284998197829672E-3</v>
      </c>
      <c r="R1714" s="4">
        <f t="shared" si="108"/>
        <v>-2.7684038969808124E-2</v>
      </c>
      <c r="S1714" s="4">
        <f t="shared" si="108"/>
        <v>-1.1386697727637261E-2</v>
      </c>
      <c r="T1714" s="4">
        <f t="shared" si="108"/>
        <v>-1.3954331081796501E-2</v>
      </c>
      <c r="U1714" s="35"/>
      <c r="V1714" s="35"/>
      <c r="W1714" s="35"/>
      <c r="X1714" s="35"/>
    </row>
    <row r="1715" spans="4:24" x14ac:dyDescent="0.3">
      <c r="D1715" s="23">
        <v>42072</v>
      </c>
      <c r="E1715" s="5">
        <v>176.750778</v>
      </c>
      <c r="F1715" s="28">
        <v>64.258960000000002</v>
      </c>
      <c r="G1715" s="28">
        <v>111.97</v>
      </c>
      <c r="H1715" s="28">
        <v>100.14879999999999</v>
      </c>
      <c r="I1715" s="28">
        <v>91.698400000000007</v>
      </c>
      <c r="J1715" s="29"/>
      <c r="K1715" s="29"/>
      <c r="L1715" s="29"/>
      <c r="M1715" s="29"/>
      <c r="N1715" s="29"/>
      <c r="P1715" s="4">
        <f t="shared" si="108"/>
        <v>4.135951672453622E-3</v>
      </c>
      <c r="Q1715" s="4">
        <f t="shared" si="108"/>
        <v>1.2172245687432214E-3</v>
      </c>
      <c r="R1715" s="4">
        <f t="shared" si="108"/>
        <v>9.828888786637402E-4</v>
      </c>
      <c r="S1715" s="4">
        <f t="shared" si="108"/>
        <v>2.8826676639709761E-3</v>
      </c>
      <c r="T1715" s="4">
        <f t="shared" si="108"/>
        <v>3.7160117990312925E-3</v>
      </c>
      <c r="U1715" s="35"/>
      <c r="V1715" s="35"/>
      <c r="W1715" s="35"/>
      <c r="X1715" s="35"/>
    </row>
    <row r="1716" spans="4:24" x14ac:dyDescent="0.3">
      <c r="D1716" s="23">
        <v>42073</v>
      </c>
      <c r="E1716" s="5">
        <v>173.883591</v>
      </c>
      <c r="F1716" s="28">
        <v>64.509069999999994</v>
      </c>
      <c r="G1716" s="28">
        <v>111.42</v>
      </c>
      <c r="H1716" s="28">
        <v>98.28931</v>
      </c>
      <c r="I1716" s="28">
        <v>90.304140000000004</v>
      </c>
      <c r="J1716" s="29"/>
      <c r="K1716" s="29"/>
      <c r="L1716" s="29"/>
      <c r="M1716" s="29"/>
      <c r="N1716" s="29"/>
      <c r="P1716" s="4">
        <f t="shared" si="108"/>
        <v>-1.6354648383056156E-2</v>
      </c>
      <c r="Q1716" s="4">
        <f t="shared" si="108"/>
        <v>3.8846647654105582E-3</v>
      </c>
      <c r="R1716" s="4">
        <f t="shared" si="108"/>
        <v>-4.9241336794361669E-3</v>
      </c>
      <c r="S1716" s="4">
        <f t="shared" si="108"/>
        <v>-1.8741807501915949E-2</v>
      </c>
      <c r="T1716" s="4">
        <f t="shared" si="108"/>
        <v>-1.5321624361473447E-2</v>
      </c>
      <c r="U1716" s="35"/>
      <c r="V1716" s="35"/>
      <c r="W1716" s="35"/>
      <c r="X1716" s="35"/>
    </row>
    <row r="1717" spans="4:24" x14ac:dyDescent="0.3">
      <c r="D1717" s="23">
        <v>42074</v>
      </c>
      <c r="E1717" s="5">
        <v>173.47640999999999</v>
      </c>
      <c r="F1717" s="28">
        <v>64.579359999999994</v>
      </c>
      <c r="G1717" s="28">
        <v>110.75</v>
      </c>
      <c r="H1717" s="28">
        <v>97.722189999999998</v>
      </c>
      <c r="I1717" s="28">
        <v>90.236099999999993</v>
      </c>
      <c r="J1717" s="29"/>
      <c r="K1717" s="29"/>
      <c r="L1717" s="29"/>
      <c r="M1717" s="29"/>
      <c r="N1717" s="29"/>
      <c r="P1717" s="4">
        <f t="shared" ref="P1717:T1732" si="109">LN(E1717/E1716)</f>
        <v>-2.3444333563401002E-3</v>
      </c>
      <c r="Q1717" s="4">
        <f t="shared" si="109"/>
        <v>1.0890210214316741E-3</v>
      </c>
      <c r="R1717" s="4">
        <f t="shared" si="109"/>
        <v>-6.0314356674244351E-3</v>
      </c>
      <c r="S1717" s="4">
        <f t="shared" si="109"/>
        <v>-5.7866154026302843E-3</v>
      </c>
      <c r="T1717" s="4">
        <f t="shared" si="109"/>
        <v>-7.5373781735587578E-4</v>
      </c>
      <c r="U1717" s="35"/>
      <c r="V1717" s="35"/>
      <c r="W1717" s="35"/>
      <c r="X1717" s="35"/>
    </row>
    <row r="1718" spans="4:24" x14ac:dyDescent="0.3">
      <c r="D1718" s="23">
        <v>42075</v>
      </c>
      <c r="E1718" s="5">
        <v>175.682007</v>
      </c>
      <c r="F1718" s="28">
        <v>64.626300000000001</v>
      </c>
      <c r="G1718" s="28">
        <v>110.72</v>
      </c>
      <c r="H1718" s="28">
        <v>98.363699999999994</v>
      </c>
      <c r="I1718" s="28">
        <v>91.366839999999996</v>
      </c>
      <c r="J1718" s="29"/>
      <c r="K1718" s="29"/>
      <c r="L1718" s="29"/>
      <c r="M1718" s="29"/>
      <c r="N1718" s="29"/>
      <c r="P1718" s="4">
        <f t="shared" si="109"/>
        <v>1.2633957711327162E-2</v>
      </c>
      <c r="Q1718" s="4">
        <f t="shared" si="109"/>
        <v>7.2659358831691806E-4</v>
      </c>
      <c r="R1718" s="4">
        <f t="shared" si="109"/>
        <v>-2.7091705588561094E-4</v>
      </c>
      <c r="S1718" s="4">
        <f t="shared" si="109"/>
        <v>6.5431764494030134E-3</v>
      </c>
      <c r="T1718" s="4">
        <f t="shared" si="109"/>
        <v>1.2453043025956989E-2</v>
      </c>
      <c r="U1718" s="35"/>
      <c r="V1718" s="35"/>
      <c r="W1718" s="35"/>
      <c r="X1718" s="35"/>
    </row>
    <row r="1719" spans="4:24" x14ac:dyDescent="0.3">
      <c r="D1719" s="23">
        <v>42076</v>
      </c>
      <c r="E1719" s="5">
        <v>174.60462999999999</v>
      </c>
      <c r="F1719" s="28">
        <v>64.563739999999996</v>
      </c>
      <c r="G1719" s="28">
        <v>110.88</v>
      </c>
      <c r="H1719" s="28">
        <v>97.936040000000006</v>
      </c>
      <c r="I1719" s="28">
        <v>90.856740000000002</v>
      </c>
      <c r="J1719" s="29"/>
      <c r="K1719" s="29"/>
      <c r="L1719" s="29"/>
      <c r="M1719" s="29"/>
      <c r="N1719" s="29"/>
      <c r="P1719" s="4">
        <f t="shared" si="109"/>
        <v>-6.1514216274576759E-3</v>
      </c>
      <c r="Q1719" s="4">
        <f t="shared" si="109"/>
        <v>-9.6849578945909758E-4</v>
      </c>
      <c r="R1719" s="4">
        <f t="shared" si="109"/>
        <v>1.4440435722336239E-3</v>
      </c>
      <c r="S1719" s="4">
        <f t="shared" si="109"/>
        <v>-4.3572210193135964E-3</v>
      </c>
      <c r="T1719" s="4">
        <f t="shared" si="109"/>
        <v>-5.598631443956361E-3</v>
      </c>
      <c r="U1719" s="35"/>
      <c r="V1719" s="35"/>
      <c r="W1719" s="35"/>
      <c r="X1719" s="35"/>
    </row>
    <row r="1720" spans="4:24" x14ac:dyDescent="0.3">
      <c r="D1720" s="23">
        <v>42079</v>
      </c>
      <c r="E1720" s="5">
        <v>176.93746899999999</v>
      </c>
      <c r="F1720" s="28">
        <v>64.688829999999996</v>
      </c>
      <c r="G1720" s="28">
        <v>110.81</v>
      </c>
      <c r="H1720" s="28">
        <v>99.200460000000007</v>
      </c>
      <c r="I1720" s="28">
        <v>91.995949999999993</v>
      </c>
      <c r="J1720" s="29"/>
      <c r="K1720" s="29"/>
      <c r="L1720" s="29"/>
      <c r="M1720" s="29"/>
      <c r="N1720" s="29"/>
      <c r="P1720" s="4">
        <f t="shared" si="109"/>
        <v>1.3272226860213945E-2</v>
      </c>
      <c r="Q1720" s="4">
        <f t="shared" si="109"/>
        <v>1.9355907438320648E-3</v>
      </c>
      <c r="R1720" s="4">
        <f t="shared" si="109"/>
        <v>-6.3151249335892314E-4</v>
      </c>
      <c r="S1720" s="4">
        <f t="shared" si="109"/>
        <v>1.282803883822437E-2</v>
      </c>
      <c r="T1720" s="4">
        <f t="shared" si="109"/>
        <v>1.2460574028209943E-2</v>
      </c>
      <c r="U1720" s="35"/>
      <c r="V1720" s="35"/>
      <c r="W1720" s="35"/>
      <c r="X1720" s="35"/>
    </row>
    <row r="1721" spans="4:24" x14ac:dyDescent="0.3">
      <c r="D1721" s="23">
        <v>42080</v>
      </c>
      <c r="E1721" s="5">
        <v>176.41149899999999</v>
      </c>
      <c r="F1721" s="28">
        <v>64.743570000000005</v>
      </c>
      <c r="G1721" s="28">
        <v>110.21</v>
      </c>
      <c r="H1721" s="28">
        <v>99.358509999999995</v>
      </c>
      <c r="I1721" s="28">
        <v>91.817400000000006</v>
      </c>
      <c r="J1721" s="29"/>
      <c r="K1721" s="29"/>
      <c r="L1721" s="29"/>
      <c r="M1721" s="29"/>
      <c r="N1721" s="29"/>
      <c r="P1721" s="4">
        <f t="shared" si="109"/>
        <v>-2.9770591460587226E-3</v>
      </c>
      <c r="Q1721" s="4">
        <f t="shared" si="109"/>
        <v>8.4584699447259545E-4</v>
      </c>
      <c r="R1721" s="4">
        <f t="shared" si="109"/>
        <v>-5.4293862447835585E-3</v>
      </c>
      <c r="S1721" s="4">
        <f t="shared" si="109"/>
        <v>1.5919707216426886E-3</v>
      </c>
      <c r="T1721" s="4">
        <f t="shared" si="109"/>
        <v>-1.9427321917266027E-3</v>
      </c>
      <c r="U1721" s="35"/>
      <c r="V1721" s="35"/>
      <c r="W1721" s="35"/>
      <c r="X1721" s="35"/>
    </row>
    <row r="1722" spans="4:24" x14ac:dyDescent="0.3">
      <c r="D1722" s="23">
        <v>42081</v>
      </c>
      <c r="E1722" s="5">
        <v>178.532242</v>
      </c>
      <c r="F1722" s="28">
        <v>65.142120000000006</v>
      </c>
      <c r="G1722" s="28">
        <v>112.37</v>
      </c>
      <c r="H1722" s="28">
        <v>100.3347</v>
      </c>
      <c r="I1722" s="28">
        <v>92.871610000000004</v>
      </c>
      <c r="J1722" s="29"/>
      <c r="K1722" s="29"/>
      <c r="L1722" s="29"/>
      <c r="M1722" s="29"/>
      <c r="N1722" s="29"/>
      <c r="P1722" s="4">
        <f t="shared" si="109"/>
        <v>1.1949883836564477E-2</v>
      </c>
      <c r="Q1722" s="4">
        <f t="shared" si="109"/>
        <v>6.1369539763028516E-3</v>
      </c>
      <c r="R1722" s="4">
        <f t="shared" si="109"/>
        <v>1.9409361216360575E-2</v>
      </c>
      <c r="S1722" s="4">
        <f t="shared" si="109"/>
        <v>9.7769751519631888E-3</v>
      </c>
      <c r="T1722" s="4">
        <f t="shared" si="109"/>
        <v>1.141617954961203E-2</v>
      </c>
      <c r="U1722" s="35"/>
      <c r="V1722" s="35"/>
      <c r="W1722" s="35"/>
      <c r="X1722" s="35"/>
    </row>
    <row r="1723" spans="4:24" x14ac:dyDescent="0.3">
      <c r="D1723" s="23">
        <v>42082</v>
      </c>
      <c r="E1723" s="5">
        <v>177.71792600000001</v>
      </c>
      <c r="F1723" s="28">
        <v>64.946730000000002</v>
      </c>
      <c r="G1723" s="28">
        <v>112.29</v>
      </c>
      <c r="H1723" s="28">
        <v>100.48350000000001</v>
      </c>
      <c r="I1723" s="28">
        <v>92.540040000000005</v>
      </c>
      <c r="J1723" s="29"/>
      <c r="K1723" s="29"/>
      <c r="L1723" s="29"/>
      <c r="M1723" s="29"/>
      <c r="N1723" s="29"/>
      <c r="P1723" s="4">
        <f t="shared" si="109"/>
        <v>-4.5716044026518545E-3</v>
      </c>
      <c r="Q1723" s="4">
        <f t="shared" si="109"/>
        <v>-3.0039491767134712E-3</v>
      </c>
      <c r="R1723" s="4">
        <f t="shared" si="109"/>
        <v>-7.1218733536374099E-4</v>
      </c>
      <c r="S1723" s="4">
        <f t="shared" si="109"/>
        <v>1.481937665332502E-3</v>
      </c>
      <c r="T1723" s="4">
        <f t="shared" si="109"/>
        <v>-3.5765859745343562E-3</v>
      </c>
      <c r="U1723" s="35"/>
      <c r="V1723" s="35"/>
      <c r="W1723" s="35"/>
      <c r="X1723" s="35"/>
    </row>
    <row r="1724" spans="4:24" x14ac:dyDescent="0.3">
      <c r="D1724" s="23">
        <v>42083</v>
      </c>
      <c r="E1724" s="5">
        <v>179.286575</v>
      </c>
      <c r="F1724" s="28">
        <v>65.118650000000002</v>
      </c>
      <c r="G1724" s="28">
        <v>113.57</v>
      </c>
      <c r="H1724" s="28">
        <v>101.1339</v>
      </c>
      <c r="I1724" s="28">
        <v>93.313699999999997</v>
      </c>
      <c r="J1724" s="29"/>
      <c r="K1724" s="29"/>
      <c r="L1724" s="29"/>
      <c r="M1724" s="29"/>
      <c r="N1724" s="29"/>
      <c r="P1724" s="4">
        <f t="shared" si="109"/>
        <v>8.7878953390115415E-3</v>
      </c>
      <c r="Q1724" s="4">
        <f t="shared" si="109"/>
        <v>2.6435950923028796E-3</v>
      </c>
      <c r="R1724" s="4">
        <f t="shared" si="109"/>
        <v>1.1334576319107536E-2</v>
      </c>
      <c r="S1724" s="4">
        <f t="shared" si="109"/>
        <v>6.4518464789759134E-3</v>
      </c>
      <c r="T1724" s="4">
        <f t="shared" si="109"/>
        <v>8.3255195058401336E-3</v>
      </c>
      <c r="U1724" s="35"/>
      <c r="V1724" s="35"/>
      <c r="W1724" s="35"/>
      <c r="X1724" s="35"/>
    </row>
    <row r="1725" spans="4:24" x14ac:dyDescent="0.3">
      <c r="D1725" s="23">
        <v>42086</v>
      </c>
      <c r="E1725" s="5">
        <v>178.937195</v>
      </c>
      <c r="F1725" s="28">
        <v>65.149940000000001</v>
      </c>
      <c r="G1725" s="28">
        <v>114.29</v>
      </c>
      <c r="H1725" s="28">
        <v>100.93819999999999</v>
      </c>
      <c r="I1725" s="28">
        <v>93.152150000000006</v>
      </c>
      <c r="J1725" s="29"/>
      <c r="K1725" s="29"/>
      <c r="L1725" s="29"/>
      <c r="M1725" s="29"/>
      <c r="N1725" s="29"/>
      <c r="P1725" s="4">
        <f t="shared" si="109"/>
        <v>-1.9506249447419442E-3</v>
      </c>
      <c r="Q1725" s="4">
        <f t="shared" si="109"/>
        <v>4.8039209761540632E-4</v>
      </c>
      <c r="R1725" s="4">
        <f t="shared" si="109"/>
        <v>6.3196910059518411E-3</v>
      </c>
      <c r="S1725" s="4">
        <f t="shared" si="109"/>
        <v>-1.9369330173153911E-3</v>
      </c>
      <c r="T1725" s="4">
        <f t="shared" si="109"/>
        <v>-1.7327573968149849E-3</v>
      </c>
      <c r="U1725" s="35"/>
      <c r="V1725" s="35"/>
      <c r="W1725" s="35"/>
      <c r="X1725" s="35"/>
    </row>
    <row r="1726" spans="4:24" x14ac:dyDescent="0.3">
      <c r="D1726" s="23">
        <v>42087</v>
      </c>
      <c r="E1726" s="5">
        <v>177.93177800000001</v>
      </c>
      <c r="F1726" s="28">
        <v>65.259370000000004</v>
      </c>
      <c r="G1726" s="28">
        <v>114.57</v>
      </c>
      <c r="H1726" s="28">
        <v>100.5748</v>
      </c>
      <c r="I1726" s="28">
        <v>92.65907</v>
      </c>
      <c r="J1726" s="29"/>
      <c r="K1726" s="29"/>
      <c r="L1726" s="29"/>
      <c r="M1726" s="29"/>
      <c r="N1726" s="29"/>
      <c r="P1726" s="4">
        <f t="shared" si="109"/>
        <v>-5.6346711885436771E-3</v>
      </c>
      <c r="Q1726" s="4">
        <f t="shared" si="109"/>
        <v>1.6782548068766951E-3</v>
      </c>
      <c r="R1726" s="4">
        <f t="shared" si="109"/>
        <v>2.4469119960278157E-3</v>
      </c>
      <c r="S1726" s="4">
        <f t="shared" si="109"/>
        <v>-3.6067191093211836E-3</v>
      </c>
      <c r="T1726" s="4">
        <f t="shared" si="109"/>
        <v>-5.3073345884535848E-3</v>
      </c>
      <c r="U1726" s="35"/>
      <c r="V1726" s="35"/>
      <c r="W1726" s="35"/>
      <c r="X1726" s="35"/>
    </row>
    <row r="1727" spans="4:24" x14ac:dyDescent="0.3">
      <c r="D1727" s="23">
        <v>42088</v>
      </c>
      <c r="E1727" s="5">
        <v>175.32437100000001</v>
      </c>
      <c r="F1727" s="28">
        <v>65.157709999999994</v>
      </c>
      <c r="G1727" s="28">
        <v>114.73</v>
      </c>
      <c r="H1727" s="28">
        <v>98.273089999999996</v>
      </c>
      <c r="I1727" s="28">
        <v>91.213849999999994</v>
      </c>
      <c r="J1727" s="29"/>
      <c r="K1727" s="29"/>
      <c r="L1727" s="29"/>
      <c r="M1727" s="29"/>
      <c r="N1727" s="29"/>
      <c r="P1727" s="4">
        <f t="shared" si="109"/>
        <v>-1.4762400369021501E-2</v>
      </c>
      <c r="Q1727" s="4">
        <f t="shared" si="109"/>
        <v>-1.5589985696688527E-3</v>
      </c>
      <c r="R1727" s="4">
        <f t="shared" si="109"/>
        <v>1.3955519055172563E-3</v>
      </c>
      <c r="S1727" s="4">
        <f t="shared" si="109"/>
        <v>-2.3151493407274869E-2</v>
      </c>
      <c r="T1727" s="4">
        <f t="shared" si="109"/>
        <v>-1.5720093659648954E-2</v>
      </c>
      <c r="U1727" s="35"/>
      <c r="V1727" s="35"/>
      <c r="W1727" s="35"/>
      <c r="X1727" s="35"/>
    </row>
    <row r="1728" spans="4:24" x14ac:dyDescent="0.3">
      <c r="D1728" s="23">
        <v>42089</v>
      </c>
      <c r="E1728" s="5">
        <v>174.906845</v>
      </c>
      <c r="F1728" s="28">
        <v>64.946730000000002</v>
      </c>
      <c r="G1728" s="28">
        <v>115.48</v>
      </c>
      <c r="H1728" s="28">
        <v>97.937610000000006</v>
      </c>
      <c r="I1728" s="28">
        <v>91.034459999999996</v>
      </c>
      <c r="J1728" s="29"/>
      <c r="K1728" s="29"/>
      <c r="L1728" s="29"/>
      <c r="M1728" s="29"/>
      <c r="N1728" s="29"/>
      <c r="P1728" s="4">
        <f t="shared" si="109"/>
        <v>-2.384288885301099E-3</v>
      </c>
      <c r="Q1728" s="4">
        <f t="shared" si="109"/>
        <v>-3.243243427126181E-3</v>
      </c>
      <c r="R1728" s="4">
        <f t="shared" si="109"/>
        <v>6.5158129836827006E-3</v>
      </c>
      <c r="S1728" s="4">
        <f t="shared" si="109"/>
        <v>-3.4195925799599732E-3</v>
      </c>
      <c r="T1728" s="4">
        <f t="shared" si="109"/>
        <v>-1.9686334313415337E-3</v>
      </c>
      <c r="U1728" s="35"/>
      <c r="V1728" s="35"/>
      <c r="W1728" s="35"/>
      <c r="X1728" s="35"/>
    </row>
    <row r="1729" spans="4:24" x14ac:dyDescent="0.3">
      <c r="D1729" s="23">
        <v>42090</v>
      </c>
      <c r="E1729" s="5">
        <v>175.307388</v>
      </c>
      <c r="F1729" s="28">
        <v>65.009249999999994</v>
      </c>
      <c r="G1729" s="28">
        <v>115.06</v>
      </c>
      <c r="H1729" s="28">
        <v>98.328990000000005</v>
      </c>
      <c r="I1729" s="28">
        <v>91.282179999999997</v>
      </c>
      <c r="J1729" s="29"/>
      <c r="K1729" s="29"/>
      <c r="L1729" s="29"/>
      <c r="M1729" s="29"/>
      <c r="N1729" s="29"/>
      <c r="P1729" s="4">
        <f t="shared" si="109"/>
        <v>2.287418025332515E-3</v>
      </c>
      <c r="Q1729" s="4">
        <f t="shared" si="109"/>
        <v>9.6217203430381366E-4</v>
      </c>
      <c r="R1729" s="4">
        <f t="shared" si="109"/>
        <v>-3.6436233595870267E-3</v>
      </c>
      <c r="S1729" s="4">
        <f t="shared" si="109"/>
        <v>3.9882539237912577E-3</v>
      </c>
      <c r="T1729" s="4">
        <f t="shared" si="109"/>
        <v>2.7174716739384692E-3</v>
      </c>
      <c r="U1729" s="35"/>
      <c r="V1729" s="35"/>
      <c r="W1729" s="35"/>
      <c r="X1729" s="35"/>
    </row>
    <row r="1730" spans="4:24" x14ac:dyDescent="0.3">
      <c r="D1730" s="23">
        <v>42093</v>
      </c>
      <c r="E1730" s="5">
        <v>177.44605999999999</v>
      </c>
      <c r="F1730" s="28">
        <v>65.087440000000001</v>
      </c>
      <c r="G1730" s="28">
        <v>113.75</v>
      </c>
      <c r="H1730" s="28">
        <v>99.456549999999993</v>
      </c>
      <c r="I1730" s="28">
        <v>92.443830000000005</v>
      </c>
      <c r="J1730" s="29"/>
      <c r="K1730" s="29"/>
      <c r="L1730" s="29"/>
      <c r="M1730" s="29"/>
      <c r="N1730" s="29"/>
      <c r="P1730" s="4">
        <f t="shared" si="109"/>
        <v>1.2125739474832984E-2</v>
      </c>
      <c r="Q1730" s="4">
        <f t="shared" si="109"/>
        <v>1.2020291894369278E-3</v>
      </c>
      <c r="R1730" s="4">
        <f t="shared" si="109"/>
        <v>-1.1450673604087651E-2</v>
      </c>
      <c r="S1730" s="4">
        <f t="shared" si="109"/>
        <v>1.1401968168807633E-2</v>
      </c>
      <c r="T1730" s="4">
        <f t="shared" si="109"/>
        <v>1.2645629000489881E-2</v>
      </c>
      <c r="U1730" s="35"/>
      <c r="V1730" s="35"/>
      <c r="W1730" s="35"/>
      <c r="X1730" s="35"/>
    </row>
    <row r="1731" spans="4:24" x14ac:dyDescent="0.3">
      <c r="D1731" s="23">
        <v>42094</v>
      </c>
      <c r="E1731" s="5">
        <v>175.89524800000001</v>
      </c>
      <c r="F1731" s="28">
        <v>65.157709999999994</v>
      </c>
      <c r="G1731" s="28">
        <v>113.66</v>
      </c>
      <c r="H1731" s="28">
        <v>98.403559999999999</v>
      </c>
      <c r="I1731" s="28">
        <v>91.606769999999997</v>
      </c>
      <c r="J1731" s="29"/>
      <c r="K1731" s="29"/>
      <c r="L1731" s="29"/>
      <c r="M1731" s="29"/>
      <c r="N1731" s="29"/>
      <c r="P1731" s="4">
        <f t="shared" si="109"/>
        <v>-8.7780393794564347E-3</v>
      </c>
      <c r="Q1731" s="4">
        <f t="shared" si="109"/>
        <v>1.0790422033852556E-3</v>
      </c>
      <c r="R1731" s="4">
        <f t="shared" si="109"/>
        <v>-7.9152196208443642E-4</v>
      </c>
      <c r="S1731" s="4">
        <f t="shared" si="109"/>
        <v>-1.0643883107934626E-2</v>
      </c>
      <c r="T1731" s="4">
        <f t="shared" si="109"/>
        <v>-9.0960395823407505E-3</v>
      </c>
      <c r="U1731" s="35"/>
      <c r="V1731" s="35"/>
      <c r="W1731" s="35"/>
      <c r="X1731" s="35"/>
    </row>
    <row r="1732" spans="4:24" x14ac:dyDescent="0.3">
      <c r="D1732" s="23">
        <v>42095</v>
      </c>
      <c r="E1732" s="5">
        <v>175.27325400000001</v>
      </c>
      <c r="F1732" s="28">
        <v>65.41704</v>
      </c>
      <c r="G1732" s="28">
        <v>115.6</v>
      </c>
      <c r="H1732" s="28">
        <v>97.891040000000004</v>
      </c>
      <c r="I1732" s="28">
        <v>91.435950000000005</v>
      </c>
      <c r="J1732" s="29"/>
      <c r="K1732" s="29"/>
      <c r="L1732" s="29"/>
      <c r="M1732" s="29"/>
      <c r="N1732" s="29"/>
      <c r="P1732" s="4">
        <f t="shared" si="109"/>
        <v>-3.5424284746340259E-3</v>
      </c>
      <c r="Q1732" s="4">
        <f t="shared" si="109"/>
        <v>3.9721361285048251E-3</v>
      </c>
      <c r="R1732" s="4">
        <f t="shared" si="109"/>
        <v>1.692442036930162E-2</v>
      </c>
      <c r="S1732" s="4">
        <f t="shared" si="109"/>
        <v>-5.2219588786674492E-3</v>
      </c>
      <c r="T1732" s="4">
        <f t="shared" si="109"/>
        <v>-1.8664500788618322E-3</v>
      </c>
      <c r="U1732" s="35"/>
      <c r="V1732" s="35"/>
      <c r="W1732" s="35"/>
      <c r="X1732" s="35"/>
    </row>
    <row r="1733" spans="4:24" x14ac:dyDescent="0.3">
      <c r="D1733" s="23">
        <v>42096</v>
      </c>
      <c r="E1733" s="5">
        <v>175.903839</v>
      </c>
      <c r="F1733" s="28">
        <v>65.330870000000004</v>
      </c>
      <c r="G1733" s="28">
        <v>115.28</v>
      </c>
      <c r="H1733" s="28">
        <v>97.956270000000004</v>
      </c>
      <c r="I1733" s="28">
        <v>91.726330000000004</v>
      </c>
      <c r="J1733" s="29"/>
      <c r="K1733" s="29"/>
      <c r="L1733" s="29"/>
      <c r="M1733" s="29"/>
      <c r="N1733" s="29"/>
      <c r="P1733" s="4">
        <f t="shared" ref="P1733:T1748" si="110">LN(E1733/E1732)</f>
        <v>3.5912688515376753E-3</v>
      </c>
      <c r="Q1733" s="4">
        <f t="shared" si="110"/>
        <v>-1.3181092145344252E-3</v>
      </c>
      <c r="R1733" s="4">
        <f t="shared" si="110"/>
        <v>-2.7720045470103782E-3</v>
      </c>
      <c r="S1733" s="4">
        <f t="shared" si="110"/>
        <v>6.6613120611210507E-4</v>
      </c>
      <c r="T1733" s="4">
        <f t="shared" si="110"/>
        <v>3.1707428328644873E-3</v>
      </c>
      <c r="U1733" s="35"/>
      <c r="V1733" s="35"/>
      <c r="W1733" s="35"/>
      <c r="X1733" s="35"/>
    </row>
    <row r="1734" spans="4:24" x14ac:dyDescent="0.3">
      <c r="D1734" s="23">
        <v>42100</v>
      </c>
      <c r="E1734" s="5">
        <v>177.08819600000001</v>
      </c>
      <c r="F1734" s="28">
        <v>65.3857</v>
      </c>
      <c r="G1734" s="28">
        <v>116.69</v>
      </c>
      <c r="H1734" s="28">
        <v>98.757639999999995</v>
      </c>
      <c r="I1734" s="28">
        <v>92.35839</v>
      </c>
      <c r="J1734" s="29"/>
      <c r="K1734" s="29"/>
      <c r="L1734" s="29"/>
      <c r="M1734" s="29"/>
      <c r="N1734" s="29"/>
      <c r="P1734" s="4">
        <f t="shared" si="110"/>
        <v>6.7104145523458917E-3</v>
      </c>
      <c r="Q1734" s="4">
        <f t="shared" si="110"/>
        <v>8.389143505780519E-4</v>
      </c>
      <c r="R1734" s="4">
        <f t="shared" si="110"/>
        <v>1.2156894126749349E-2</v>
      </c>
      <c r="S1734" s="4">
        <f t="shared" si="110"/>
        <v>8.1476132841582696E-3</v>
      </c>
      <c r="T1734" s="4">
        <f t="shared" si="110"/>
        <v>6.8670825457591575E-3</v>
      </c>
      <c r="U1734" s="35"/>
      <c r="V1734" s="35"/>
      <c r="W1734" s="35"/>
      <c r="X1734" s="35"/>
    </row>
    <row r="1735" spans="4:24" x14ac:dyDescent="0.3">
      <c r="D1735" s="23">
        <v>42101</v>
      </c>
      <c r="E1735" s="5">
        <v>176.619553</v>
      </c>
      <c r="F1735" s="28">
        <v>65.424840000000003</v>
      </c>
      <c r="G1735" s="28">
        <v>116.11</v>
      </c>
      <c r="H1735" s="28">
        <v>98.589910000000003</v>
      </c>
      <c r="I1735" s="28">
        <v>92.050929999999994</v>
      </c>
      <c r="J1735" s="29"/>
      <c r="K1735" s="29"/>
      <c r="L1735" s="29"/>
      <c r="M1735" s="29"/>
      <c r="N1735" s="29"/>
      <c r="P1735" s="4">
        <f t="shared" si="110"/>
        <v>-2.6498897779644137E-3</v>
      </c>
      <c r="Q1735" s="4">
        <f t="shared" si="110"/>
        <v>5.9842274434508756E-4</v>
      </c>
      <c r="R1735" s="4">
        <f t="shared" si="110"/>
        <v>-4.9828281791011028E-3</v>
      </c>
      <c r="S1735" s="4">
        <f t="shared" si="110"/>
        <v>-1.6998441621145514E-3</v>
      </c>
      <c r="T1735" s="4">
        <f t="shared" si="110"/>
        <v>-3.3345417128762969E-3</v>
      </c>
      <c r="U1735" s="35"/>
      <c r="V1735" s="35"/>
      <c r="W1735" s="35"/>
      <c r="X1735" s="35"/>
    </row>
    <row r="1736" spans="4:24" x14ac:dyDescent="0.3">
      <c r="D1736" s="23">
        <v>42102</v>
      </c>
      <c r="E1736" s="5">
        <v>177.21601899999999</v>
      </c>
      <c r="F1736" s="28">
        <v>65.377880000000005</v>
      </c>
      <c r="G1736" s="28">
        <v>115.47</v>
      </c>
      <c r="H1736" s="28">
        <v>99.372690000000006</v>
      </c>
      <c r="I1736" s="28">
        <v>92.443830000000005</v>
      </c>
      <c r="J1736" s="29"/>
      <c r="K1736" s="29"/>
      <c r="L1736" s="29"/>
      <c r="M1736" s="29"/>
      <c r="N1736" s="29"/>
      <c r="P1736" s="4">
        <f t="shared" si="110"/>
        <v>3.3714335820405734E-3</v>
      </c>
      <c r="Q1736" s="4">
        <f t="shared" si="110"/>
        <v>-7.1802791283807172E-4</v>
      </c>
      <c r="R1736" s="4">
        <f t="shared" si="110"/>
        <v>-5.5272616751503925E-3</v>
      </c>
      <c r="S1736" s="4">
        <f t="shared" si="110"/>
        <v>7.9084037062560012E-3</v>
      </c>
      <c r="T1736" s="4">
        <f t="shared" si="110"/>
        <v>4.2592059954551925E-3</v>
      </c>
      <c r="U1736" s="35"/>
      <c r="V1736" s="35"/>
      <c r="W1736" s="35"/>
      <c r="X1736" s="35"/>
    </row>
    <row r="1737" spans="4:24" x14ac:dyDescent="0.3">
      <c r="D1737" s="23">
        <v>42103</v>
      </c>
      <c r="E1737" s="5">
        <v>177.99998500000001</v>
      </c>
      <c r="F1737" s="28">
        <v>65.236869999999996</v>
      </c>
      <c r="G1737" s="28">
        <v>114.67</v>
      </c>
      <c r="H1737" s="28">
        <v>99.997029999999995</v>
      </c>
      <c r="I1737" s="28">
        <v>92.7684</v>
      </c>
      <c r="J1737" s="29"/>
      <c r="K1737" s="29"/>
      <c r="L1737" s="29"/>
      <c r="M1737" s="29"/>
      <c r="N1737" s="29"/>
      <c r="P1737" s="4">
        <f t="shared" si="110"/>
        <v>4.4140312601322973E-3</v>
      </c>
      <c r="Q1737" s="4">
        <f t="shared" si="110"/>
        <v>-2.1591750515592765E-3</v>
      </c>
      <c r="R1737" s="4">
        <f t="shared" si="110"/>
        <v>-6.9523179135513756E-3</v>
      </c>
      <c r="S1737" s="4">
        <f t="shared" si="110"/>
        <v>6.2631581257361338E-3</v>
      </c>
      <c r="T1737" s="4">
        <f t="shared" si="110"/>
        <v>3.5048477333302045E-3</v>
      </c>
      <c r="U1737" s="35"/>
      <c r="V1737" s="35"/>
      <c r="W1737" s="35"/>
      <c r="X1737" s="35"/>
    </row>
    <row r="1738" spans="4:24" x14ac:dyDescent="0.3">
      <c r="D1738" s="23">
        <v>42104</v>
      </c>
      <c r="E1738" s="5">
        <v>178.97131300000001</v>
      </c>
      <c r="F1738" s="28">
        <v>65.205510000000004</v>
      </c>
      <c r="G1738" s="28">
        <v>115.97</v>
      </c>
      <c r="H1738" s="28">
        <v>100.407</v>
      </c>
      <c r="I1738" s="28">
        <v>93.203999999999994</v>
      </c>
      <c r="J1738" s="29"/>
      <c r="K1738" s="29"/>
      <c r="L1738" s="29"/>
      <c r="M1738" s="29"/>
      <c r="N1738" s="29"/>
      <c r="P1738" s="4">
        <f t="shared" si="110"/>
        <v>5.442064405086074E-3</v>
      </c>
      <c r="Q1738" s="4">
        <f t="shared" si="110"/>
        <v>-4.8082533612431593E-4</v>
      </c>
      <c r="R1738" s="4">
        <f t="shared" si="110"/>
        <v>1.1273098918398922E-2</v>
      </c>
      <c r="S1738" s="4">
        <f t="shared" si="110"/>
        <v>4.091440395724971E-3</v>
      </c>
      <c r="T1738" s="4">
        <f t="shared" si="110"/>
        <v>4.6845746638952569E-3</v>
      </c>
      <c r="U1738" s="35"/>
      <c r="V1738" s="35"/>
      <c r="W1738" s="35"/>
      <c r="X1738" s="35"/>
    </row>
    <row r="1739" spans="4:24" x14ac:dyDescent="0.3">
      <c r="D1739" s="23">
        <v>42107</v>
      </c>
      <c r="E1739" s="5">
        <v>178.16181900000001</v>
      </c>
      <c r="F1739" s="28">
        <v>65.221180000000004</v>
      </c>
      <c r="G1739" s="28">
        <v>115.14</v>
      </c>
      <c r="H1739" s="28">
        <v>100.1554</v>
      </c>
      <c r="I1739" s="28">
        <v>92.83672</v>
      </c>
      <c r="J1739" s="29"/>
      <c r="K1739" s="29"/>
      <c r="L1739" s="29"/>
      <c r="M1739" s="29"/>
      <c r="N1739" s="29"/>
      <c r="P1739" s="4">
        <f t="shared" si="110"/>
        <v>-4.5332976068493394E-3</v>
      </c>
      <c r="Q1739" s="4">
        <f t="shared" si="110"/>
        <v>2.4028824277301961E-4</v>
      </c>
      <c r="R1739" s="4">
        <f t="shared" si="110"/>
        <v>-7.1827577209483042E-3</v>
      </c>
      <c r="S1739" s="4">
        <f t="shared" si="110"/>
        <v>-2.5089461632008575E-3</v>
      </c>
      <c r="T1739" s="4">
        <f t="shared" si="110"/>
        <v>-3.9483880426898141E-3</v>
      </c>
      <c r="U1739" s="35"/>
      <c r="V1739" s="35"/>
      <c r="W1739" s="35"/>
      <c r="X1739" s="35"/>
    </row>
    <row r="1740" spans="4:24" x14ac:dyDescent="0.3">
      <c r="D1740" s="23">
        <v>42108</v>
      </c>
      <c r="E1740" s="5">
        <v>178.50268600000001</v>
      </c>
      <c r="F1740" s="28">
        <v>65.33869</v>
      </c>
      <c r="G1740" s="28">
        <v>114.44</v>
      </c>
      <c r="H1740" s="28">
        <v>99.866560000000007</v>
      </c>
      <c r="I1740" s="28">
        <v>92.973370000000003</v>
      </c>
      <c r="J1740" s="29"/>
      <c r="K1740" s="29"/>
      <c r="L1740" s="29"/>
      <c r="M1740" s="29"/>
      <c r="N1740" s="29"/>
      <c r="P1740" s="4">
        <f t="shared" si="110"/>
        <v>1.9114159048716334E-3</v>
      </c>
      <c r="Q1740" s="4">
        <f t="shared" si="110"/>
        <v>1.8000941902135629E-3</v>
      </c>
      <c r="R1740" s="4">
        <f t="shared" si="110"/>
        <v>-6.0981110657540192E-3</v>
      </c>
      <c r="S1740" s="4">
        <f t="shared" si="110"/>
        <v>-2.8880848959650343E-3</v>
      </c>
      <c r="T1740" s="4">
        <f t="shared" si="110"/>
        <v>1.4708568801182055E-3</v>
      </c>
      <c r="U1740" s="35"/>
      <c r="V1740" s="35"/>
      <c r="W1740" s="35"/>
      <c r="X1740" s="35"/>
    </row>
    <row r="1741" spans="4:24" x14ac:dyDescent="0.3">
      <c r="D1741" s="23">
        <v>42109</v>
      </c>
      <c r="E1741" s="5">
        <v>179.30360400000001</v>
      </c>
      <c r="F1741" s="28">
        <v>65.401359999999997</v>
      </c>
      <c r="G1741" s="28">
        <v>115.43</v>
      </c>
      <c r="H1741" s="28">
        <v>100.4909</v>
      </c>
      <c r="I1741" s="28">
        <v>93.443160000000006</v>
      </c>
      <c r="J1741" s="29"/>
      <c r="K1741" s="29"/>
      <c r="L1741" s="29"/>
      <c r="M1741" s="29"/>
      <c r="N1741" s="29"/>
      <c r="P1741" s="4">
        <f t="shared" si="110"/>
        <v>4.4768320739571434E-3</v>
      </c>
      <c r="Q1741" s="4">
        <f t="shared" si="110"/>
        <v>9.5869635662515539E-4</v>
      </c>
      <c r="R1741" s="4">
        <f t="shared" si="110"/>
        <v>8.6136174449113981E-3</v>
      </c>
      <c r="S1741" s="4">
        <f t="shared" si="110"/>
        <v>6.2322812522012713E-3</v>
      </c>
      <c r="T1741" s="4">
        <f t="shared" si="110"/>
        <v>5.0402289382964283E-3</v>
      </c>
      <c r="U1741" s="35"/>
      <c r="V1741" s="35"/>
      <c r="W1741" s="35"/>
      <c r="X1741" s="35"/>
    </row>
    <row r="1742" spans="4:24" x14ac:dyDescent="0.3">
      <c r="D1742" s="23">
        <v>42110</v>
      </c>
      <c r="E1742" s="5">
        <v>179.25250199999999</v>
      </c>
      <c r="F1742" s="28">
        <v>65.3857</v>
      </c>
      <c r="G1742" s="28">
        <v>115.03</v>
      </c>
      <c r="H1742" s="28">
        <v>100.3511</v>
      </c>
      <c r="I1742" s="28">
        <v>93.400440000000003</v>
      </c>
      <c r="J1742" s="29"/>
      <c r="K1742" s="29"/>
      <c r="L1742" s="29"/>
      <c r="M1742" s="29"/>
      <c r="N1742" s="29"/>
      <c r="P1742" s="4">
        <f t="shared" si="110"/>
        <v>-2.8504325817294766E-4</v>
      </c>
      <c r="Q1742" s="4">
        <f t="shared" si="110"/>
        <v>-2.3947323343512404E-4</v>
      </c>
      <c r="R1742" s="4">
        <f t="shared" si="110"/>
        <v>-3.4713217189020215E-3</v>
      </c>
      <c r="S1742" s="4">
        <f t="shared" si="110"/>
        <v>-1.3921393192489859E-3</v>
      </c>
      <c r="T1742" s="4">
        <f t="shared" si="110"/>
        <v>-4.5728085676380846E-4</v>
      </c>
      <c r="U1742" s="35"/>
      <c r="V1742" s="35"/>
      <c r="W1742" s="35"/>
      <c r="X1742" s="35"/>
    </row>
    <row r="1743" spans="4:24" x14ac:dyDescent="0.3">
      <c r="D1743" s="23">
        <v>42111</v>
      </c>
      <c r="E1743" s="5">
        <v>177.19044500000001</v>
      </c>
      <c r="F1743" s="28">
        <v>65.495369999999994</v>
      </c>
      <c r="G1743" s="28">
        <v>115.6</v>
      </c>
      <c r="H1743" s="28">
        <v>98.785619999999994</v>
      </c>
      <c r="I1743" s="28">
        <v>92.315700000000007</v>
      </c>
      <c r="J1743" s="29"/>
      <c r="K1743" s="29"/>
      <c r="L1743" s="29"/>
      <c r="M1743" s="29"/>
      <c r="N1743" s="29"/>
      <c r="P1743" s="4">
        <f t="shared" si="110"/>
        <v>-1.157032294607674E-2</v>
      </c>
      <c r="Q1743" s="4">
        <f t="shared" si="110"/>
        <v>1.6758729993237818E-3</v>
      </c>
      <c r="R1743" s="4">
        <f t="shared" si="110"/>
        <v>4.9429923303581005E-3</v>
      </c>
      <c r="S1743" s="4">
        <f t="shared" si="110"/>
        <v>-1.5722989214359544E-2</v>
      </c>
      <c r="T1743" s="4">
        <f t="shared" si="110"/>
        <v>-1.1681831592480084E-2</v>
      </c>
      <c r="U1743" s="35"/>
      <c r="V1743" s="35"/>
      <c r="W1743" s="35"/>
      <c r="X1743" s="35"/>
    </row>
    <row r="1744" spans="4:24" x14ac:dyDescent="0.3">
      <c r="D1744" s="23">
        <v>42114</v>
      </c>
      <c r="E1744" s="5">
        <v>178.80940200000001</v>
      </c>
      <c r="F1744" s="28">
        <v>65.424840000000003</v>
      </c>
      <c r="G1744" s="28">
        <v>114.72</v>
      </c>
      <c r="H1744" s="28">
        <v>100.2672</v>
      </c>
      <c r="I1744" s="28">
        <v>93.067350000000005</v>
      </c>
      <c r="J1744" s="29"/>
      <c r="K1744" s="29"/>
      <c r="L1744" s="29"/>
      <c r="M1744" s="29"/>
      <c r="N1744" s="29"/>
      <c r="P1744" s="4">
        <f t="shared" si="110"/>
        <v>9.0953306543122663E-3</v>
      </c>
      <c r="Q1744" s="4">
        <f t="shared" si="110"/>
        <v>-1.0774502549785383E-3</v>
      </c>
      <c r="R1744" s="4">
        <f t="shared" si="110"/>
        <v>-7.6415793869668734E-3</v>
      </c>
      <c r="S1744" s="4">
        <f t="shared" si="110"/>
        <v>1.4886574940175357E-2</v>
      </c>
      <c r="T1744" s="4">
        <f t="shared" si="110"/>
        <v>8.1092000480378502E-3</v>
      </c>
      <c r="U1744" s="35"/>
      <c r="V1744" s="35"/>
      <c r="W1744" s="35"/>
      <c r="X1744" s="35"/>
    </row>
    <row r="1745" spans="4:24" x14ac:dyDescent="0.3">
      <c r="D1745" s="23">
        <v>42115</v>
      </c>
      <c r="E1745" s="5">
        <v>178.59639000000001</v>
      </c>
      <c r="F1745" s="28">
        <v>65.346519999999998</v>
      </c>
      <c r="G1745" s="28">
        <v>115.38</v>
      </c>
      <c r="H1745" s="28">
        <v>100.69589999999999</v>
      </c>
      <c r="I1745" s="28">
        <v>93.041700000000006</v>
      </c>
      <c r="J1745" s="29"/>
      <c r="K1745" s="29"/>
      <c r="L1745" s="29"/>
      <c r="M1745" s="29"/>
      <c r="N1745" s="29"/>
      <c r="P1745" s="4">
        <f t="shared" si="110"/>
        <v>-1.191989777386254E-3</v>
      </c>
      <c r="Q1745" s="4">
        <f t="shared" si="110"/>
        <v>-1.1978159340734378E-3</v>
      </c>
      <c r="R1745" s="4">
        <f t="shared" si="110"/>
        <v>5.7366519774330752E-3</v>
      </c>
      <c r="S1745" s="4">
        <f t="shared" si="110"/>
        <v>4.266461358239308E-3</v>
      </c>
      <c r="T1745" s="4">
        <f t="shared" si="110"/>
        <v>-2.7564484545388764E-4</v>
      </c>
      <c r="U1745" s="35"/>
      <c r="V1745" s="35"/>
      <c r="W1745" s="35"/>
      <c r="X1745" s="35"/>
    </row>
    <row r="1746" spans="4:24" x14ac:dyDescent="0.3">
      <c r="D1746" s="23">
        <v>42116</v>
      </c>
      <c r="E1746" s="5">
        <v>179.47401400000001</v>
      </c>
      <c r="F1746" s="28">
        <v>65.103700000000003</v>
      </c>
      <c r="G1746" s="28">
        <v>113.83</v>
      </c>
      <c r="H1746" s="28">
        <v>101.2457</v>
      </c>
      <c r="I1746" s="28">
        <v>93.434619999999995</v>
      </c>
      <c r="J1746" s="29"/>
      <c r="K1746" s="29"/>
      <c r="L1746" s="29"/>
      <c r="M1746" s="29"/>
      <c r="N1746" s="29"/>
      <c r="P1746" s="4">
        <f t="shared" si="110"/>
        <v>4.9019731739300678E-3</v>
      </c>
      <c r="Q1746" s="4">
        <f t="shared" si="110"/>
        <v>-3.7228036938873098E-3</v>
      </c>
      <c r="R1746" s="4">
        <f t="shared" si="110"/>
        <v>-1.3524921491618051E-2</v>
      </c>
      <c r="S1746" s="4">
        <f t="shared" si="110"/>
        <v>5.4451520484028277E-3</v>
      </c>
      <c r="T1746" s="4">
        <f t="shared" si="110"/>
        <v>4.2141606129246769E-3</v>
      </c>
      <c r="U1746" s="35"/>
      <c r="V1746" s="35"/>
      <c r="W1746" s="35"/>
      <c r="X1746" s="35"/>
    </row>
    <row r="1747" spans="4:24" x14ac:dyDescent="0.3">
      <c r="D1747" s="23">
        <v>42117</v>
      </c>
      <c r="E1747" s="5">
        <v>179.92564400000001</v>
      </c>
      <c r="F1747" s="28">
        <v>65.229039999999998</v>
      </c>
      <c r="G1747" s="28">
        <v>114.66</v>
      </c>
      <c r="H1747" s="28">
        <v>101.62779999999999</v>
      </c>
      <c r="I1747" s="28">
        <v>93.725020000000001</v>
      </c>
      <c r="J1747" s="29"/>
      <c r="K1747" s="29"/>
      <c r="L1747" s="29"/>
      <c r="M1747" s="29"/>
      <c r="N1747" s="29"/>
      <c r="P1747" s="4">
        <f t="shared" si="110"/>
        <v>2.5132480105116988E-3</v>
      </c>
      <c r="Q1747" s="4">
        <f t="shared" si="110"/>
        <v>1.9233853081020204E-3</v>
      </c>
      <c r="R1747" s="4">
        <f t="shared" si="110"/>
        <v>7.2651201431114783E-3</v>
      </c>
      <c r="S1747" s="4">
        <f t="shared" si="110"/>
        <v>3.7668838149335954E-3</v>
      </c>
      <c r="T1747" s="4">
        <f t="shared" si="110"/>
        <v>3.1032356446903542E-3</v>
      </c>
      <c r="U1747" s="35"/>
      <c r="V1747" s="35"/>
      <c r="W1747" s="35"/>
      <c r="X1747" s="35"/>
    </row>
    <row r="1748" spans="4:24" x14ac:dyDescent="0.3">
      <c r="D1748" s="23">
        <v>42118</v>
      </c>
      <c r="E1748" s="5">
        <v>180.34318500000001</v>
      </c>
      <c r="F1748" s="28">
        <v>65.330870000000004</v>
      </c>
      <c r="G1748" s="28">
        <v>113.05</v>
      </c>
      <c r="H1748" s="28">
        <v>103.0069</v>
      </c>
      <c r="I1748" s="28">
        <v>93.827529999999996</v>
      </c>
      <c r="J1748" s="29"/>
      <c r="K1748" s="29"/>
      <c r="L1748" s="29"/>
      <c r="M1748" s="29"/>
      <c r="N1748" s="29"/>
      <c r="P1748" s="4">
        <f t="shared" si="110"/>
        <v>2.3179423438210796E-3</v>
      </c>
      <c r="Q1748" s="4">
        <f t="shared" si="110"/>
        <v>1.5598972249355179E-3</v>
      </c>
      <c r="R1748" s="4">
        <f t="shared" si="110"/>
        <v>-1.4141028756257768E-2</v>
      </c>
      <c r="S1748" s="4">
        <f t="shared" si="110"/>
        <v>1.3478856513208253E-2</v>
      </c>
      <c r="T1748" s="4">
        <f t="shared" si="110"/>
        <v>1.0931337399334381E-3</v>
      </c>
      <c r="U1748" s="35"/>
      <c r="V1748" s="35"/>
      <c r="W1748" s="35"/>
      <c r="X1748" s="35"/>
    </row>
    <row r="1749" spans="4:24" x14ac:dyDescent="0.3">
      <c r="D1749" s="23">
        <v>42121</v>
      </c>
      <c r="E1749" s="5">
        <v>179.593369</v>
      </c>
      <c r="F1749" s="28">
        <v>65.283850000000001</v>
      </c>
      <c r="G1749" s="28">
        <v>115.33</v>
      </c>
      <c r="H1749" s="28">
        <v>102.746</v>
      </c>
      <c r="I1749" s="28">
        <v>93.34066</v>
      </c>
      <c r="J1749" s="29"/>
      <c r="K1749" s="29"/>
      <c r="L1749" s="29"/>
      <c r="M1749" s="29"/>
      <c r="N1749" s="29"/>
      <c r="P1749" s="4">
        <f t="shared" ref="P1749:T1764" si="111">LN(E1749/E1748)</f>
        <v>-4.1663847493307914E-3</v>
      </c>
      <c r="Q1749" s="4">
        <f t="shared" si="111"/>
        <v>-7.1998013747841098E-4</v>
      </c>
      <c r="R1749" s="4">
        <f t="shared" si="111"/>
        <v>1.9967385513868431E-2</v>
      </c>
      <c r="S1749" s="4">
        <f t="shared" si="111"/>
        <v>-2.5360530989642937E-3</v>
      </c>
      <c r="T1749" s="4">
        <f t="shared" si="111"/>
        <v>-5.2024983319476767E-3</v>
      </c>
      <c r="U1749" s="35"/>
      <c r="V1749" s="35"/>
      <c r="W1749" s="35"/>
      <c r="X1749" s="35"/>
    </row>
    <row r="1750" spans="4:24" x14ac:dyDescent="0.3">
      <c r="D1750" s="23">
        <v>42122</v>
      </c>
      <c r="E1750" s="5">
        <v>180.16424599999999</v>
      </c>
      <c r="F1750" s="28">
        <v>65.080169999999995</v>
      </c>
      <c r="G1750" s="28">
        <v>116.33</v>
      </c>
      <c r="H1750" s="28">
        <v>102.541</v>
      </c>
      <c r="I1750" s="28">
        <v>93.588359999999994</v>
      </c>
      <c r="J1750" s="29"/>
      <c r="K1750" s="29"/>
      <c r="L1750" s="29"/>
      <c r="M1750" s="29"/>
      <c r="N1750" s="29"/>
      <c r="P1750" s="4">
        <f t="shared" si="111"/>
        <v>3.1736783621225391E-3</v>
      </c>
      <c r="Q1750" s="4">
        <f t="shared" si="111"/>
        <v>-3.1247911154171299E-3</v>
      </c>
      <c r="R1750" s="4">
        <f t="shared" si="111"/>
        <v>8.6333955908277603E-3</v>
      </c>
      <c r="S1750" s="4">
        <f t="shared" si="111"/>
        <v>-1.997204578394576E-3</v>
      </c>
      <c r="T1750" s="4">
        <f t="shared" si="111"/>
        <v>2.6502053557928376E-3</v>
      </c>
      <c r="U1750" s="35"/>
      <c r="V1750" s="35"/>
      <c r="W1750" s="35"/>
      <c r="X1750" s="35"/>
    </row>
    <row r="1751" spans="4:24" x14ac:dyDescent="0.3">
      <c r="D1751" s="23">
        <v>42123</v>
      </c>
      <c r="E1751" s="5">
        <v>179.42291299999999</v>
      </c>
      <c r="F1751" s="28">
        <v>64.876530000000002</v>
      </c>
      <c r="G1751" s="28">
        <v>115.51</v>
      </c>
      <c r="H1751" s="28">
        <v>101.898</v>
      </c>
      <c r="I1751" s="28">
        <v>93.178380000000004</v>
      </c>
      <c r="J1751" s="29"/>
      <c r="K1751" s="29"/>
      <c r="L1751" s="29"/>
      <c r="M1751" s="29"/>
      <c r="N1751" s="29"/>
      <c r="P1751" s="4">
        <f t="shared" si="111"/>
        <v>-4.1232509656747799E-3</v>
      </c>
      <c r="Q1751" s="4">
        <f t="shared" si="111"/>
        <v>-3.1339694940747927E-3</v>
      </c>
      <c r="R1751" s="4">
        <f t="shared" si="111"/>
        <v>-7.0738735280859756E-3</v>
      </c>
      <c r="S1751" s="4">
        <f t="shared" si="111"/>
        <v>-6.2904056491022171E-3</v>
      </c>
      <c r="T1751" s="4">
        <f t="shared" si="111"/>
        <v>-4.3902962435381949E-3</v>
      </c>
      <c r="U1751" s="35"/>
      <c r="V1751" s="35"/>
      <c r="W1751" s="35"/>
      <c r="X1751" s="35"/>
    </row>
    <row r="1752" spans="4:24" x14ac:dyDescent="0.3">
      <c r="D1752" s="23">
        <v>42124</v>
      </c>
      <c r="E1752" s="5">
        <v>177.62506099999999</v>
      </c>
      <c r="F1752" s="28">
        <v>64.947010000000006</v>
      </c>
      <c r="G1752" s="28">
        <v>113.47</v>
      </c>
      <c r="H1752" s="28">
        <v>100.29519999999999</v>
      </c>
      <c r="I1752" s="28">
        <v>92.170509999999993</v>
      </c>
      <c r="J1752" s="29"/>
      <c r="K1752" s="29"/>
      <c r="L1752" s="29"/>
      <c r="M1752" s="29"/>
      <c r="N1752" s="29"/>
      <c r="P1752" s="4">
        <f t="shared" si="111"/>
        <v>-1.0070731810208145E-2</v>
      </c>
      <c r="Q1752" s="4">
        <f t="shared" si="111"/>
        <v>1.0857816221033854E-3</v>
      </c>
      <c r="R1752" s="4">
        <f t="shared" si="111"/>
        <v>-1.7818621497690989E-2</v>
      </c>
      <c r="S1752" s="4">
        <f t="shared" si="111"/>
        <v>-1.5854475558661093E-2</v>
      </c>
      <c r="T1752" s="4">
        <f t="shared" si="111"/>
        <v>-1.087548928839612E-2</v>
      </c>
      <c r="U1752" s="35"/>
      <c r="V1752" s="35"/>
      <c r="W1752" s="35"/>
      <c r="X1752" s="35"/>
    </row>
    <row r="1753" spans="4:24" x14ac:dyDescent="0.3">
      <c r="D1753" s="23">
        <v>42125</v>
      </c>
      <c r="E1753" s="5">
        <v>179.55069</v>
      </c>
      <c r="F1753" s="28">
        <v>64.750020000000006</v>
      </c>
      <c r="G1753" s="28">
        <v>113.08</v>
      </c>
      <c r="H1753" s="28">
        <v>101.6185</v>
      </c>
      <c r="I1753" s="28">
        <v>93.016099999999994</v>
      </c>
      <c r="J1753" s="29"/>
      <c r="K1753" s="29"/>
      <c r="L1753" s="29"/>
      <c r="M1753" s="29"/>
      <c r="N1753" s="29"/>
      <c r="P1753" s="4">
        <f t="shared" si="111"/>
        <v>1.0782633768060459E-2</v>
      </c>
      <c r="Q1753" s="4">
        <f t="shared" si="111"/>
        <v>-3.0376971851828944E-3</v>
      </c>
      <c r="R1753" s="4">
        <f t="shared" si="111"/>
        <v>-3.4429519775084584E-3</v>
      </c>
      <c r="S1753" s="4">
        <f t="shared" si="111"/>
        <v>1.3107767790773011E-2</v>
      </c>
      <c r="T1753" s="4">
        <f t="shared" si="111"/>
        <v>9.1323652055510223E-3</v>
      </c>
      <c r="U1753" s="35"/>
      <c r="V1753" s="35"/>
      <c r="W1753" s="35"/>
      <c r="X1753" s="35"/>
    </row>
    <row r="1754" spans="4:24" x14ac:dyDescent="0.3">
      <c r="D1754" s="23">
        <v>42128</v>
      </c>
      <c r="E1754" s="5">
        <v>180.06196600000001</v>
      </c>
      <c r="F1754" s="28">
        <v>64.655860000000004</v>
      </c>
      <c r="G1754" s="28">
        <v>114.1</v>
      </c>
      <c r="H1754" s="28">
        <v>101.78619999999999</v>
      </c>
      <c r="I1754" s="28">
        <v>93.34066</v>
      </c>
      <c r="J1754" s="29"/>
      <c r="K1754" s="29"/>
      <c r="L1754" s="29"/>
      <c r="M1754" s="29"/>
      <c r="N1754" s="29"/>
      <c r="P1754" s="4">
        <f t="shared" si="111"/>
        <v>2.8434835980253046E-3</v>
      </c>
      <c r="Q1754" s="4">
        <f t="shared" si="111"/>
        <v>-1.4552664317521488E-3</v>
      </c>
      <c r="R1754" s="4">
        <f t="shared" si="111"/>
        <v>8.9797240426404308E-3</v>
      </c>
      <c r="S1754" s="4">
        <f t="shared" si="111"/>
        <v>1.6489298231318666E-3</v>
      </c>
      <c r="T1754" s="4">
        <f t="shared" si="111"/>
        <v>3.483214970590621E-3</v>
      </c>
      <c r="U1754" s="35"/>
      <c r="V1754" s="35"/>
      <c r="W1754" s="35"/>
      <c r="X1754" s="35"/>
    </row>
    <row r="1755" spans="4:24" x14ac:dyDescent="0.3">
      <c r="D1755" s="23">
        <v>42129</v>
      </c>
      <c r="E1755" s="5">
        <v>177.99998500000001</v>
      </c>
      <c r="F1755" s="28">
        <v>64.553799999999995</v>
      </c>
      <c r="G1755" s="28">
        <v>114.42</v>
      </c>
      <c r="H1755" s="28">
        <v>100.1275</v>
      </c>
      <c r="I1755" s="28">
        <v>92.230289999999997</v>
      </c>
      <c r="J1755" s="29"/>
      <c r="K1755" s="29"/>
      <c r="L1755" s="29"/>
      <c r="M1755" s="29"/>
      <c r="N1755" s="29"/>
      <c r="P1755" s="4">
        <f t="shared" si="111"/>
        <v>-1.1517581180999473E-2</v>
      </c>
      <c r="Q1755" s="4">
        <f t="shared" si="111"/>
        <v>-1.5797583744960582E-3</v>
      </c>
      <c r="R1755" s="4">
        <f t="shared" si="111"/>
        <v>2.8006319723527908E-3</v>
      </c>
      <c r="S1755" s="4">
        <f t="shared" si="111"/>
        <v>-1.6430161140109166E-2</v>
      </c>
      <c r="T1755" s="4">
        <f t="shared" si="111"/>
        <v>-1.1967209864361755E-2</v>
      </c>
      <c r="U1755" s="35"/>
      <c r="V1755" s="35"/>
      <c r="W1755" s="35"/>
      <c r="X1755" s="35"/>
    </row>
    <row r="1756" spans="4:24" x14ac:dyDescent="0.3">
      <c r="D1756" s="23">
        <v>42130</v>
      </c>
      <c r="E1756" s="5">
        <v>177.26715100000001</v>
      </c>
      <c r="F1756" s="28">
        <v>64.373279999999994</v>
      </c>
      <c r="G1756" s="28">
        <v>114.36</v>
      </c>
      <c r="H1756" s="28">
        <v>99.437899999999999</v>
      </c>
      <c r="I1756" s="28">
        <v>91.974050000000005</v>
      </c>
      <c r="J1756" s="29"/>
      <c r="K1756" s="29"/>
      <c r="L1756" s="29"/>
      <c r="M1756" s="29"/>
      <c r="N1756" s="29"/>
      <c r="P1756" s="4">
        <f t="shared" si="111"/>
        <v>-4.125543655179682E-3</v>
      </c>
      <c r="Q1756" s="4">
        <f t="shared" si="111"/>
        <v>-2.8003444733059853E-3</v>
      </c>
      <c r="R1756" s="4">
        <f t="shared" si="111"/>
        <v>-5.2452138627165411E-4</v>
      </c>
      <c r="S1756" s="4">
        <f t="shared" si="111"/>
        <v>-6.9110451486286625E-3</v>
      </c>
      <c r="T1756" s="4">
        <f t="shared" si="111"/>
        <v>-2.7821295120407695E-3</v>
      </c>
      <c r="U1756" s="35"/>
      <c r="V1756" s="35"/>
      <c r="W1756" s="35"/>
      <c r="X1756" s="35"/>
    </row>
    <row r="1757" spans="4:24" x14ac:dyDescent="0.3">
      <c r="D1757" s="23">
        <v>42131</v>
      </c>
      <c r="E1757" s="5">
        <v>177.97438</v>
      </c>
      <c r="F1757" s="28">
        <v>64.506720000000001</v>
      </c>
      <c r="G1757" s="28">
        <v>113.42</v>
      </c>
      <c r="H1757" s="28">
        <v>100.0343</v>
      </c>
      <c r="I1757" s="28">
        <v>92.324240000000003</v>
      </c>
      <c r="J1757" s="29"/>
      <c r="K1757" s="29"/>
      <c r="L1757" s="29"/>
      <c r="M1757" s="29"/>
      <c r="N1757" s="29"/>
      <c r="P1757" s="4">
        <f t="shared" si="111"/>
        <v>3.9816849812880179E-3</v>
      </c>
      <c r="Q1757" s="4">
        <f t="shared" si="111"/>
        <v>2.0707642408951624E-3</v>
      </c>
      <c r="R1757" s="4">
        <f t="shared" si="111"/>
        <v>-8.2536248682290834E-3</v>
      </c>
      <c r="S1757" s="4">
        <f t="shared" si="111"/>
        <v>5.9797984598459119E-3</v>
      </c>
      <c r="T1757" s="4">
        <f t="shared" si="111"/>
        <v>3.8002568710992345E-3</v>
      </c>
      <c r="U1757" s="35"/>
      <c r="V1757" s="35"/>
      <c r="W1757" s="35"/>
      <c r="X1757" s="35"/>
    </row>
    <row r="1758" spans="4:24" x14ac:dyDescent="0.3">
      <c r="D1758" s="23">
        <v>42132</v>
      </c>
      <c r="E1758" s="5">
        <v>180.317612</v>
      </c>
      <c r="F1758" s="28">
        <v>64.679379999999995</v>
      </c>
      <c r="G1758" s="28">
        <v>113.97</v>
      </c>
      <c r="H1758" s="28">
        <v>101.283</v>
      </c>
      <c r="I1758" s="28">
        <v>93.485860000000002</v>
      </c>
      <c r="J1758" s="29"/>
      <c r="K1758" s="29"/>
      <c r="L1758" s="29"/>
      <c r="M1758" s="29"/>
      <c r="N1758" s="29"/>
      <c r="P1758" s="4">
        <f t="shared" si="111"/>
        <v>1.3080199731911924E-2</v>
      </c>
      <c r="Q1758" s="4">
        <f t="shared" si="111"/>
        <v>2.6730445892714184E-3</v>
      </c>
      <c r="R1758" s="4">
        <f t="shared" si="111"/>
        <v>4.8375132817619956E-3</v>
      </c>
      <c r="S1758" s="4">
        <f t="shared" si="111"/>
        <v>1.2405451633218679E-2</v>
      </c>
      <c r="T1758" s="4">
        <f t="shared" si="111"/>
        <v>1.2503465996843138E-2</v>
      </c>
      <c r="U1758" s="35"/>
      <c r="V1758" s="35"/>
      <c r="W1758" s="35"/>
      <c r="X1758" s="35"/>
    </row>
    <row r="1759" spans="4:24" x14ac:dyDescent="0.3">
      <c r="D1759" s="23">
        <v>42135</v>
      </c>
      <c r="E1759" s="5">
        <v>179.45700099999999</v>
      </c>
      <c r="F1759" s="28">
        <v>64.341930000000005</v>
      </c>
      <c r="G1759" s="28">
        <v>113.53</v>
      </c>
      <c r="H1759" s="28">
        <v>100.8916</v>
      </c>
      <c r="I1759" s="28">
        <v>93.092939999999999</v>
      </c>
      <c r="J1759" s="29"/>
      <c r="K1759" s="29"/>
      <c r="L1759" s="29"/>
      <c r="M1759" s="29"/>
      <c r="N1759" s="29"/>
      <c r="P1759" s="4">
        <f t="shared" si="111"/>
        <v>-4.7841765950074168E-3</v>
      </c>
      <c r="Q1759" s="4">
        <f t="shared" si="111"/>
        <v>-5.2309307580241686E-3</v>
      </c>
      <c r="R1759" s="4">
        <f t="shared" si="111"/>
        <v>-3.8681366912015859E-3</v>
      </c>
      <c r="S1759" s="4">
        <f t="shared" si="111"/>
        <v>-3.8719056595403231E-3</v>
      </c>
      <c r="T1759" s="4">
        <f t="shared" si="111"/>
        <v>-4.2118459423577063E-3</v>
      </c>
      <c r="U1759" s="35"/>
      <c r="V1759" s="35"/>
      <c r="W1759" s="35"/>
      <c r="X1759" s="35"/>
    </row>
    <row r="1760" spans="4:24" x14ac:dyDescent="0.3">
      <c r="D1760" s="23">
        <v>42136</v>
      </c>
      <c r="E1760" s="5">
        <v>178.92022700000001</v>
      </c>
      <c r="F1760" s="28">
        <v>64.263350000000003</v>
      </c>
      <c r="G1760" s="28">
        <v>114.5</v>
      </c>
      <c r="H1760" s="28">
        <v>100.435</v>
      </c>
      <c r="I1760" s="28">
        <v>92.819649999999996</v>
      </c>
      <c r="J1760" s="29"/>
      <c r="K1760" s="29"/>
      <c r="L1760" s="29"/>
      <c r="M1760" s="29"/>
      <c r="N1760" s="29"/>
      <c r="P1760" s="4">
        <f t="shared" si="111"/>
        <v>-2.9955831981371851E-3</v>
      </c>
      <c r="Q1760" s="4">
        <f t="shared" si="111"/>
        <v>-1.222033959710888E-3</v>
      </c>
      <c r="R1760" s="4">
        <f t="shared" si="111"/>
        <v>8.5077038178519773E-3</v>
      </c>
      <c r="S1760" s="4">
        <f t="shared" si="111"/>
        <v>-4.5359210642060893E-3</v>
      </c>
      <c r="T1760" s="4">
        <f t="shared" si="111"/>
        <v>-2.9399859025026074E-3</v>
      </c>
      <c r="U1760" s="35"/>
      <c r="V1760" s="35"/>
      <c r="W1760" s="35"/>
      <c r="X1760" s="35"/>
    </row>
    <row r="1761" spans="4:24" x14ac:dyDescent="0.3">
      <c r="D1761" s="23">
        <v>42137</v>
      </c>
      <c r="E1761" s="5">
        <v>178.95429999999999</v>
      </c>
      <c r="F1761" s="28">
        <v>64.231989999999996</v>
      </c>
      <c r="G1761" s="28">
        <v>116.55</v>
      </c>
      <c r="H1761" s="28">
        <v>100.64</v>
      </c>
      <c r="I1761" s="28">
        <v>92.870900000000006</v>
      </c>
      <c r="J1761" s="29"/>
      <c r="K1761" s="29"/>
      <c r="L1761" s="29"/>
      <c r="M1761" s="29"/>
      <c r="N1761" s="29"/>
      <c r="P1761" s="4">
        <f t="shared" si="111"/>
        <v>1.9041869444328294E-4</v>
      </c>
      <c r="Q1761" s="4">
        <f t="shared" si="111"/>
        <v>-4.8811109605436612E-4</v>
      </c>
      <c r="R1761" s="4">
        <f t="shared" si="111"/>
        <v>1.7745542487471875E-2</v>
      </c>
      <c r="S1761" s="4">
        <f t="shared" si="111"/>
        <v>2.0390408656188242E-3</v>
      </c>
      <c r="T1761" s="4">
        <f t="shared" si="111"/>
        <v>5.5199363997049551E-4</v>
      </c>
      <c r="U1761" s="35"/>
      <c r="V1761" s="35"/>
      <c r="W1761" s="35"/>
      <c r="X1761" s="35"/>
    </row>
    <row r="1762" spans="4:24" x14ac:dyDescent="0.3">
      <c r="D1762" s="23">
        <v>42138</v>
      </c>
      <c r="E1762" s="5">
        <v>180.820313</v>
      </c>
      <c r="F1762" s="28">
        <v>64.357600000000005</v>
      </c>
      <c r="G1762" s="28">
        <v>117.18</v>
      </c>
      <c r="H1762" s="28">
        <v>102.1123</v>
      </c>
      <c r="I1762" s="28">
        <v>93.793350000000004</v>
      </c>
      <c r="J1762" s="29"/>
      <c r="K1762" s="29"/>
      <c r="L1762" s="29"/>
      <c r="M1762" s="29"/>
      <c r="N1762" s="29"/>
      <c r="P1762" s="4">
        <f t="shared" si="111"/>
        <v>1.0373326329192002E-2</v>
      </c>
      <c r="Q1762" s="4">
        <f t="shared" si="111"/>
        <v>1.9536579897663445E-3</v>
      </c>
      <c r="R1762" s="4">
        <f t="shared" si="111"/>
        <v>5.3908486348765933E-3</v>
      </c>
      <c r="S1762" s="4">
        <f t="shared" si="111"/>
        <v>1.4523395089872672E-2</v>
      </c>
      <c r="T1762" s="4">
        <f t="shared" si="111"/>
        <v>9.8836012697584713E-3</v>
      </c>
      <c r="U1762" s="35"/>
      <c r="V1762" s="35"/>
      <c r="W1762" s="35"/>
      <c r="X1762" s="35"/>
    </row>
    <row r="1763" spans="4:24" x14ac:dyDescent="0.3">
      <c r="D1763" s="23">
        <v>42139</v>
      </c>
      <c r="E1763" s="5">
        <v>181.01632699999999</v>
      </c>
      <c r="F1763" s="28">
        <v>64.616590000000002</v>
      </c>
      <c r="G1763" s="28">
        <v>117.53</v>
      </c>
      <c r="H1763" s="28">
        <v>102.1123</v>
      </c>
      <c r="I1763" s="28">
        <v>93.904399999999995</v>
      </c>
      <c r="J1763" s="29"/>
      <c r="K1763" s="29"/>
      <c r="L1763" s="29"/>
      <c r="M1763" s="29"/>
      <c r="N1763" s="29"/>
      <c r="P1763" s="4">
        <f t="shared" si="111"/>
        <v>1.0834393066114527E-3</v>
      </c>
      <c r="Q1763" s="4">
        <f t="shared" si="111"/>
        <v>4.0161577772318642E-3</v>
      </c>
      <c r="R1763" s="4">
        <f t="shared" si="111"/>
        <v>2.9824060281200895E-3</v>
      </c>
      <c r="S1763" s="4">
        <f t="shared" si="111"/>
        <v>0</v>
      </c>
      <c r="T1763" s="4">
        <f t="shared" si="111"/>
        <v>1.1832854997711891E-3</v>
      </c>
      <c r="U1763" s="35"/>
      <c r="V1763" s="35"/>
      <c r="W1763" s="35"/>
      <c r="X1763" s="35"/>
    </row>
    <row r="1764" spans="4:24" x14ac:dyDescent="0.3">
      <c r="D1764" s="23">
        <v>42142</v>
      </c>
      <c r="E1764" s="5">
        <v>181.57868999999999</v>
      </c>
      <c r="F1764" s="28">
        <v>64.381169999999997</v>
      </c>
      <c r="G1764" s="28">
        <v>117.52</v>
      </c>
      <c r="H1764" s="28">
        <v>102.5596</v>
      </c>
      <c r="I1764" s="28">
        <v>94.25461</v>
      </c>
      <c r="J1764" s="29"/>
      <c r="K1764" s="29"/>
      <c r="L1764" s="29"/>
      <c r="M1764" s="29"/>
      <c r="N1764" s="29"/>
      <c r="P1764" s="4">
        <f t="shared" si="111"/>
        <v>3.1018818491149879E-3</v>
      </c>
      <c r="Q1764" s="4">
        <f t="shared" si="111"/>
        <v>-3.6499899124410582E-3</v>
      </c>
      <c r="R1764" s="4">
        <f t="shared" si="111"/>
        <v>-8.5088279140909005E-5</v>
      </c>
      <c r="S1764" s="4">
        <f t="shared" si="111"/>
        <v>4.3709049667450713E-3</v>
      </c>
      <c r="T1764" s="4">
        <f t="shared" si="111"/>
        <v>3.7224941224319585E-3</v>
      </c>
      <c r="U1764" s="35"/>
      <c r="V1764" s="35"/>
      <c r="W1764" s="35"/>
      <c r="X1764" s="35"/>
    </row>
    <row r="1765" spans="4:24" x14ac:dyDescent="0.3">
      <c r="D1765" s="23">
        <v>42143</v>
      </c>
      <c r="E1765" s="5">
        <v>181.51902799999999</v>
      </c>
      <c r="F1765" s="28">
        <v>64.239879999999999</v>
      </c>
      <c r="G1765" s="28">
        <v>115.89</v>
      </c>
      <c r="H1765" s="28">
        <v>102.4478</v>
      </c>
      <c r="I1765" s="28">
        <v>94.2119</v>
      </c>
      <c r="J1765" s="29"/>
      <c r="K1765" s="29"/>
      <c r="L1765" s="29"/>
      <c r="M1765" s="29"/>
      <c r="N1765" s="29"/>
      <c r="P1765" s="4">
        <f t="shared" ref="P1765:T1780" si="112">LN(E1765/E1764)</f>
        <v>-3.2862779124902925E-4</v>
      </c>
      <c r="Q1765" s="4">
        <f t="shared" si="112"/>
        <v>-2.1969974095455811E-3</v>
      </c>
      <c r="R1765" s="4">
        <f t="shared" si="112"/>
        <v>-1.3967066519322169E-2</v>
      </c>
      <c r="S1765" s="4">
        <f t="shared" si="112"/>
        <v>-1.090692444108898E-3</v>
      </c>
      <c r="T1765" s="4">
        <f t="shared" si="112"/>
        <v>-4.5323703114292336E-4</v>
      </c>
      <c r="U1765" s="35"/>
      <c r="V1765" s="35"/>
      <c r="W1765" s="35"/>
      <c r="X1765" s="35"/>
    </row>
    <row r="1766" spans="4:24" x14ac:dyDescent="0.3">
      <c r="D1766" s="23">
        <v>42144</v>
      </c>
      <c r="E1766" s="5">
        <v>181.39122</v>
      </c>
      <c r="F1766" s="28">
        <v>64.239879999999999</v>
      </c>
      <c r="G1766" s="28">
        <v>116.08</v>
      </c>
      <c r="H1766" s="28">
        <v>102.51300000000001</v>
      </c>
      <c r="I1766" s="28">
        <v>94.152090000000001</v>
      </c>
      <c r="J1766" s="29"/>
      <c r="K1766" s="29"/>
      <c r="L1766" s="29"/>
      <c r="M1766" s="29"/>
      <c r="N1766" s="29"/>
      <c r="P1766" s="4">
        <f t="shared" si="112"/>
        <v>-7.0435048879569561E-4</v>
      </c>
      <c r="Q1766" s="4">
        <f t="shared" si="112"/>
        <v>0</v>
      </c>
      <c r="R1766" s="4">
        <f t="shared" si="112"/>
        <v>1.6381432296328506E-3</v>
      </c>
      <c r="S1766" s="4">
        <f t="shared" si="112"/>
        <v>6.362192399647495E-4</v>
      </c>
      <c r="T1766" s="4">
        <f t="shared" si="112"/>
        <v>-6.3504709164466193E-4</v>
      </c>
      <c r="U1766" s="35"/>
      <c r="V1766" s="35"/>
      <c r="W1766" s="35"/>
      <c r="X1766" s="35"/>
    </row>
    <row r="1767" spans="4:24" x14ac:dyDescent="0.3">
      <c r="D1767" s="23">
        <v>42145</v>
      </c>
      <c r="E1767" s="5">
        <v>181.91952499999999</v>
      </c>
      <c r="F1767" s="28">
        <v>64.443950000000001</v>
      </c>
      <c r="G1767" s="28">
        <v>115.69</v>
      </c>
      <c r="H1767" s="28">
        <v>103.0442</v>
      </c>
      <c r="I1767" s="28">
        <v>94.391270000000006</v>
      </c>
      <c r="J1767" s="29"/>
      <c r="K1767" s="29"/>
      <c r="L1767" s="29"/>
      <c r="M1767" s="29"/>
      <c r="N1767" s="29"/>
      <c r="P1767" s="4">
        <f t="shared" si="112"/>
        <v>2.9082837743868262E-3</v>
      </c>
      <c r="Q1767" s="4">
        <f t="shared" si="112"/>
        <v>3.1716521192766802E-3</v>
      </c>
      <c r="R1767" s="4">
        <f t="shared" si="112"/>
        <v>-3.3654085351348412E-3</v>
      </c>
      <c r="S1767" s="4">
        <f t="shared" si="112"/>
        <v>5.1684025903032151E-3</v>
      </c>
      <c r="T1767" s="4">
        <f t="shared" si="112"/>
        <v>2.5371365854662967E-3</v>
      </c>
      <c r="U1767" s="35"/>
      <c r="V1767" s="35"/>
      <c r="W1767" s="35"/>
      <c r="X1767" s="35"/>
    </row>
    <row r="1768" spans="4:24" x14ac:dyDescent="0.3">
      <c r="D1768" s="23">
        <v>42146</v>
      </c>
      <c r="E1768" s="5">
        <v>181.48493999999999</v>
      </c>
      <c r="F1768" s="28">
        <v>64.404709999999994</v>
      </c>
      <c r="G1768" s="28">
        <v>115.6</v>
      </c>
      <c r="H1768" s="28">
        <v>102.9417</v>
      </c>
      <c r="I1768" s="28">
        <v>94.2119</v>
      </c>
      <c r="J1768" s="29"/>
      <c r="K1768" s="29"/>
      <c r="L1768" s="29"/>
      <c r="M1768" s="29"/>
      <c r="N1768" s="29"/>
      <c r="P1768" s="4">
        <f t="shared" si="112"/>
        <v>-2.3917439053372613E-3</v>
      </c>
      <c r="Q1768" s="4">
        <f t="shared" si="112"/>
        <v>-6.0908667910291822E-4</v>
      </c>
      <c r="R1768" s="4">
        <f t="shared" si="112"/>
        <v>-7.7824380252041966E-4</v>
      </c>
      <c r="S1768" s="4">
        <f t="shared" si="112"/>
        <v>-9.9521383220994982E-4</v>
      </c>
      <c r="T1768" s="4">
        <f t="shared" si="112"/>
        <v>-1.9020894938215846E-3</v>
      </c>
      <c r="U1768" s="35"/>
      <c r="V1768" s="35"/>
      <c r="W1768" s="35"/>
      <c r="X1768" s="35"/>
    </row>
    <row r="1769" spans="4:24" x14ac:dyDescent="0.3">
      <c r="D1769" s="23">
        <v>42150</v>
      </c>
      <c r="E1769" s="5">
        <v>179.533691</v>
      </c>
      <c r="F1769" s="28">
        <v>64.561679999999996</v>
      </c>
      <c r="G1769" s="28">
        <v>113.91</v>
      </c>
      <c r="H1769" s="28">
        <v>101.7582</v>
      </c>
      <c r="I1769" s="28">
        <v>93.229619999999997</v>
      </c>
      <c r="J1769" s="29"/>
      <c r="K1769" s="29"/>
      <c r="L1769" s="29"/>
      <c r="M1769" s="29"/>
      <c r="N1769" s="29"/>
      <c r="P1769" s="4">
        <f t="shared" si="112"/>
        <v>-1.0809791146251378E-2</v>
      </c>
      <c r="Q1769" s="4">
        <f t="shared" si="112"/>
        <v>2.4342788460353167E-3</v>
      </c>
      <c r="R1769" s="4">
        <f t="shared" si="112"/>
        <v>-1.4727293326456422E-2</v>
      </c>
      <c r="S1769" s="4">
        <f t="shared" si="112"/>
        <v>-1.1563397806576873E-2</v>
      </c>
      <c r="T1769" s="4">
        <f t="shared" si="112"/>
        <v>-1.0481018208570007E-2</v>
      </c>
      <c r="U1769" s="35"/>
      <c r="V1769" s="35"/>
      <c r="W1769" s="35"/>
      <c r="X1769" s="35"/>
    </row>
    <row r="1770" spans="4:24" x14ac:dyDescent="0.3">
      <c r="D1770" s="23">
        <v>42151</v>
      </c>
      <c r="E1770" s="5">
        <v>181.237854</v>
      </c>
      <c r="F1770" s="28">
        <v>64.593100000000007</v>
      </c>
      <c r="G1770" s="28">
        <v>113.89</v>
      </c>
      <c r="H1770" s="28">
        <v>103.39830000000001</v>
      </c>
      <c r="I1770" s="28">
        <v>94.083789999999993</v>
      </c>
      <c r="J1770" s="29"/>
      <c r="K1770" s="29"/>
      <c r="L1770" s="29"/>
      <c r="M1770" s="29"/>
      <c r="N1770" s="29"/>
      <c r="P1770" s="4">
        <f t="shared" si="112"/>
        <v>9.4473951661492705E-3</v>
      </c>
      <c r="Q1770" s="4">
        <f t="shared" si="112"/>
        <v>4.8654801037705003E-4</v>
      </c>
      <c r="R1770" s="4">
        <f t="shared" si="112"/>
        <v>-1.7559262556088466E-4</v>
      </c>
      <c r="S1770" s="4">
        <f t="shared" si="112"/>
        <v>1.5989110177250965E-2</v>
      </c>
      <c r="T1770" s="4">
        <f t="shared" si="112"/>
        <v>9.120285843774124E-3</v>
      </c>
      <c r="U1770" s="35"/>
      <c r="V1770" s="35"/>
      <c r="W1770" s="35"/>
      <c r="X1770" s="35"/>
    </row>
    <row r="1771" spans="4:24" x14ac:dyDescent="0.3">
      <c r="D1771" s="23">
        <v>42152</v>
      </c>
      <c r="E1771" s="5">
        <v>181.03331</v>
      </c>
      <c r="F1771" s="28">
        <v>64.600920000000002</v>
      </c>
      <c r="G1771" s="28">
        <v>114.02</v>
      </c>
      <c r="H1771" s="28">
        <v>103.1653</v>
      </c>
      <c r="I1771" s="28">
        <v>93.998329999999996</v>
      </c>
      <c r="J1771" s="29"/>
      <c r="K1771" s="29"/>
      <c r="L1771" s="29"/>
      <c r="M1771" s="29"/>
      <c r="N1771" s="29"/>
      <c r="P1771" s="4">
        <f t="shared" si="112"/>
        <v>-1.1292315925845967E-3</v>
      </c>
      <c r="Q1771" s="4">
        <f t="shared" si="112"/>
        <v>1.2105823488658104E-4</v>
      </c>
      <c r="R1771" s="4">
        <f t="shared" si="112"/>
        <v>1.1408013171759698E-3</v>
      </c>
      <c r="S1771" s="4">
        <f t="shared" si="112"/>
        <v>-2.2559647374341503E-3</v>
      </c>
      <c r="T1771" s="4">
        <f t="shared" si="112"/>
        <v>-9.0875204810842087E-4</v>
      </c>
      <c r="U1771" s="35"/>
      <c r="V1771" s="35"/>
      <c r="W1771" s="35"/>
      <c r="X1771" s="35"/>
    </row>
    <row r="1772" spans="4:24" x14ac:dyDescent="0.3">
      <c r="D1772" s="23">
        <v>42153</v>
      </c>
      <c r="E1772" s="5">
        <v>179.908569</v>
      </c>
      <c r="F1772" s="28">
        <v>64.624430000000004</v>
      </c>
      <c r="G1772" s="28">
        <v>114.1</v>
      </c>
      <c r="H1772" s="28">
        <v>102.55029999999999</v>
      </c>
      <c r="I1772" s="28">
        <v>93.366299999999995</v>
      </c>
      <c r="J1772" s="29"/>
      <c r="K1772" s="29"/>
      <c r="L1772" s="29"/>
      <c r="M1772" s="29"/>
      <c r="N1772" s="29"/>
      <c r="P1772" s="4">
        <f t="shared" si="112"/>
        <v>-6.2322756430678626E-3</v>
      </c>
      <c r="Q1772" s="4">
        <f t="shared" si="112"/>
        <v>3.6386050042638759E-4</v>
      </c>
      <c r="R1772" s="4">
        <f t="shared" si="112"/>
        <v>7.0138526459418045E-4</v>
      </c>
      <c r="S1772" s="4">
        <f t="shared" si="112"/>
        <v>-5.9791462795836864E-3</v>
      </c>
      <c r="T1772" s="4">
        <f t="shared" si="112"/>
        <v>-6.7465497333670764E-3</v>
      </c>
      <c r="U1772" s="35"/>
      <c r="V1772" s="35"/>
      <c r="W1772" s="35"/>
      <c r="X1772" s="35"/>
    </row>
    <row r="1773" spans="4:24" x14ac:dyDescent="0.3">
      <c r="D1773" s="23">
        <v>42156</v>
      </c>
      <c r="E1773" s="5">
        <v>180.274979</v>
      </c>
      <c r="F1773" s="28">
        <v>64.408969999999997</v>
      </c>
      <c r="G1773" s="28">
        <v>114</v>
      </c>
      <c r="H1773" s="28">
        <v>102.8951</v>
      </c>
      <c r="I1773" s="28">
        <v>93.596940000000004</v>
      </c>
      <c r="J1773" s="29"/>
      <c r="K1773" s="29"/>
      <c r="L1773" s="29"/>
      <c r="M1773" s="29"/>
      <c r="N1773" s="29"/>
      <c r="P1773" s="4">
        <f t="shared" si="112"/>
        <v>2.0345744742121287E-3</v>
      </c>
      <c r="Q1773" s="4">
        <f t="shared" si="112"/>
        <v>-3.3396035484024927E-3</v>
      </c>
      <c r="R1773" s="4">
        <f t="shared" si="112"/>
        <v>-8.7680847353442573E-4</v>
      </c>
      <c r="S1773" s="4">
        <f t="shared" si="112"/>
        <v>3.3566127422086393E-3</v>
      </c>
      <c r="T1773" s="4">
        <f t="shared" si="112"/>
        <v>2.467224220075526E-3</v>
      </c>
      <c r="U1773" s="35"/>
      <c r="V1773" s="35"/>
      <c r="W1773" s="35"/>
      <c r="X1773" s="35"/>
    </row>
    <row r="1774" spans="4:24" x14ac:dyDescent="0.3">
      <c r="D1774" s="23">
        <v>42157</v>
      </c>
      <c r="E1774" s="5">
        <v>180.09605400000001</v>
      </c>
      <c r="F1774" s="28">
        <v>64.228089999999995</v>
      </c>
      <c r="G1774" s="28">
        <v>114.46</v>
      </c>
      <c r="H1774" s="28">
        <v>102.5689</v>
      </c>
      <c r="I1774" s="28">
        <v>93.528589999999994</v>
      </c>
      <c r="J1774" s="29"/>
      <c r="K1774" s="29"/>
      <c r="L1774" s="29"/>
      <c r="M1774" s="29"/>
      <c r="N1774" s="29"/>
      <c r="P1774" s="4">
        <f t="shared" si="112"/>
        <v>-9.9300442220909952E-4</v>
      </c>
      <c r="Q1774" s="4">
        <f t="shared" si="112"/>
        <v>-2.8122551807643653E-3</v>
      </c>
      <c r="R1774" s="4">
        <f t="shared" si="112"/>
        <v>4.0269685864607876E-3</v>
      </c>
      <c r="S1774" s="4">
        <f t="shared" si="112"/>
        <v>-3.1752547800969586E-3</v>
      </c>
      <c r="T1774" s="4">
        <f t="shared" si="112"/>
        <v>-7.3052568550841435E-4</v>
      </c>
      <c r="U1774" s="35"/>
      <c r="V1774" s="35"/>
      <c r="W1774" s="35"/>
      <c r="X1774" s="35"/>
    </row>
    <row r="1775" spans="4:24" x14ac:dyDescent="0.3">
      <c r="D1775" s="23">
        <v>42158</v>
      </c>
      <c r="E1775" s="5">
        <v>180.57321200000001</v>
      </c>
      <c r="F1775" s="28">
        <v>63.944969999999998</v>
      </c>
      <c r="G1775" s="28">
        <v>113.64</v>
      </c>
      <c r="H1775" s="28">
        <v>102.87649999999999</v>
      </c>
      <c r="I1775" s="28">
        <v>93.853139999999996</v>
      </c>
      <c r="J1775" s="29"/>
      <c r="K1775" s="29"/>
      <c r="L1775" s="29"/>
      <c r="M1775" s="29"/>
      <c r="N1775" s="29"/>
      <c r="P1775" s="4">
        <f t="shared" si="112"/>
        <v>2.6459602930853149E-3</v>
      </c>
      <c r="Q1775" s="4">
        <f t="shared" si="112"/>
        <v>-4.4177842124799582E-3</v>
      </c>
      <c r="R1775" s="4">
        <f t="shared" si="112"/>
        <v>-7.1898599949689838E-3</v>
      </c>
      <c r="S1775" s="4">
        <f t="shared" si="112"/>
        <v>2.9944718144139858E-3</v>
      </c>
      <c r="T1775" s="4">
        <f t="shared" si="112"/>
        <v>3.464055162061234E-3</v>
      </c>
      <c r="U1775" s="35"/>
      <c r="V1775" s="35"/>
      <c r="W1775" s="35"/>
      <c r="X1775" s="35"/>
    </row>
    <row r="1776" spans="4:24" x14ac:dyDescent="0.3">
      <c r="D1776" s="23">
        <v>42159</v>
      </c>
      <c r="E1776" s="5">
        <v>179.04804999999999</v>
      </c>
      <c r="F1776" s="28">
        <v>64.102239999999995</v>
      </c>
      <c r="G1776" s="28">
        <v>112.84</v>
      </c>
      <c r="H1776" s="28">
        <v>102.0937</v>
      </c>
      <c r="I1776" s="28">
        <v>93.101510000000005</v>
      </c>
      <c r="J1776" s="29"/>
      <c r="K1776" s="29"/>
      <c r="L1776" s="29"/>
      <c r="M1776" s="29"/>
      <c r="N1776" s="29"/>
      <c r="P1776" s="4">
        <f t="shared" si="112"/>
        <v>-8.4820966124807516E-3</v>
      </c>
      <c r="Q1776" s="4">
        <f t="shared" si="112"/>
        <v>2.4564389818691711E-3</v>
      </c>
      <c r="R1776" s="4">
        <f t="shared" si="112"/>
        <v>-7.0646708521916552E-3</v>
      </c>
      <c r="S1776" s="4">
        <f t="shared" si="112"/>
        <v>-7.6382206375996617E-3</v>
      </c>
      <c r="T1776" s="4">
        <f t="shared" si="112"/>
        <v>-8.0408168472821829E-3</v>
      </c>
      <c r="U1776" s="35"/>
      <c r="V1776" s="35"/>
      <c r="W1776" s="35"/>
      <c r="X1776" s="35"/>
    </row>
    <row r="1777" spans="4:24" x14ac:dyDescent="0.3">
      <c r="D1777" s="23">
        <v>42160</v>
      </c>
      <c r="E1777" s="5">
        <v>178.741287</v>
      </c>
      <c r="F1777" s="28">
        <v>63.850580000000001</v>
      </c>
      <c r="G1777" s="28">
        <v>112.24</v>
      </c>
      <c r="H1777" s="28">
        <v>101.8514</v>
      </c>
      <c r="I1777" s="28">
        <v>93.024640000000005</v>
      </c>
      <c r="J1777" s="29"/>
      <c r="K1777" s="29"/>
      <c r="L1777" s="29"/>
      <c r="M1777" s="29"/>
      <c r="N1777" s="29"/>
      <c r="P1777" s="4">
        <f t="shared" si="112"/>
        <v>-1.7147692423712404E-3</v>
      </c>
      <c r="Q1777" s="4">
        <f t="shared" si="112"/>
        <v>-3.9336424864399658E-3</v>
      </c>
      <c r="R1777" s="4">
        <f t="shared" si="112"/>
        <v>-5.3314503395901526E-3</v>
      </c>
      <c r="S1777" s="4">
        <f t="shared" si="112"/>
        <v>-2.3761307724685355E-3</v>
      </c>
      <c r="T1777" s="4">
        <f t="shared" si="112"/>
        <v>-8.2599897296041903E-4</v>
      </c>
      <c r="U1777" s="35"/>
      <c r="V1777" s="35"/>
      <c r="W1777" s="35"/>
      <c r="X1777" s="35"/>
    </row>
    <row r="1778" spans="4:24" x14ac:dyDescent="0.3">
      <c r="D1778" s="23">
        <v>42163</v>
      </c>
      <c r="E1778" s="5">
        <v>177.642044</v>
      </c>
      <c r="F1778" s="28">
        <v>63.929229999999997</v>
      </c>
      <c r="G1778" s="28">
        <v>112.57</v>
      </c>
      <c r="H1778" s="28">
        <v>100.81699999999999</v>
      </c>
      <c r="I1778" s="28">
        <v>92.452340000000007</v>
      </c>
      <c r="J1778" s="29"/>
      <c r="K1778" s="29"/>
      <c r="L1778" s="29"/>
      <c r="M1778" s="29"/>
      <c r="N1778" s="29"/>
      <c r="P1778" s="4">
        <f t="shared" si="112"/>
        <v>-6.1688995549660959E-3</v>
      </c>
      <c r="Q1778" s="4">
        <f t="shared" si="112"/>
        <v>1.2310240550883868E-3</v>
      </c>
      <c r="R1778" s="4">
        <f t="shared" si="112"/>
        <v>2.9358145725070081E-3</v>
      </c>
      <c r="S1778" s="4">
        <f t="shared" si="112"/>
        <v>-1.0207896071838198E-2</v>
      </c>
      <c r="T1778" s="4">
        <f t="shared" si="112"/>
        <v>-6.1711358060352302E-3</v>
      </c>
      <c r="U1778" s="35"/>
      <c r="V1778" s="35"/>
      <c r="W1778" s="35"/>
      <c r="X1778" s="35"/>
    </row>
    <row r="1779" spans="4:24" x14ac:dyDescent="0.3">
      <c r="D1779" s="23">
        <v>42164</v>
      </c>
      <c r="E1779" s="5">
        <v>177.616547</v>
      </c>
      <c r="F1779" s="28">
        <v>63.740519999999997</v>
      </c>
      <c r="G1779" s="28">
        <v>112.82</v>
      </c>
      <c r="H1779" s="28">
        <v>100.6493</v>
      </c>
      <c r="I1779" s="28">
        <v>92.375470000000007</v>
      </c>
      <c r="J1779" s="29"/>
      <c r="K1779" s="29"/>
      <c r="L1779" s="29"/>
      <c r="M1779" s="29"/>
      <c r="N1779" s="29"/>
      <c r="P1779" s="4">
        <f t="shared" si="112"/>
        <v>-1.4354051212111521E-4</v>
      </c>
      <c r="Q1779" s="4">
        <f t="shared" si="112"/>
        <v>-2.9562231841459333E-3</v>
      </c>
      <c r="R1779" s="4">
        <f t="shared" si="112"/>
        <v>2.2183779451173747E-3</v>
      </c>
      <c r="S1779" s="4">
        <f t="shared" si="112"/>
        <v>-1.6647949431968932E-3</v>
      </c>
      <c r="T1779" s="4">
        <f t="shared" si="112"/>
        <v>-8.3180127960348139E-4</v>
      </c>
      <c r="U1779" s="35"/>
      <c r="V1779" s="35"/>
      <c r="W1779" s="35"/>
      <c r="X1779" s="35"/>
    </row>
    <row r="1780" spans="4:24" x14ac:dyDescent="0.3">
      <c r="D1780" s="23">
        <v>42165</v>
      </c>
      <c r="E1780" s="5">
        <v>179.746689</v>
      </c>
      <c r="F1780" s="28">
        <v>63.606830000000002</v>
      </c>
      <c r="G1780" s="28">
        <v>113.78</v>
      </c>
      <c r="H1780" s="28">
        <v>102.02849999999999</v>
      </c>
      <c r="I1780" s="28">
        <v>93.502949999999998</v>
      </c>
      <c r="J1780" s="29"/>
      <c r="K1780" s="29"/>
      <c r="L1780" s="29"/>
      <c r="M1780" s="29"/>
      <c r="N1780" s="29"/>
      <c r="P1780" s="4">
        <f t="shared" si="112"/>
        <v>1.1921580140633173E-2</v>
      </c>
      <c r="Q1780" s="4">
        <f t="shared" si="112"/>
        <v>-2.0996125810696263E-3</v>
      </c>
      <c r="R1780" s="4">
        <f t="shared" si="112"/>
        <v>8.4731310106714464E-3</v>
      </c>
      <c r="S1780" s="4">
        <f t="shared" si="112"/>
        <v>1.3609988753003803E-2</v>
      </c>
      <c r="T1780" s="4">
        <f t="shared" si="112"/>
        <v>1.2131519386943613E-2</v>
      </c>
      <c r="U1780" s="35"/>
      <c r="V1780" s="35"/>
      <c r="W1780" s="35"/>
      <c r="X1780" s="35"/>
    </row>
    <row r="1781" spans="4:24" x14ac:dyDescent="0.3">
      <c r="D1781" s="23">
        <v>42166</v>
      </c>
      <c r="E1781" s="5">
        <v>180.326111</v>
      </c>
      <c r="F1781" s="28">
        <v>63.905630000000002</v>
      </c>
      <c r="G1781" s="28">
        <v>113.26</v>
      </c>
      <c r="H1781" s="28">
        <v>102.17749999999999</v>
      </c>
      <c r="I1781" s="28">
        <v>93.767750000000007</v>
      </c>
      <c r="J1781" s="29"/>
      <c r="K1781" s="29"/>
      <c r="L1781" s="29"/>
      <c r="M1781" s="29"/>
      <c r="N1781" s="29"/>
      <c r="P1781" s="4">
        <f t="shared" ref="P1781:T1796" si="113">LN(E1781/E1780)</f>
        <v>3.2183630650853947E-3</v>
      </c>
      <c r="Q1781" s="4">
        <f t="shared" si="113"/>
        <v>4.6866094013252434E-3</v>
      </c>
      <c r="R1781" s="4">
        <f t="shared" si="113"/>
        <v>-4.5806986368423066E-3</v>
      </c>
      <c r="S1781" s="4">
        <f t="shared" si="113"/>
        <v>1.4593109550393997E-3</v>
      </c>
      <c r="T1781" s="4">
        <f t="shared" si="113"/>
        <v>2.8279936634958772E-3</v>
      </c>
      <c r="U1781" s="35"/>
      <c r="V1781" s="35"/>
      <c r="W1781" s="35"/>
      <c r="X1781" s="35"/>
    </row>
    <row r="1782" spans="4:24" x14ac:dyDescent="0.3">
      <c r="D1782" s="23">
        <v>42167</v>
      </c>
      <c r="E1782" s="5">
        <v>178.94575499999999</v>
      </c>
      <c r="F1782" s="28">
        <v>63.858510000000003</v>
      </c>
      <c r="G1782" s="28">
        <v>113.23</v>
      </c>
      <c r="H1782" s="28">
        <v>101.3389</v>
      </c>
      <c r="I1782" s="28">
        <v>93.152760000000001</v>
      </c>
      <c r="J1782" s="29"/>
      <c r="K1782" s="29"/>
      <c r="L1782" s="29"/>
      <c r="M1782" s="29"/>
      <c r="N1782" s="29"/>
      <c r="P1782" s="4">
        <f t="shared" si="113"/>
        <v>-7.6842242480786105E-3</v>
      </c>
      <c r="Q1782" s="4">
        <f t="shared" si="113"/>
        <v>-7.3760919357141754E-4</v>
      </c>
      <c r="R1782" s="4">
        <f t="shared" si="113"/>
        <v>-2.6491235971081421E-4</v>
      </c>
      <c r="S1782" s="4">
        <f t="shared" si="113"/>
        <v>-8.2411515360091663E-3</v>
      </c>
      <c r="T1782" s="4">
        <f t="shared" si="113"/>
        <v>-6.5802540242817795E-3</v>
      </c>
      <c r="U1782" s="35"/>
      <c r="V1782" s="35"/>
      <c r="W1782" s="35"/>
      <c r="X1782" s="35"/>
    </row>
    <row r="1783" spans="4:24" x14ac:dyDescent="0.3">
      <c r="D1783" s="23">
        <v>42170</v>
      </c>
      <c r="E1783" s="5">
        <v>178.17887899999999</v>
      </c>
      <c r="F1783" s="28">
        <v>63.866309999999999</v>
      </c>
      <c r="G1783" s="28">
        <v>113.73</v>
      </c>
      <c r="H1783" s="28">
        <v>100.8357</v>
      </c>
      <c r="I1783" s="28">
        <v>92.725679999999997</v>
      </c>
      <c r="J1783" s="29"/>
      <c r="K1783" s="29"/>
      <c r="L1783" s="29"/>
      <c r="M1783" s="29"/>
      <c r="N1783" s="29"/>
      <c r="P1783" s="4">
        <f t="shared" si="113"/>
        <v>-4.2947313387173974E-3</v>
      </c>
      <c r="Q1783" s="4">
        <f t="shared" si="113"/>
        <v>1.2213757685768526E-4</v>
      </c>
      <c r="R1783" s="4">
        <f t="shared" si="113"/>
        <v>4.4060698704050999E-3</v>
      </c>
      <c r="S1783" s="4">
        <f t="shared" si="113"/>
        <v>-4.9778858380845172E-3</v>
      </c>
      <c r="T1783" s="4">
        <f t="shared" si="113"/>
        <v>-4.5952693764375694E-3</v>
      </c>
      <c r="U1783" s="35"/>
      <c r="V1783" s="35"/>
      <c r="W1783" s="35"/>
      <c r="X1783" s="35"/>
    </row>
    <row r="1784" spans="4:24" x14ac:dyDescent="0.3">
      <c r="D1784" s="23">
        <v>42171</v>
      </c>
      <c r="E1784" s="5">
        <v>179.150238</v>
      </c>
      <c r="F1784" s="28">
        <v>64.031440000000003</v>
      </c>
      <c r="G1784" s="28">
        <v>113.32</v>
      </c>
      <c r="H1784" s="28">
        <v>101.38549999999999</v>
      </c>
      <c r="I1784" s="28">
        <v>93.238169999999997</v>
      </c>
      <c r="J1784" s="29"/>
      <c r="K1784" s="29"/>
      <c r="L1784" s="29"/>
      <c r="M1784" s="29"/>
      <c r="N1784" s="29"/>
      <c r="P1784" s="4">
        <f t="shared" si="113"/>
        <v>5.4367883637760715E-3</v>
      </c>
      <c r="Q1784" s="4">
        <f t="shared" si="113"/>
        <v>2.5822204339848039E-3</v>
      </c>
      <c r="R1784" s="4">
        <f t="shared" si="113"/>
        <v>-3.6115432340374839E-3</v>
      </c>
      <c r="S1784" s="4">
        <f t="shared" si="113"/>
        <v>5.437623302551221E-3</v>
      </c>
      <c r="T1784" s="4">
        <f t="shared" si="113"/>
        <v>5.5117303434812793E-3</v>
      </c>
      <c r="U1784" s="35"/>
      <c r="V1784" s="35"/>
      <c r="W1784" s="35"/>
      <c r="X1784" s="35"/>
    </row>
    <row r="1785" spans="4:24" x14ac:dyDescent="0.3">
      <c r="D1785" s="23">
        <v>42172</v>
      </c>
      <c r="E1785" s="5">
        <v>179.43997200000001</v>
      </c>
      <c r="F1785" s="28">
        <v>64.055070000000001</v>
      </c>
      <c r="G1785" s="28">
        <v>113.85</v>
      </c>
      <c r="H1785" s="28">
        <v>101.66500000000001</v>
      </c>
      <c r="I1785" s="28">
        <v>93.391900000000007</v>
      </c>
      <c r="J1785" s="29"/>
      <c r="K1785" s="29"/>
      <c r="L1785" s="29"/>
      <c r="M1785" s="29"/>
      <c r="N1785" s="29"/>
      <c r="P1785" s="4">
        <f t="shared" si="113"/>
        <v>1.6159619251697821E-3</v>
      </c>
      <c r="Q1785" s="4">
        <f t="shared" si="113"/>
        <v>3.6896938277225315E-4</v>
      </c>
      <c r="R1785" s="4">
        <f t="shared" si="113"/>
        <v>4.6661175474327233E-3</v>
      </c>
      <c r="S1785" s="4">
        <f t="shared" si="113"/>
        <v>2.7530114580285692E-3</v>
      </c>
      <c r="T1785" s="4">
        <f t="shared" si="113"/>
        <v>1.6474305000149681E-3</v>
      </c>
      <c r="U1785" s="35"/>
      <c r="V1785" s="35"/>
      <c r="W1785" s="35"/>
      <c r="X1785" s="35"/>
    </row>
    <row r="1786" spans="4:24" x14ac:dyDescent="0.3">
      <c r="D1786" s="23">
        <v>42173</v>
      </c>
      <c r="E1786" s="5">
        <v>181.30600000000001</v>
      </c>
      <c r="F1786" s="28">
        <v>64.00788</v>
      </c>
      <c r="G1786" s="28">
        <v>115.32</v>
      </c>
      <c r="H1786" s="28">
        <v>103.1467</v>
      </c>
      <c r="I1786" s="28">
        <v>94.31438</v>
      </c>
      <c r="J1786" s="29"/>
      <c r="K1786" s="29"/>
      <c r="L1786" s="29"/>
      <c r="M1786" s="29"/>
      <c r="N1786" s="29"/>
      <c r="P1786" s="4">
        <f t="shared" si="113"/>
        <v>1.034547736108481E-2</v>
      </c>
      <c r="Q1786" s="4">
        <f t="shared" si="113"/>
        <v>-7.3698133825438126E-4</v>
      </c>
      <c r="R1786" s="4">
        <f t="shared" si="113"/>
        <v>1.2829080260452883E-2</v>
      </c>
      <c r="S1786" s="4">
        <f t="shared" si="113"/>
        <v>1.4469152398888603E-2</v>
      </c>
      <c r="T1786" s="4">
        <f t="shared" si="113"/>
        <v>9.8290523550041923E-3</v>
      </c>
      <c r="U1786" s="35"/>
      <c r="V1786" s="35"/>
      <c r="W1786" s="35"/>
      <c r="X1786" s="35"/>
    </row>
    <row r="1787" spans="4:24" x14ac:dyDescent="0.3">
      <c r="D1787" s="23">
        <v>42174</v>
      </c>
      <c r="E1787" s="5">
        <v>180.50117499999999</v>
      </c>
      <c r="F1787" s="28">
        <v>64.188810000000004</v>
      </c>
      <c r="G1787" s="28">
        <v>115.12</v>
      </c>
      <c r="H1787" s="28">
        <v>102.6367</v>
      </c>
      <c r="I1787" s="28">
        <v>93.904399999999995</v>
      </c>
      <c r="J1787" s="29"/>
      <c r="K1787" s="29"/>
      <c r="L1787" s="29"/>
      <c r="M1787" s="29"/>
      <c r="N1787" s="29"/>
      <c r="P1787" s="4">
        <f t="shared" si="113"/>
        <v>-4.448924084970678E-3</v>
      </c>
      <c r="Q1787" s="4">
        <f t="shared" si="113"/>
        <v>2.8226956582364602E-3</v>
      </c>
      <c r="R1787" s="4">
        <f t="shared" si="113"/>
        <v>-1.7358101910889478E-3</v>
      </c>
      <c r="S1787" s="4">
        <f t="shared" si="113"/>
        <v>-4.9566781787797939E-3</v>
      </c>
      <c r="T1787" s="4">
        <f t="shared" si="113"/>
        <v>-4.3564265839852335E-3</v>
      </c>
      <c r="U1787" s="35"/>
      <c r="V1787" s="35"/>
      <c r="W1787" s="35"/>
      <c r="X1787" s="35"/>
    </row>
    <row r="1788" spans="4:24" x14ac:dyDescent="0.3">
      <c r="D1788" s="23">
        <v>42177</v>
      </c>
      <c r="E1788" s="5">
        <v>181.425873</v>
      </c>
      <c r="F1788" s="28">
        <v>63.88203</v>
      </c>
      <c r="G1788" s="28">
        <v>113.64</v>
      </c>
      <c r="H1788" s="28">
        <v>103.3933</v>
      </c>
      <c r="I1788" s="28">
        <v>94.476699999999994</v>
      </c>
      <c r="J1788" s="29"/>
      <c r="K1788" s="29"/>
      <c r="L1788" s="29"/>
      <c r="M1788" s="29"/>
      <c r="N1788" s="29"/>
      <c r="P1788" s="4">
        <f t="shared" si="113"/>
        <v>5.1098696113312204E-3</v>
      </c>
      <c r="Q1788" s="4">
        <f t="shared" si="113"/>
        <v>-4.7907952623794962E-3</v>
      </c>
      <c r="R1788" s="4">
        <f t="shared" si="113"/>
        <v>-1.2939505593125265E-2</v>
      </c>
      <c r="S1788" s="4">
        <f t="shared" si="113"/>
        <v>7.3445944872823658E-3</v>
      </c>
      <c r="T1788" s="4">
        <f t="shared" si="113"/>
        <v>6.0759997756574076E-3</v>
      </c>
      <c r="U1788" s="35"/>
      <c r="V1788" s="35"/>
      <c r="W1788" s="35"/>
      <c r="X1788" s="35"/>
    </row>
    <row r="1789" spans="4:24" x14ac:dyDescent="0.3">
      <c r="D1789" s="23">
        <v>42178</v>
      </c>
      <c r="E1789" s="5">
        <v>181.554306</v>
      </c>
      <c r="F1789" s="28">
        <v>63.732619999999997</v>
      </c>
      <c r="G1789" s="28">
        <v>112.89</v>
      </c>
      <c r="H1789" s="28">
        <v>103.4773</v>
      </c>
      <c r="I1789" s="28">
        <v>94.570650000000001</v>
      </c>
      <c r="J1789" s="29"/>
      <c r="K1789" s="29"/>
      <c r="L1789" s="29"/>
      <c r="M1789" s="29"/>
      <c r="N1789" s="29"/>
      <c r="P1789" s="4">
        <f t="shared" si="113"/>
        <v>7.0765850473473817E-4</v>
      </c>
      <c r="Q1789" s="4">
        <f t="shared" si="113"/>
        <v>-2.3415817583323055E-3</v>
      </c>
      <c r="R1789" s="4">
        <f t="shared" si="113"/>
        <v>-6.6216637125315787E-3</v>
      </c>
      <c r="S1789" s="4">
        <f t="shared" si="113"/>
        <v>8.1210190927621755E-4</v>
      </c>
      <c r="T1789" s="4">
        <f t="shared" si="113"/>
        <v>9.9393096739447688E-4</v>
      </c>
      <c r="U1789" s="35"/>
      <c r="V1789" s="35"/>
      <c r="W1789" s="35"/>
      <c r="X1789" s="35"/>
    </row>
    <row r="1790" spans="4:24" x14ac:dyDescent="0.3">
      <c r="D1790" s="23">
        <v>42179</v>
      </c>
      <c r="E1790" s="5">
        <v>180.235748</v>
      </c>
      <c r="F1790" s="28">
        <v>63.850580000000001</v>
      </c>
      <c r="G1790" s="28">
        <v>112.59</v>
      </c>
      <c r="H1790" s="28">
        <v>102.9449</v>
      </c>
      <c r="I1790" s="28">
        <v>93.853139999999996</v>
      </c>
      <c r="J1790" s="29"/>
      <c r="K1790" s="29"/>
      <c r="L1790" s="29"/>
      <c r="M1790" s="29"/>
      <c r="N1790" s="29"/>
      <c r="P1790" s="4">
        <f t="shared" si="113"/>
        <v>-7.2891104852469187E-3</v>
      </c>
      <c r="Q1790" s="4">
        <f t="shared" si="113"/>
        <v>1.8491468094881925E-3</v>
      </c>
      <c r="R1790" s="4">
        <f t="shared" si="113"/>
        <v>-2.6609914584163827E-3</v>
      </c>
      <c r="S1790" s="4">
        <f t="shared" si="113"/>
        <v>-5.158371343227712E-3</v>
      </c>
      <c r="T1790" s="4">
        <f t="shared" si="113"/>
        <v>-7.6159541014061312E-3</v>
      </c>
      <c r="U1790" s="35"/>
      <c r="V1790" s="35"/>
      <c r="W1790" s="35"/>
      <c r="X1790" s="35"/>
    </row>
    <row r="1791" spans="4:24" x14ac:dyDescent="0.3">
      <c r="D1791" s="23">
        <v>42180</v>
      </c>
      <c r="E1791" s="5">
        <v>179.68779000000001</v>
      </c>
      <c r="F1791" s="28">
        <v>63.764090000000003</v>
      </c>
      <c r="G1791" s="28">
        <v>112.44</v>
      </c>
      <c r="H1791" s="28">
        <v>102.73950000000001</v>
      </c>
      <c r="I1791" s="28">
        <v>93.562749999999994</v>
      </c>
      <c r="J1791" s="29"/>
      <c r="K1791" s="29"/>
      <c r="L1791" s="29"/>
      <c r="M1791" s="29"/>
      <c r="N1791" s="29"/>
      <c r="P1791" s="4">
        <f t="shared" si="113"/>
        <v>-3.0448601744466615E-3</v>
      </c>
      <c r="Q1791" s="4">
        <f t="shared" si="113"/>
        <v>-1.3554870022805948E-3</v>
      </c>
      <c r="R1791" s="4">
        <f t="shared" si="113"/>
        <v>-1.3331557767080658E-3</v>
      </c>
      <c r="S1791" s="4">
        <f t="shared" si="113"/>
        <v>-1.9972352621540289E-3</v>
      </c>
      <c r="T1791" s="4">
        <f t="shared" si="113"/>
        <v>-3.0988859310364962E-3</v>
      </c>
      <c r="U1791" s="35"/>
      <c r="V1791" s="35"/>
      <c r="W1791" s="35"/>
      <c r="X1791" s="35"/>
    </row>
    <row r="1792" spans="4:24" x14ac:dyDescent="0.3">
      <c r="D1792" s="23">
        <v>42181</v>
      </c>
      <c r="E1792" s="5">
        <v>179.653503</v>
      </c>
      <c r="F1792" s="28">
        <v>63.646129999999999</v>
      </c>
      <c r="G1792" s="28">
        <v>112.56</v>
      </c>
      <c r="H1792" s="28">
        <v>102.05759999999999</v>
      </c>
      <c r="I1792" s="28">
        <v>93.509550000000004</v>
      </c>
      <c r="J1792" s="29"/>
      <c r="K1792" s="29"/>
      <c r="L1792" s="29"/>
      <c r="M1792" s="29"/>
      <c r="N1792" s="29"/>
      <c r="P1792" s="4">
        <f t="shared" si="113"/>
        <v>-1.9083250810284397E-4</v>
      </c>
      <c r="Q1792" s="4">
        <f t="shared" si="113"/>
        <v>-1.8516573270728502E-3</v>
      </c>
      <c r="R1792" s="4">
        <f t="shared" si="113"/>
        <v>1.0666667678024464E-3</v>
      </c>
      <c r="S1792" s="4">
        <f t="shared" si="113"/>
        <v>-6.6592985933321136E-3</v>
      </c>
      <c r="T1792" s="4">
        <f t="shared" si="113"/>
        <v>-5.6876407072708535E-4</v>
      </c>
      <c r="U1792" s="35"/>
      <c r="V1792" s="35"/>
      <c r="W1792" s="35"/>
      <c r="X1792" s="35"/>
    </row>
    <row r="1793" spans="4:24" x14ac:dyDescent="0.3">
      <c r="D1793" s="23">
        <v>42184</v>
      </c>
      <c r="E1793" s="5">
        <v>175.88609299999999</v>
      </c>
      <c r="F1793" s="28">
        <v>63.968580000000003</v>
      </c>
      <c r="G1793" s="28">
        <v>113.07</v>
      </c>
      <c r="H1793" s="28">
        <v>99.647919999999999</v>
      </c>
      <c r="I1793" s="28">
        <v>91.553759999999997</v>
      </c>
      <c r="J1793" s="29"/>
      <c r="K1793" s="29"/>
      <c r="L1793" s="29"/>
      <c r="M1793" s="29"/>
      <c r="N1793" s="29"/>
      <c r="P1793" s="4">
        <f t="shared" si="113"/>
        <v>-2.1193425744384254E-2</v>
      </c>
      <c r="Q1793" s="4">
        <f t="shared" si="113"/>
        <v>5.0535034123303747E-3</v>
      </c>
      <c r="R1793" s="4">
        <f t="shared" si="113"/>
        <v>4.5206831410201541E-3</v>
      </c>
      <c r="S1793" s="4">
        <f t="shared" si="113"/>
        <v>-2.3894186394995104E-2</v>
      </c>
      <c r="T1793" s="4">
        <f t="shared" si="113"/>
        <v>-2.1137229385782306E-2</v>
      </c>
      <c r="U1793" s="35"/>
      <c r="V1793" s="35"/>
      <c r="W1793" s="35"/>
      <c r="X1793" s="35"/>
    </row>
    <row r="1794" spans="4:24" x14ac:dyDescent="0.3">
      <c r="D1794" s="23">
        <v>42185</v>
      </c>
      <c r="E1794" s="5">
        <v>176.25430299999999</v>
      </c>
      <c r="F1794" s="28">
        <v>63.905630000000002</v>
      </c>
      <c r="G1794" s="28">
        <v>112.37</v>
      </c>
      <c r="H1794" s="28">
        <v>100.00279999999999</v>
      </c>
      <c r="I1794" s="28">
        <v>91.802509999999998</v>
      </c>
      <c r="J1794" s="29"/>
      <c r="K1794" s="29"/>
      <c r="L1794" s="29"/>
      <c r="M1794" s="29"/>
      <c r="N1794" s="29"/>
      <c r="P1794" s="4">
        <f t="shared" si="113"/>
        <v>2.0912689278300943E-3</v>
      </c>
      <c r="Q1794" s="4">
        <f t="shared" si="113"/>
        <v>-9.8456139177880374E-4</v>
      </c>
      <c r="R1794" s="4">
        <f t="shared" si="113"/>
        <v>-6.2100980273426306E-3</v>
      </c>
      <c r="S1794" s="4">
        <f t="shared" si="113"/>
        <v>3.5550122108350558E-3</v>
      </c>
      <c r="T1794" s="4">
        <f t="shared" si="113"/>
        <v>2.7132985701322225E-3</v>
      </c>
      <c r="U1794" s="35"/>
      <c r="V1794" s="35"/>
      <c r="W1794" s="35"/>
      <c r="X1794" s="35"/>
    </row>
    <row r="1795" spans="4:24" x14ac:dyDescent="0.3">
      <c r="D1795" s="23">
        <v>42186</v>
      </c>
      <c r="E1795" s="5">
        <v>177.66705300000001</v>
      </c>
      <c r="F1795" s="28">
        <v>63.750399999999999</v>
      </c>
      <c r="G1795" s="28">
        <v>111.98</v>
      </c>
      <c r="H1795" s="28">
        <v>100.7967</v>
      </c>
      <c r="I1795" s="28">
        <v>92.402990000000003</v>
      </c>
      <c r="J1795" s="29"/>
      <c r="K1795" s="29"/>
      <c r="L1795" s="29"/>
      <c r="M1795" s="29"/>
      <c r="N1795" s="29"/>
      <c r="P1795" s="4">
        <f t="shared" si="113"/>
        <v>7.9834544006693771E-3</v>
      </c>
      <c r="Q1795" s="4">
        <f t="shared" si="113"/>
        <v>-2.4320053899674551E-3</v>
      </c>
      <c r="R1795" s="4">
        <f t="shared" si="113"/>
        <v>-3.4767139990637646E-3</v>
      </c>
      <c r="S1795" s="4">
        <f t="shared" si="113"/>
        <v>7.9074314100284551E-3</v>
      </c>
      <c r="T1795" s="4">
        <f t="shared" si="113"/>
        <v>6.5196981308587492E-3</v>
      </c>
      <c r="U1795" s="35"/>
      <c r="V1795" s="35"/>
      <c r="W1795" s="35"/>
      <c r="X1795" s="35"/>
    </row>
    <row r="1796" spans="4:24" x14ac:dyDescent="0.3">
      <c r="D1796" s="23">
        <v>42187</v>
      </c>
      <c r="E1796" s="5">
        <v>177.50436400000001</v>
      </c>
      <c r="F1796" s="28">
        <v>63.908009999999997</v>
      </c>
      <c r="G1796" s="28">
        <v>111.76</v>
      </c>
      <c r="H1796" s="28">
        <v>100.8248</v>
      </c>
      <c r="I1796" s="28">
        <v>92.282880000000006</v>
      </c>
      <c r="J1796" s="29"/>
      <c r="K1796" s="29"/>
      <c r="L1796" s="29"/>
      <c r="M1796" s="29"/>
      <c r="N1796" s="29"/>
      <c r="P1796" s="4">
        <f t="shared" si="113"/>
        <v>-9.16115450688441E-4</v>
      </c>
      <c r="Q1796" s="4">
        <f t="shared" si="113"/>
        <v>2.4692471115907262E-3</v>
      </c>
      <c r="R1796" s="4">
        <f t="shared" si="113"/>
        <v>-1.9665689720408269E-3</v>
      </c>
      <c r="S1796" s="4">
        <f t="shared" si="113"/>
        <v>2.7874011632615702E-4</v>
      </c>
      <c r="T1796" s="4">
        <f t="shared" si="113"/>
        <v>-1.3006952500869589E-3</v>
      </c>
      <c r="U1796" s="35"/>
      <c r="V1796" s="35"/>
      <c r="W1796" s="35"/>
      <c r="X1796" s="35"/>
    </row>
    <row r="1797" spans="4:24" x14ac:dyDescent="0.3">
      <c r="D1797" s="23">
        <v>42191</v>
      </c>
      <c r="E1797" s="5">
        <v>176.99920700000001</v>
      </c>
      <c r="F1797" s="28">
        <v>64.128619999999998</v>
      </c>
      <c r="G1797" s="28">
        <v>112.06</v>
      </c>
      <c r="H1797" s="28">
        <v>100.5913</v>
      </c>
      <c r="I1797" s="28">
        <v>92.042730000000006</v>
      </c>
      <c r="J1797" s="29"/>
      <c r="K1797" s="29"/>
      <c r="L1797" s="29"/>
      <c r="M1797" s="29"/>
      <c r="N1797" s="29"/>
      <c r="P1797" s="4">
        <f t="shared" ref="P1797:T1812" si="114">LN(E1797/E1796)</f>
        <v>-2.8499421909305976E-3</v>
      </c>
      <c r="Q1797" s="4">
        <f t="shared" si="114"/>
        <v>3.4460484990355088E-3</v>
      </c>
      <c r="R1797" s="4">
        <f t="shared" si="114"/>
        <v>2.6807271884320225E-3</v>
      </c>
      <c r="S1797" s="4">
        <f t="shared" si="114"/>
        <v>-2.3185843098415763E-3</v>
      </c>
      <c r="T1797" s="4">
        <f t="shared" si="114"/>
        <v>-2.6057164371247063E-3</v>
      </c>
      <c r="U1797" s="35"/>
      <c r="V1797" s="35"/>
      <c r="W1797" s="35"/>
      <c r="X1797" s="35"/>
    </row>
    <row r="1798" spans="4:24" x14ac:dyDescent="0.3">
      <c r="D1798" s="23">
        <v>42192</v>
      </c>
      <c r="E1798" s="5">
        <v>178.112289</v>
      </c>
      <c r="F1798" s="28">
        <v>64.191649999999996</v>
      </c>
      <c r="G1798" s="28">
        <v>110.76</v>
      </c>
      <c r="H1798" s="28">
        <v>100.84350000000001</v>
      </c>
      <c r="I1798" s="28">
        <v>92.548829999999995</v>
      </c>
      <c r="J1798" s="29"/>
      <c r="K1798" s="29"/>
      <c r="L1798" s="29"/>
      <c r="M1798" s="29"/>
      <c r="N1798" s="29"/>
      <c r="P1798" s="4">
        <f t="shared" si="114"/>
        <v>6.2689361388648416E-3</v>
      </c>
      <c r="Q1798" s="4">
        <f t="shared" si="114"/>
        <v>9.8238579250329639E-4</v>
      </c>
      <c r="R1798" s="4">
        <f t="shared" si="114"/>
        <v>-1.1668743834377378E-2</v>
      </c>
      <c r="S1798" s="4">
        <f t="shared" si="114"/>
        <v>2.5040373538112257E-3</v>
      </c>
      <c r="T1798" s="4">
        <f t="shared" si="114"/>
        <v>5.483471380127951E-3</v>
      </c>
      <c r="U1798" s="35"/>
      <c r="V1798" s="35"/>
      <c r="W1798" s="35"/>
      <c r="X1798" s="35"/>
    </row>
    <row r="1799" spans="4:24" x14ac:dyDescent="0.3">
      <c r="D1799" s="23">
        <v>42193</v>
      </c>
      <c r="E1799" s="5">
        <v>175.1241</v>
      </c>
      <c r="F1799" s="28">
        <v>64.372919999999993</v>
      </c>
      <c r="G1799" s="28">
        <v>111.09</v>
      </c>
      <c r="H1799" s="28">
        <v>99.087519999999998</v>
      </c>
      <c r="I1799" s="28">
        <v>91.004760000000005</v>
      </c>
      <c r="J1799" s="29"/>
      <c r="K1799" s="29"/>
      <c r="L1799" s="29"/>
      <c r="M1799" s="29"/>
      <c r="N1799" s="29"/>
      <c r="P1799" s="4">
        <f t="shared" si="114"/>
        <v>-1.6919323018999181E-2</v>
      </c>
      <c r="Q1799" s="4">
        <f t="shared" si="114"/>
        <v>2.8199078505028599E-3</v>
      </c>
      <c r="R1799" s="4">
        <f t="shared" si="114"/>
        <v>2.9749852908698467E-3</v>
      </c>
      <c r="S1799" s="4">
        <f t="shared" si="114"/>
        <v>-1.7566310161362664E-2</v>
      </c>
      <c r="T1799" s="4">
        <f t="shared" si="114"/>
        <v>-1.6824584283204908E-2</v>
      </c>
      <c r="U1799" s="35"/>
      <c r="V1799" s="35"/>
      <c r="W1799" s="35"/>
      <c r="X1799" s="35"/>
    </row>
    <row r="1800" spans="4:24" x14ac:dyDescent="0.3">
      <c r="D1800" s="23">
        <v>42194</v>
      </c>
      <c r="E1800" s="5">
        <v>175.440887</v>
      </c>
      <c r="F1800" s="28">
        <v>64.160160000000005</v>
      </c>
      <c r="G1800" s="28">
        <v>111.36</v>
      </c>
      <c r="H1800" s="28">
        <v>99.031490000000005</v>
      </c>
      <c r="I1800" s="28">
        <v>91.193470000000005</v>
      </c>
      <c r="J1800" s="29"/>
      <c r="K1800" s="29"/>
      <c r="L1800" s="29"/>
      <c r="M1800" s="29"/>
      <c r="N1800" s="29"/>
      <c r="P1800" s="4">
        <f t="shared" si="114"/>
        <v>1.8072944987352606E-3</v>
      </c>
      <c r="Q1800" s="4">
        <f t="shared" si="114"/>
        <v>-3.310590461551488E-3</v>
      </c>
      <c r="R1800" s="4">
        <f t="shared" si="114"/>
        <v>2.4275129924783713E-3</v>
      </c>
      <c r="S1800" s="4">
        <f t="shared" si="114"/>
        <v>-5.6561963936505825E-4</v>
      </c>
      <c r="T1800" s="4">
        <f t="shared" si="114"/>
        <v>2.0714807984694018E-3</v>
      </c>
      <c r="U1800" s="35"/>
      <c r="V1800" s="35"/>
      <c r="W1800" s="35"/>
      <c r="X1800" s="35"/>
    </row>
    <row r="1801" spans="4:24" x14ac:dyDescent="0.3">
      <c r="D1801" s="23">
        <v>42195</v>
      </c>
      <c r="E1801" s="5">
        <v>177.64994799999999</v>
      </c>
      <c r="F1801" s="28">
        <v>63.860720000000001</v>
      </c>
      <c r="G1801" s="28">
        <v>111.49</v>
      </c>
      <c r="H1801" s="28">
        <v>100.5446</v>
      </c>
      <c r="I1801" s="28">
        <v>92.300039999999996</v>
      </c>
      <c r="J1801" s="29"/>
      <c r="K1801" s="29"/>
      <c r="L1801" s="29"/>
      <c r="M1801" s="29"/>
      <c r="N1801" s="29"/>
      <c r="P1801" s="4">
        <f t="shared" si="114"/>
        <v>1.2512869800202506E-2</v>
      </c>
      <c r="Q1801" s="4">
        <f t="shared" si="114"/>
        <v>-4.6779954343322359E-3</v>
      </c>
      <c r="R1801" s="4">
        <f t="shared" si="114"/>
        <v>1.1667041933704912E-3</v>
      </c>
      <c r="S1801" s="4">
        <f t="shared" si="114"/>
        <v>1.5163529786255859E-2</v>
      </c>
      <c r="T1801" s="4">
        <f t="shared" si="114"/>
        <v>1.2061281238532442E-2</v>
      </c>
      <c r="U1801" s="35"/>
      <c r="V1801" s="35"/>
      <c r="W1801" s="35"/>
      <c r="X1801" s="35"/>
    </row>
    <row r="1802" spans="4:24" x14ac:dyDescent="0.3">
      <c r="D1802" s="23">
        <v>42198</v>
      </c>
      <c r="E1802" s="5">
        <v>179.610703</v>
      </c>
      <c r="F1802" s="28">
        <v>63.710999999999999</v>
      </c>
      <c r="G1802" s="28">
        <v>110.99</v>
      </c>
      <c r="H1802" s="28">
        <v>102.3098</v>
      </c>
      <c r="I1802" s="28">
        <v>93.346580000000003</v>
      </c>
      <c r="J1802" s="29"/>
      <c r="K1802" s="29"/>
      <c r="L1802" s="29"/>
      <c r="M1802" s="29"/>
      <c r="N1802" s="29"/>
      <c r="P1802" s="4">
        <f t="shared" si="114"/>
        <v>1.0976717877069759E-2</v>
      </c>
      <c r="Q1802" s="4">
        <f t="shared" si="114"/>
        <v>-2.3472297581319415E-3</v>
      </c>
      <c r="R1802" s="4">
        <f t="shared" si="114"/>
        <v>-4.4947936155919303E-3</v>
      </c>
      <c r="S1802" s="4">
        <f t="shared" si="114"/>
        <v>1.7404054893862757E-2</v>
      </c>
      <c r="T1802" s="4">
        <f t="shared" si="114"/>
        <v>1.1274658123501795E-2</v>
      </c>
      <c r="U1802" s="35"/>
      <c r="V1802" s="35"/>
      <c r="W1802" s="35"/>
      <c r="X1802" s="35"/>
    </row>
    <row r="1803" spans="4:24" x14ac:dyDescent="0.3">
      <c r="D1803" s="23">
        <v>42199</v>
      </c>
      <c r="E1803" s="5">
        <v>180.38983200000001</v>
      </c>
      <c r="F1803" s="28">
        <v>63.829219999999999</v>
      </c>
      <c r="G1803" s="28">
        <v>110.74</v>
      </c>
      <c r="H1803" s="28">
        <v>102.9823</v>
      </c>
      <c r="I1803" s="28">
        <v>93.766900000000007</v>
      </c>
      <c r="J1803" s="29"/>
      <c r="K1803" s="29"/>
      <c r="L1803" s="29"/>
      <c r="M1803" s="29"/>
      <c r="N1803" s="29"/>
      <c r="P1803" s="4">
        <f t="shared" si="114"/>
        <v>4.3284947699929101E-3</v>
      </c>
      <c r="Q1803" s="4">
        <f t="shared" si="114"/>
        <v>1.8538471057631789E-3</v>
      </c>
      <c r="R1803" s="4">
        <f t="shared" si="114"/>
        <v>-2.2549957690670497E-3</v>
      </c>
      <c r="S1803" s="4">
        <f t="shared" si="114"/>
        <v>6.5516637566422212E-3</v>
      </c>
      <c r="T1803" s="4">
        <f t="shared" si="114"/>
        <v>4.4926822694420108E-3</v>
      </c>
      <c r="U1803" s="35"/>
      <c r="V1803" s="35"/>
      <c r="W1803" s="35"/>
      <c r="X1803" s="35"/>
    </row>
    <row r="1804" spans="4:24" x14ac:dyDescent="0.3">
      <c r="D1804" s="23">
        <v>42200</v>
      </c>
      <c r="E1804" s="5">
        <v>180.32994099999999</v>
      </c>
      <c r="F1804" s="28">
        <v>64.010440000000003</v>
      </c>
      <c r="G1804" s="28">
        <v>110.16</v>
      </c>
      <c r="H1804" s="28">
        <v>103.09439999999999</v>
      </c>
      <c r="I1804" s="28">
        <v>93.646789999999996</v>
      </c>
      <c r="J1804" s="29"/>
      <c r="K1804" s="29"/>
      <c r="L1804" s="29"/>
      <c r="M1804" s="29"/>
      <c r="N1804" s="29"/>
      <c r="P1804" s="4">
        <f t="shared" si="114"/>
        <v>-3.3206386249505401E-4</v>
      </c>
      <c r="Q1804" s="4">
        <f t="shared" si="114"/>
        <v>2.8351158222009185E-3</v>
      </c>
      <c r="R1804" s="4">
        <f t="shared" si="114"/>
        <v>-5.2512569744216971E-3</v>
      </c>
      <c r="S1804" s="4">
        <f t="shared" si="114"/>
        <v>1.0879445474137983E-3</v>
      </c>
      <c r="T1804" s="4">
        <f t="shared" si="114"/>
        <v>-1.2817635301268619E-3</v>
      </c>
      <c r="U1804" s="35"/>
      <c r="V1804" s="35"/>
      <c r="W1804" s="35"/>
      <c r="X1804" s="35"/>
    </row>
    <row r="1805" spans="4:24" x14ac:dyDescent="0.3">
      <c r="D1805" s="23">
        <v>42201</v>
      </c>
      <c r="E1805" s="5">
        <v>181.776962</v>
      </c>
      <c r="F1805" s="28">
        <v>64.010440000000003</v>
      </c>
      <c r="G1805" s="28">
        <v>109.76</v>
      </c>
      <c r="H1805" s="28">
        <v>104.5514</v>
      </c>
      <c r="I1805" s="28">
        <v>94.298739999999995</v>
      </c>
      <c r="J1805" s="29"/>
      <c r="K1805" s="29"/>
      <c r="L1805" s="29"/>
      <c r="M1805" s="29"/>
      <c r="N1805" s="29"/>
      <c r="P1805" s="4">
        <f t="shared" si="114"/>
        <v>7.9922735001663973E-3</v>
      </c>
      <c r="Q1805" s="4">
        <f t="shared" si="114"/>
        <v>0</v>
      </c>
      <c r="R1805" s="4">
        <f t="shared" si="114"/>
        <v>-3.6376904428242493E-3</v>
      </c>
      <c r="S1805" s="4">
        <f t="shared" si="114"/>
        <v>1.4033743157260234E-2</v>
      </c>
      <c r="T1805" s="4">
        <f t="shared" si="114"/>
        <v>6.9376761972907994E-3</v>
      </c>
      <c r="U1805" s="35"/>
      <c r="V1805" s="35"/>
      <c r="W1805" s="35"/>
      <c r="X1805" s="35"/>
    </row>
    <row r="1806" spans="4:24" x14ac:dyDescent="0.3">
      <c r="D1806" s="23">
        <v>42202</v>
      </c>
      <c r="E1806" s="5">
        <v>181.931015</v>
      </c>
      <c r="F1806" s="28">
        <v>64.018360000000001</v>
      </c>
      <c r="G1806" s="28">
        <v>108.65</v>
      </c>
      <c r="H1806" s="28">
        <v>106.0925</v>
      </c>
      <c r="I1806" s="28">
        <v>94.324439999999996</v>
      </c>
      <c r="J1806" s="29"/>
      <c r="K1806" s="29"/>
      <c r="L1806" s="29"/>
      <c r="M1806" s="29"/>
      <c r="N1806" s="29"/>
      <c r="P1806" s="4">
        <f t="shared" si="114"/>
        <v>8.4712472068016473E-4</v>
      </c>
      <c r="Q1806" s="4">
        <f t="shared" si="114"/>
        <v>1.2372216267129716E-4</v>
      </c>
      <c r="R1806" s="4">
        <f t="shared" si="114"/>
        <v>-1.0164457275136402E-2</v>
      </c>
      <c r="S1806" s="4">
        <f t="shared" si="114"/>
        <v>1.4632538584130491E-2</v>
      </c>
      <c r="T1806" s="4">
        <f t="shared" si="114"/>
        <v>2.7250097426034396E-4</v>
      </c>
      <c r="U1806" s="35"/>
      <c r="V1806" s="35"/>
      <c r="W1806" s="35"/>
      <c r="X1806" s="35"/>
    </row>
    <row r="1807" spans="4:24" x14ac:dyDescent="0.3">
      <c r="D1807" s="23">
        <v>42205</v>
      </c>
      <c r="E1807" s="5">
        <v>182.02525299999999</v>
      </c>
      <c r="F1807" s="28">
        <v>63.931669999999997</v>
      </c>
      <c r="G1807" s="28">
        <v>105.7</v>
      </c>
      <c r="H1807" s="28">
        <v>106.4567</v>
      </c>
      <c r="I1807" s="28">
        <v>94.33305</v>
      </c>
      <c r="J1807" s="29"/>
      <c r="K1807" s="29"/>
      <c r="L1807" s="29"/>
      <c r="M1807" s="29"/>
      <c r="N1807" s="29"/>
      <c r="P1807" s="4">
        <f t="shared" si="114"/>
        <v>5.1785343675412416E-4</v>
      </c>
      <c r="Q1807" s="4">
        <f t="shared" si="114"/>
        <v>-1.3550604601646461E-3</v>
      </c>
      <c r="R1807" s="4">
        <f t="shared" si="114"/>
        <v>-2.7526813826246731E-2</v>
      </c>
      <c r="S1807" s="4">
        <f t="shared" si="114"/>
        <v>3.426974615148124E-3</v>
      </c>
      <c r="T1807" s="4">
        <f t="shared" si="114"/>
        <v>9.1276524520538356E-5</v>
      </c>
      <c r="U1807" s="35"/>
      <c r="V1807" s="35"/>
      <c r="W1807" s="35"/>
      <c r="X1807" s="35"/>
    </row>
    <row r="1808" spans="4:24" x14ac:dyDescent="0.3">
      <c r="D1808" s="23">
        <v>42206</v>
      </c>
      <c r="E1808" s="5">
        <v>181.306015</v>
      </c>
      <c r="F1808" s="28">
        <v>64.049850000000006</v>
      </c>
      <c r="G1808" s="28">
        <v>105.37</v>
      </c>
      <c r="H1808" s="28">
        <v>106.3914</v>
      </c>
      <c r="I1808" s="28">
        <v>93.921289999999999</v>
      </c>
      <c r="J1808" s="29"/>
      <c r="K1808" s="29"/>
      <c r="L1808" s="29"/>
      <c r="M1808" s="29"/>
      <c r="N1808" s="29"/>
      <c r="P1808" s="4">
        <f t="shared" si="114"/>
        <v>-3.9591359337112454E-3</v>
      </c>
      <c r="Q1808" s="4">
        <f t="shared" si="114"/>
        <v>1.8468296608838419E-3</v>
      </c>
      <c r="R1808" s="4">
        <f t="shared" si="114"/>
        <v>-3.1269272647556933E-3</v>
      </c>
      <c r="S1808" s="4">
        <f t="shared" si="114"/>
        <v>-6.135831332175363E-4</v>
      </c>
      <c r="T1808" s="4">
        <f t="shared" si="114"/>
        <v>-4.3745143578909056E-3</v>
      </c>
      <c r="U1808" s="35"/>
      <c r="V1808" s="35"/>
      <c r="W1808" s="35"/>
      <c r="X1808" s="35"/>
    </row>
    <row r="1809" spans="4:24" x14ac:dyDescent="0.3">
      <c r="D1809" s="23">
        <v>42207</v>
      </c>
      <c r="E1809" s="5">
        <v>180.980637</v>
      </c>
      <c r="F1809" s="28">
        <v>64.073499999999996</v>
      </c>
      <c r="G1809" s="28">
        <v>104.8</v>
      </c>
      <c r="H1809" s="28">
        <v>105.1865</v>
      </c>
      <c r="I1809" s="28">
        <v>93.784049999999993</v>
      </c>
      <c r="J1809" s="29"/>
      <c r="K1809" s="29"/>
      <c r="L1809" s="29"/>
      <c r="M1809" s="29"/>
      <c r="N1809" s="29"/>
      <c r="P1809" s="4">
        <f t="shared" si="114"/>
        <v>-1.7962466223351947E-3</v>
      </c>
      <c r="Q1809" s="4">
        <f t="shared" si="114"/>
        <v>3.6917549015995539E-4</v>
      </c>
      <c r="R1809" s="4">
        <f t="shared" si="114"/>
        <v>-5.4241937244945545E-3</v>
      </c>
      <c r="S1809" s="4">
        <f t="shared" si="114"/>
        <v>-1.1389781500393152E-2</v>
      </c>
      <c r="T1809" s="4">
        <f t="shared" si="114"/>
        <v>-1.4622921697913093E-3</v>
      </c>
      <c r="U1809" s="35"/>
      <c r="V1809" s="35"/>
      <c r="W1809" s="35"/>
      <c r="X1809" s="35"/>
    </row>
    <row r="1810" spans="4:24" x14ac:dyDescent="0.3">
      <c r="D1810" s="23">
        <v>42208</v>
      </c>
      <c r="E1810" s="5">
        <v>179.961761</v>
      </c>
      <c r="F1810" s="28">
        <v>64.223190000000002</v>
      </c>
      <c r="G1810" s="28">
        <v>104.33</v>
      </c>
      <c r="H1810" s="28">
        <v>104.7942</v>
      </c>
      <c r="I1810" s="28">
        <v>93.243629999999996</v>
      </c>
      <c r="J1810" s="29"/>
      <c r="K1810" s="29"/>
      <c r="L1810" s="29"/>
      <c r="M1810" s="29"/>
      <c r="N1810" s="29"/>
      <c r="P1810" s="4">
        <f t="shared" si="114"/>
        <v>-5.6456582097451011E-3</v>
      </c>
      <c r="Q1810" s="4">
        <f t="shared" si="114"/>
        <v>2.3334985169847751E-3</v>
      </c>
      <c r="R1810" s="4">
        <f t="shared" si="114"/>
        <v>-4.494819407063832E-3</v>
      </c>
      <c r="S1810" s="4">
        <f t="shared" si="114"/>
        <v>-3.7365382288154581E-3</v>
      </c>
      <c r="T1810" s="4">
        <f t="shared" si="114"/>
        <v>-5.7790537107004544E-3</v>
      </c>
      <c r="U1810" s="35"/>
      <c r="V1810" s="35"/>
      <c r="W1810" s="35"/>
      <c r="X1810" s="35"/>
    </row>
    <row r="1811" spans="4:24" x14ac:dyDescent="0.3">
      <c r="D1811" s="23">
        <v>42209</v>
      </c>
      <c r="E1811" s="5">
        <v>178.09518399999999</v>
      </c>
      <c r="F1811" s="28">
        <v>64.262640000000005</v>
      </c>
      <c r="G1811" s="28">
        <v>105.35</v>
      </c>
      <c r="H1811" s="28">
        <v>103.76690000000001</v>
      </c>
      <c r="I1811" s="28">
        <v>92.26576</v>
      </c>
      <c r="J1811" s="29"/>
      <c r="K1811" s="29"/>
      <c r="L1811" s="29"/>
      <c r="M1811" s="29"/>
      <c r="N1811" s="29"/>
      <c r="P1811" s="4">
        <f t="shared" si="114"/>
        <v>-1.0426240491191457E-2</v>
      </c>
      <c r="Q1811" s="4">
        <f t="shared" si="114"/>
        <v>6.1407551696057716E-4</v>
      </c>
      <c r="R1811" s="4">
        <f t="shared" si="114"/>
        <v>9.7291877703200112E-3</v>
      </c>
      <c r="S1811" s="4">
        <f t="shared" si="114"/>
        <v>-9.8513894323006279E-3</v>
      </c>
      <c r="T1811" s="4">
        <f t="shared" si="114"/>
        <v>-1.0542636761137503E-2</v>
      </c>
      <c r="U1811" s="35"/>
      <c r="V1811" s="35"/>
      <c r="W1811" s="35"/>
      <c r="X1811" s="35"/>
    </row>
    <row r="1812" spans="4:24" x14ac:dyDescent="0.3">
      <c r="D1812" s="23">
        <v>42212</v>
      </c>
      <c r="E1812" s="5">
        <v>177.05912799999999</v>
      </c>
      <c r="F1812" s="28">
        <v>64.3887</v>
      </c>
      <c r="G1812" s="28">
        <v>104.86</v>
      </c>
      <c r="H1812" s="28">
        <v>102.9076</v>
      </c>
      <c r="I1812" s="28">
        <v>91.656710000000004</v>
      </c>
      <c r="J1812" s="29"/>
      <c r="K1812" s="29"/>
      <c r="L1812" s="29"/>
      <c r="M1812" s="29"/>
      <c r="N1812" s="29"/>
      <c r="P1812" s="4">
        <f t="shared" si="114"/>
        <v>-5.8344156552372333E-3</v>
      </c>
      <c r="Q1812" s="4">
        <f t="shared" si="114"/>
        <v>1.9597159321357751E-3</v>
      </c>
      <c r="R1812" s="4">
        <f t="shared" si="114"/>
        <v>-4.6620131058113011E-3</v>
      </c>
      <c r="S1812" s="4">
        <f t="shared" si="114"/>
        <v>-8.3155391843800549E-3</v>
      </c>
      <c r="T1812" s="4">
        <f t="shared" si="114"/>
        <v>-6.622923520266645E-3</v>
      </c>
      <c r="U1812" s="35"/>
      <c r="V1812" s="35"/>
      <c r="W1812" s="35"/>
      <c r="X1812" s="35"/>
    </row>
    <row r="1813" spans="4:24" x14ac:dyDescent="0.3">
      <c r="D1813" s="23">
        <v>42213</v>
      </c>
      <c r="E1813" s="5">
        <v>179.23396299999999</v>
      </c>
      <c r="F1813" s="28">
        <v>64.278379999999999</v>
      </c>
      <c r="G1813" s="28">
        <v>105.02</v>
      </c>
      <c r="H1813" s="28">
        <v>103.7949</v>
      </c>
      <c r="I1813" s="28">
        <v>92.746099999999998</v>
      </c>
      <c r="J1813" s="29"/>
      <c r="K1813" s="29"/>
      <c r="L1813" s="29"/>
      <c r="M1813" s="29"/>
      <c r="N1813" s="29"/>
      <c r="P1813" s="4">
        <f t="shared" ref="P1813:T1828" si="115">LN(E1813/E1812)</f>
        <v>1.2208274966196395E-2</v>
      </c>
      <c r="Q1813" s="4">
        <f t="shared" si="115"/>
        <v>-1.7148135643364356E-3</v>
      </c>
      <c r="R1813" s="4">
        <f t="shared" si="115"/>
        <v>1.5246810653265237E-3</v>
      </c>
      <c r="S1813" s="4">
        <f t="shared" si="115"/>
        <v>8.5853383494464384E-3</v>
      </c>
      <c r="T1813" s="4">
        <f t="shared" si="115"/>
        <v>1.1815467168699065E-2</v>
      </c>
      <c r="U1813" s="35"/>
      <c r="V1813" s="35"/>
      <c r="W1813" s="35"/>
      <c r="X1813" s="35"/>
    </row>
    <row r="1814" spans="4:24" x14ac:dyDescent="0.3">
      <c r="D1814" s="23">
        <v>42214</v>
      </c>
      <c r="E1814" s="5">
        <v>180.46693400000001</v>
      </c>
      <c r="F1814" s="28">
        <v>64.223190000000002</v>
      </c>
      <c r="G1814" s="28">
        <v>105.17</v>
      </c>
      <c r="H1814" s="28">
        <v>104.1872</v>
      </c>
      <c r="I1814" s="28">
        <v>93.380880000000005</v>
      </c>
      <c r="J1814" s="29"/>
      <c r="K1814" s="29"/>
      <c r="L1814" s="29"/>
      <c r="M1814" s="29"/>
      <c r="N1814" s="29"/>
      <c r="P1814" s="4">
        <f t="shared" si="115"/>
        <v>6.8555616029038679E-3</v>
      </c>
      <c r="Q1814" s="4">
        <f t="shared" si="115"/>
        <v>-8.589778847598301E-4</v>
      </c>
      <c r="R1814" s="4">
        <f t="shared" si="115"/>
        <v>1.4272803222239753E-3</v>
      </c>
      <c r="S1814" s="4">
        <f t="shared" si="115"/>
        <v>3.7724445060035865E-3</v>
      </c>
      <c r="T1814" s="4">
        <f t="shared" si="115"/>
        <v>6.8209612719250445E-3</v>
      </c>
      <c r="U1814" s="35"/>
      <c r="V1814" s="35"/>
      <c r="W1814" s="35"/>
      <c r="X1814" s="35"/>
    </row>
    <row r="1815" spans="4:24" x14ac:dyDescent="0.3">
      <c r="D1815" s="23">
        <v>42215</v>
      </c>
      <c r="E1815" s="5">
        <v>180.50973500000001</v>
      </c>
      <c r="F1815" s="28">
        <v>64.246849999999995</v>
      </c>
      <c r="G1815" s="28">
        <v>104.27</v>
      </c>
      <c r="H1815" s="28">
        <v>104.68219999999999</v>
      </c>
      <c r="I1815" s="28">
        <v>93.458079999999995</v>
      </c>
      <c r="J1815" s="29"/>
      <c r="K1815" s="29"/>
      <c r="L1815" s="29"/>
      <c r="M1815" s="29"/>
      <c r="N1815" s="29"/>
      <c r="P1815" s="4">
        <f t="shared" si="115"/>
        <v>2.3713998092527846E-4</v>
      </c>
      <c r="Q1815" s="4">
        <f t="shared" si="115"/>
        <v>3.6833490932960814E-4</v>
      </c>
      <c r="R1815" s="4">
        <f t="shared" si="115"/>
        <v>-8.5943997304353519E-3</v>
      </c>
      <c r="S1815" s="4">
        <f t="shared" si="115"/>
        <v>4.7398127893788404E-3</v>
      </c>
      <c r="T1815" s="4">
        <f t="shared" si="115"/>
        <v>8.2638015533104884E-4</v>
      </c>
      <c r="U1815" s="35"/>
      <c r="V1815" s="35"/>
      <c r="W1815" s="35"/>
      <c r="X1815" s="35"/>
    </row>
    <row r="1816" spans="4:24" x14ac:dyDescent="0.3">
      <c r="D1816" s="23">
        <v>42216</v>
      </c>
      <c r="E1816" s="5">
        <v>180.235748</v>
      </c>
      <c r="F1816" s="28">
        <v>64.467500000000001</v>
      </c>
      <c r="G1816" s="28">
        <v>104.93</v>
      </c>
      <c r="H1816" s="28">
        <v>104.5607</v>
      </c>
      <c r="I1816" s="28">
        <v>93.363720000000001</v>
      </c>
      <c r="J1816" s="29"/>
      <c r="K1816" s="29"/>
      <c r="L1816" s="29"/>
      <c r="M1816" s="29"/>
      <c r="N1816" s="29"/>
      <c r="P1816" s="4">
        <f t="shared" si="115"/>
        <v>-1.5190047587239116E-3</v>
      </c>
      <c r="Q1816" s="4">
        <f t="shared" si="115"/>
        <v>3.4285255084783969E-3</v>
      </c>
      <c r="R1816" s="4">
        <f t="shared" si="115"/>
        <v>6.3097723683180887E-3</v>
      </c>
      <c r="S1816" s="4">
        <f t="shared" si="115"/>
        <v>-1.1613298578393822E-3</v>
      </c>
      <c r="T1816" s="4">
        <f t="shared" si="115"/>
        <v>-1.0101605703823342E-3</v>
      </c>
      <c r="U1816" s="35"/>
      <c r="V1816" s="35"/>
      <c r="W1816" s="35"/>
      <c r="X1816" s="35"/>
    </row>
    <row r="1817" spans="4:24" x14ac:dyDescent="0.3">
      <c r="D1817" s="23">
        <v>42219</v>
      </c>
      <c r="E1817" s="5">
        <v>179.62780799999999</v>
      </c>
      <c r="F1817" s="28">
        <v>64.616739999999993</v>
      </c>
      <c r="G1817" s="28">
        <v>104.1</v>
      </c>
      <c r="H1817" s="28">
        <v>104.23390000000001</v>
      </c>
      <c r="I1817" s="28">
        <v>93.029200000000003</v>
      </c>
      <c r="J1817" s="29"/>
      <c r="K1817" s="29"/>
      <c r="L1817" s="29"/>
      <c r="M1817" s="29"/>
      <c r="N1817" s="29"/>
      <c r="P1817" s="4">
        <f t="shared" si="115"/>
        <v>-3.3787282330061366E-3</v>
      </c>
      <c r="Q1817" s="4">
        <f t="shared" si="115"/>
        <v>2.3122895017222535E-3</v>
      </c>
      <c r="R1817" s="4">
        <f t="shared" si="115"/>
        <v>-7.9414855488965236E-3</v>
      </c>
      <c r="S1817" s="4">
        <f t="shared" si="115"/>
        <v>-3.1303517127564684E-3</v>
      </c>
      <c r="T1817" s="4">
        <f t="shared" si="115"/>
        <v>-3.5894105758868667E-3</v>
      </c>
      <c r="U1817" s="35"/>
      <c r="V1817" s="35"/>
      <c r="W1817" s="35"/>
      <c r="X1817" s="35"/>
    </row>
    <row r="1818" spans="4:24" x14ac:dyDescent="0.3">
      <c r="D1818" s="23">
        <v>42220</v>
      </c>
      <c r="E1818" s="5">
        <v>179.276749</v>
      </c>
      <c r="F1818" s="28">
        <v>64.395619999999994</v>
      </c>
      <c r="G1818" s="28">
        <v>104.31</v>
      </c>
      <c r="H1818" s="28">
        <v>104.0377</v>
      </c>
      <c r="I1818" s="28">
        <v>92.874769999999998</v>
      </c>
      <c r="J1818" s="29"/>
      <c r="K1818" s="29"/>
      <c r="L1818" s="29"/>
      <c r="M1818" s="29"/>
      <c r="N1818" s="29"/>
      <c r="P1818" s="4">
        <f t="shared" si="115"/>
        <v>-1.9562811622901802E-3</v>
      </c>
      <c r="Q1818" s="4">
        <f t="shared" si="115"/>
        <v>-3.4278919713035733E-3</v>
      </c>
      <c r="R1818" s="4">
        <f t="shared" si="115"/>
        <v>2.01525906695667E-3</v>
      </c>
      <c r="S1818" s="4">
        <f t="shared" si="115"/>
        <v>-1.8840788474133211E-3</v>
      </c>
      <c r="T1818" s="4">
        <f t="shared" si="115"/>
        <v>-1.6613957789275854E-3</v>
      </c>
      <c r="U1818" s="35"/>
      <c r="V1818" s="35"/>
      <c r="W1818" s="35"/>
      <c r="X1818" s="35"/>
    </row>
    <row r="1819" spans="4:24" x14ac:dyDescent="0.3">
      <c r="D1819" s="23">
        <v>42221</v>
      </c>
      <c r="E1819" s="5">
        <v>179.867569</v>
      </c>
      <c r="F1819" s="28">
        <v>64.29298</v>
      </c>
      <c r="G1819" s="28">
        <v>103.93</v>
      </c>
      <c r="H1819" s="28">
        <v>104.8409</v>
      </c>
      <c r="I1819" s="28">
        <v>93.183589999999995</v>
      </c>
      <c r="J1819" s="29"/>
      <c r="K1819" s="29"/>
      <c r="L1819" s="29"/>
      <c r="M1819" s="29"/>
      <c r="N1819" s="29"/>
      <c r="P1819" s="4">
        <f t="shared" si="115"/>
        <v>3.2901566493681155E-3</v>
      </c>
      <c r="Q1819" s="4">
        <f t="shared" si="115"/>
        <v>-1.5951688302537276E-3</v>
      </c>
      <c r="R1819" s="4">
        <f t="shared" si="115"/>
        <v>-3.6496390875493927E-3</v>
      </c>
      <c r="S1819" s="4">
        <f t="shared" si="115"/>
        <v>7.6906294739665223E-3</v>
      </c>
      <c r="T1819" s="4">
        <f t="shared" si="115"/>
        <v>3.3196066394888149E-3</v>
      </c>
      <c r="U1819" s="35"/>
      <c r="V1819" s="35"/>
      <c r="W1819" s="35"/>
      <c r="X1819" s="35"/>
    </row>
    <row r="1820" spans="4:24" x14ac:dyDescent="0.3">
      <c r="D1820" s="23">
        <v>42222</v>
      </c>
      <c r="E1820" s="5">
        <v>178.394836</v>
      </c>
      <c r="F1820" s="28">
        <v>64.332490000000007</v>
      </c>
      <c r="G1820" s="28">
        <v>104.39</v>
      </c>
      <c r="H1820" s="28">
        <v>103.1598</v>
      </c>
      <c r="I1820" s="28">
        <v>92.420159999999996</v>
      </c>
      <c r="J1820" s="29"/>
      <c r="K1820" s="29"/>
      <c r="L1820" s="29"/>
      <c r="M1820" s="29"/>
      <c r="N1820" s="29"/>
      <c r="P1820" s="4">
        <f t="shared" si="115"/>
        <v>-8.2215787933099492E-3</v>
      </c>
      <c r="Q1820" s="4">
        <f t="shared" si="115"/>
        <v>6.1434179782037922E-4</v>
      </c>
      <c r="R1820" s="4">
        <f t="shared" si="115"/>
        <v>4.4162898198766756E-3</v>
      </c>
      <c r="S1820" s="4">
        <f t="shared" si="115"/>
        <v>-1.6164720652767452E-2</v>
      </c>
      <c r="T1820" s="4">
        <f t="shared" si="115"/>
        <v>-8.2264965598795765E-3</v>
      </c>
      <c r="U1820" s="35"/>
      <c r="V1820" s="35"/>
      <c r="W1820" s="35"/>
      <c r="X1820" s="35"/>
    </row>
    <row r="1821" spans="4:24" x14ac:dyDescent="0.3">
      <c r="D1821" s="23">
        <v>42223</v>
      </c>
      <c r="E1821" s="5">
        <v>178.05230700000001</v>
      </c>
      <c r="F1821" s="28">
        <v>64.466710000000006</v>
      </c>
      <c r="G1821" s="28">
        <v>104.65</v>
      </c>
      <c r="H1821" s="28">
        <v>103.029</v>
      </c>
      <c r="I1821" s="28">
        <v>92.154210000000006</v>
      </c>
      <c r="J1821" s="29"/>
      <c r="K1821" s="29"/>
      <c r="L1821" s="29"/>
      <c r="M1821" s="29"/>
      <c r="N1821" s="29"/>
      <c r="P1821" s="4">
        <f t="shared" si="115"/>
        <v>-1.9219068642331335E-3</v>
      </c>
      <c r="Q1821" s="4">
        <f t="shared" si="115"/>
        <v>2.0841751903000853E-3</v>
      </c>
      <c r="R1821" s="4">
        <f t="shared" si="115"/>
        <v>2.4875634718017074E-3</v>
      </c>
      <c r="S1821" s="4">
        <f t="shared" si="115"/>
        <v>-1.2687402763462655E-3</v>
      </c>
      <c r="T1821" s="4">
        <f t="shared" si="115"/>
        <v>-2.881767214486658E-3</v>
      </c>
      <c r="U1821" s="35"/>
      <c r="V1821" s="35"/>
      <c r="W1821" s="35"/>
      <c r="X1821" s="35"/>
    </row>
    <row r="1822" spans="4:24" x14ac:dyDescent="0.3">
      <c r="D1822" s="23">
        <v>42226</v>
      </c>
      <c r="E1822" s="5">
        <v>180.29570000000001</v>
      </c>
      <c r="F1822" s="28">
        <v>64.332490000000007</v>
      </c>
      <c r="G1822" s="28">
        <v>105.72</v>
      </c>
      <c r="H1822" s="28">
        <v>104.2058</v>
      </c>
      <c r="I1822" s="28">
        <v>93.303700000000006</v>
      </c>
      <c r="J1822" s="29"/>
      <c r="K1822" s="29"/>
      <c r="L1822" s="29"/>
      <c r="M1822" s="29"/>
      <c r="N1822" s="29"/>
      <c r="P1822" s="4">
        <f t="shared" si="115"/>
        <v>1.2520914110168726E-2</v>
      </c>
      <c r="Q1822" s="4">
        <f t="shared" si="115"/>
        <v>-2.0841751902999752E-3</v>
      </c>
      <c r="R1822" s="4">
        <f t="shared" si="115"/>
        <v>1.0172640844079744E-2</v>
      </c>
      <c r="S1822" s="4">
        <f t="shared" si="115"/>
        <v>1.1357287959309969E-2</v>
      </c>
      <c r="T1822" s="4">
        <f t="shared" si="115"/>
        <v>1.2396394634201727E-2</v>
      </c>
      <c r="U1822" s="35"/>
      <c r="V1822" s="35"/>
      <c r="W1822" s="35"/>
      <c r="X1822" s="35"/>
    </row>
    <row r="1823" spans="4:24" x14ac:dyDescent="0.3">
      <c r="D1823" s="23">
        <v>42227</v>
      </c>
      <c r="E1823" s="5">
        <v>178.66880800000001</v>
      </c>
      <c r="F1823" s="28">
        <v>64.577250000000006</v>
      </c>
      <c r="G1823" s="28">
        <v>106.26</v>
      </c>
      <c r="H1823" s="28">
        <v>102.8702</v>
      </c>
      <c r="I1823" s="28">
        <v>92.463049999999996</v>
      </c>
      <c r="J1823" s="29"/>
      <c r="K1823" s="29"/>
      <c r="L1823" s="29"/>
      <c r="M1823" s="29"/>
      <c r="N1823" s="29"/>
      <c r="P1823" s="4">
        <f t="shared" si="115"/>
        <v>-9.0644233790558911E-3</v>
      </c>
      <c r="Q1823" s="4">
        <f t="shared" si="115"/>
        <v>3.7973902379041463E-3</v>
      </c>
      <c r="R1823" s="4">
        <f t="shared" si="115"/>
        <v>5.0948312867088461E-3</v>
      </c>
      <c r="S1823" s="4">
        <f t="shared" si="115"/>
        <v>-1.289979061581625E-2</v>
      </c>
      <c r="T1823" s="4">
        <f t="shared" si="115"/>
        <v>-9.0506588336070216E-3</v>
      </c>
      <c r="U1823" s="35"/>
      <c r="V1823" s="35"/>
      <c r="W1823" s="35"/>
      <c r="X1823" s="35"/>
    </row>
    <row r="1824" spans="4:24" x14ac:dyDescent="0.3">
      <c r="D1824" s="23">
        <v>42228</v>
      </c>
      <c r="E1824" s="5">
        <v>178.882904</v>
      </c>
      <c r="F1824" s="28">
        <v>64.553600000000003</v>
      </c>
      <c r="G1824" s="28">
        <v>107.75</v>
      </c>
      <c r="H1824" s="28">
        <v>103.2251</v>
      </c>
      <c r="I1824" s="28">
        <v>92.557389999999998</v>
      </c>
      <c r="J1824" s="29"/>
      <c r="K1824" s="29"/>
      <c r="L1824" s="29"/>
      <c r="M1824" s="29"/>
      <c r="N1824" s="29"/>
      <c r="P1824" s="4">
        <f t="shared" si="115"/>
        <v>1.1975667765082511E-3</v>
      </c>
      <c r="Q1824" s="4">
        <f t="shared" si="115"/>
        <v>-3.6629512257426941E-4</v>
      </c>
      <c r="R1824" s="4">
        <f t="shared" si="115"/>
        <v>1.3924807961060021E-2</v>
      </c>
      <c r="S1824" s="4">
        <f t="shared" si="115"/>
        <v>3.4440411867850819E-3</v>
      </c>
      <c r="T1824" s="4">
        <f t="shared" si="115"/>
        <v>1.0197793084454287E-3</v>
      </c>
      <c r="U1824" s="35"/>
      <c r="V1824" s="35"/>
      <c r="W1824" s="35"/>
      <c r="X1824" s="35"/>
    </row>
    <row r="1825" spans="4:24" x14ac:dyDescent="0.3">
      <c r="D1825" s="23">
        <v>42229</v>
      </c>
      <c r="E1825" s="5">
        <v>178.66029399999999</v>
      </c>
      <c r="F1825" s="28">
        <v>64.419330000000002</v>
      </c>
      <c r="G1825" s="28">
        <v>106.86</v>
      </c>
      <c r="H1825" s="28">
        <v>103.057</v>
      </c>
      <c r="I1825" s="28">
        <v>92.428719999999998</v>
      </c>
      <c r="J1825" s="29"/>
      <c r="K1825" s="29"/>
      <c r="L1825" s="29"/>
      <c r="M1825" s="29"/>
      <c r="N1825" s="29"/>
      <c r="P1825" s="4">
        <f t="shared" si="115"/>
        <v>-1.2452203258775836E-3</v>
      </c>
      <c r="Q1825" s="4">
        <f t="shared" si="115"/>
        <v>-2.0821431056674009E-3</v>
      </c>
      <c r="R1825" s="4">
        <f t="shared" si="115"/>
        <v>-8.2941624542318699E-3</v>
      </c>
      <c r="S1825" s="4">
        <f t="shared" si="115"/>
        <v>-1.6298073096011106E-3</v>
      </c>
      <c r="T1825" s="4">
        <f t="shared" si="115"/>
        <v>-1.3911316990306694E-3</v>
      </c>
      <c r="U1825" s="35"/>
      <c r="V1825" s="35"/>
      <c r="W1825" s="35"/>
      <c r="X1825" s="35"/>
    </row>
    <row r="1826" spans="4:24" x14ac:dyDescent="0.3">
      <c r="D1826" s="23">
        <v>42230</v>
      </c>
      <c r="E1826" s="5">
        <v>179.310959</v>
      </c>
      <c r="F1826" s="28">
        <v>64.395619999999994</v>
      </c>
      <c r="G1826" s="28">
        <v>106.85</v>
      </c>
      <c r="H1826" s="28">
        <v>103.2158</v>
      </c>
      <c r="I1826" s="28">
        <v>92.780429999999996</v>
      </c>
      <c r="J1826" s="29"/>
      <c r="K1826" s="29"/>
      <c r="L1826" s="29"/>
      <c r="M1826" s="29"/>
      <c r="N1826" s="29"/>
      <c r="P1826" s="4">
        <f t="shared" si="115"/>
        <v>3.6352959133569588E-3</v>
      </c>
      <c r="Q1826" s="4">
        <f t="shared" si="115"/>
        <v>-3.6812497722924127E-4</v>
      </c>
      <c r="R1826" s="4">
        <f t="shared" si="115"/>
        <v>-9.3584764468653355E-5</v>
      </c>
      <c r="S1826" s="4">
        <f t="shared" si="115"/>
        <v>1.53970888427658E-3</v>
      </c>
      <c r="T1826" s="4">
        <f t="shared" si="115"/>
        <v>3.7979810692362875E-3</v>
      </c>
      <c r="U1826" s="35"/>
      <c r="V1826" s="35"/>
      <c r="W1826" s="35"/>
      <c r="X1826" s="35"/>
    </row>
    <row r="1827" spans="4:24" x14ac:dyDescent="0.3">
      <c r="D1827" s="23">
        <v>42233</v>
      </c>
      <c r="E1827" s="5">
        <v>180.312805</v>
      </c>
      <c r="F1827" s="28">
        <v>64.514099999999999</v>
      </c>
      <c r="G1827" s="28">
        <v>107.13</v>
      </c>
      <c r="H1827" s="28">
        <v>104.07510000000001</v>
      </c>
      <c r="I1827" s="28">
        <v>93.372299999999996</v>
      </c>
      <c r="J1827" s="29"/>
      <c r="K1827" s="29"/>
      <c r="L1827" s="29"/>
      <c r="M1827" s="29"/>
      <c r="N1827" s="29"/>
      <c r="P1827" s="4">
        <f t="shared" si="115"/>
        <v>5.5716484393006672E-3</v>
      </c>
      <c r="Q1827" s="4">
        <f t="shared" si="115"/>
        <v>1.8381861873764827E-3</v>
      </c>
      <c r="R1827" s="4">
        <f t="shared" si="115"/>
        <v>2.6170685093101407E-3</v>
      </c>
      <c r="S1827" s="4">
        <f t="shared" si="115"/>
        <v>8.2908118221931525E-3</v>
      </c>
      <c r="T1827" s="4">
        <f t="shared" si="115"/>
        <v>6.3589934398770136E-3</v>
      </c>
      <c r="U1827" s="35"/>
      <c r="V1827" s="35"/>
      <c r="W1827" s="35"/>
      <c r="X1827" s="35"/>
    </row>
    <row r="1828" spans="4:24" x14ac:dyDescent="0.3">
      <c r="D1828" s="23">
        <v>42234</v>
      </c>
      <c r="E1828" s="5">
        <v>179.790527</v>
      </c>
      <c r="F1828" s="28">
        <v>64.395619999999994</v>
      </c>
      <c r="G1828" s="28">
        <v>107.11</v>
      </c>
      <c r="H1828" s="28">
        <v>103.5427</v>
      </c>
      <c r="I1828" s="28">
        <v>93.132140000000007</v>
      </c>
      <c r="J1828" s="29"/>
      <c r="K1828" s="29"/>
      <c r="L1828" s="29"/>
      <c r="M1828" s="29"/>
      <c r="N1828" s="29"/>
      <c r="P1828" s="4">
        <f t="shared" si="115"/>
        <v>-2.9007138773712512E-3</v>
      </c>
      <c r="Q1828" s="4">
        <f t="shared" si="115"/>
        <v>-1.8381861873765499E-3</v>
      </c>
      <c r="R1828" s="4">
        <f t="shared" si="115"/>
        <v>-1.8670649792841985E-4</v>
      </c>
      <c r="S1828" s="4">
        <f t="shared" si="115"/>
        <v>-5.1286659138611952E-3</v>
      </c>
      <c r="T1828" s="4">
        <f t="shared" si="115"/>
        <v>-2.5753824706833792E-3</v>
      </c>
      <c r="U1828" s="35"/>
      <c r="V1828" s="35"/>
      <c r="W1828" s="35"/>
      <c r="X1828" s="35"/>
    </row>
    <row r="1829" spans="4:24" x14ac:dyDescent="0.3">
      <c r="D1829" s="23">
        <v>42235</v>
      </c>
      <c r="E1829" s="5">
        <v>178.36914100000001</v>
      </c>
      <c r="F1829" s="28">
        <v>64.624629999999996</v>
      </c>
      <c r="G1829" s="28">
        <v>108.55</v>
      </c>
      <c r="H1829" s="28">
        <v>102.8609</v>
      </c>
      <c r="I1829" s="28">
        <v>92.300039999999996</v>
      </c>
      <c r="J1829" s="29"/>
      <c r="K1829" s="29"/>
      <c r="L1829" s="29"/>
      <c r="M1829" s="29"/>
      <c r="N1829" s="29"/>
      <c r="P1829" s="4">
        <f t="shared" ref="P1829:T1844" si="116">LN(E1829/E1828)</f>
        <v>-7.9372056050587246E-3</v>
      </c>
      <c r="Q1829" s="4">
        <f t="shared" si="116"/>
        <v>3.5499890987142303E-3</v>
      </c>
      <c r="R1829" s="4">
        <f t="shared" si="116"/>
        <v>1.335455254776265E-2</v>
      </c>
      <c r="S1829" s="4">
        <f t="shared" si="116"/>
        <v>-6.6064979468180062E-3</v>
      </c>
      <c r="T1829" s="4">
        <f t="shared" si="116"/>
        <v>-8.9747700234215581E-3</v>
      </c>
      <c r="U1829" s="35"/>
      <c r="V1829" s="35"/>
      <c r="W1829" s="35"/>
      <c r="X1829" s="35"/>
    </row>
    <row r="1830" spans="4:24" x14ac:dyDescent="0.3">
      <c r="D1830" s="23">
        <v>42236</v>
      </c>
      <c r="E1830" s="5">
        <v>174.64454699999999</v>
      </c>
      <c r="F1830" s="28">
        <v>64.67989</v>
      </c>
      <c r="G1830" s="28">
        <v>110.44</v>
      </c>
      <c r="H1830" s="28">
        <v>100.01220000000001</v>
      </c>
      <c r="I1830" s="28">
        <v>90.292789999999997</v>
      </c>
      <c r="J1830" s="29"/>
      <c r="K1830" s="29"/>
      <c r="L1830" s="29"/>
      <c r="M1830" s="29"/>
      <c r="N1830" s="29"/>
      <c r="P1830" s="4">
        <f t="shared" si="116"/>
        <v>-2.1102480405836704E-2</v>
      </c>
      <c r="Q1830" s="4">
        <f t="shared" si="116"/>
        <v>8.5472655347572997E-4</v>
      </c>
      <c r="R1830" s="4">
        <f t="shared" si="116"/>
        <v>1.7261490737652797E-2</v>
      </c>
      <c r="S1830" s="4">
        <f t="shared" si="116"/>
        <v>-2.8085411518745756E-2</v>
      </c>
      <c r="T1830" s="4">
        <f t="shared" si="116"/>
        <v>-2.1986962604239206E-2</v>
      </c>
      <c r="U1830" s="35"/>
      <c r="V1830" s="35"/>
      <c r="W1830" s="35"/>
      <c r="X1830" s="35"/>
    </row>
    <row r="1831" spans="4:24" x14ac:dyDescent="0.3">
      <c r="D1831" s="23">
        <v>42237</v>
      </c>
      <c r="E1831" s="5">
        <v>169.38736</v>
      </c>
      <c r="F1831" s="28">
        <v>64.782560000000004</v>
      </c>
      <c r="G1831" s="28">
        <v>111.13</v>
      </c>
      <c r="H1831" s="28">
        <v>95.641099999999994</v>
      </c>
      <c r="I1831" s="28">
        <v>87.693619999999996</v>
      </c>
      <c r="J1831" s="29"/>
      <c r="K1831" s="29"/>
      <c r="L1831" s="29"/>
      <c r="M1831" s="29"/>
      <c r="N1831" s="29"/>
      <c r="P1831" s="4">
        <f t="shared" si="116"/>
        <v>-3.0564585179298599E-2</v>
      </c>
      <c r="Q1831" s="4">
        <f t="shared" si="116"/>
        <v>1.5860973050325412E-3</v>
      </c>
      <c r="R1831" s="4">
        <f t="shared" si="116"/>
        <v>6.2283001356014406E-3</v>
      </c>
      <c r="S1831" s="4">
        <f t="shared" si="116"/>
        <v>-4.4689534558891381E-2</v>
      </c>
      <c r="T1831" s="4">
        <f t="shared" si="116"/>
        <v>-2.9208463546608904E-2</v>
      </c>
      <c r="U1831" s="35"/>
      <c r="V1831" s="35"/>
      <c r="W1831" s="35"/>
      <c r="X1831" s="35"/>
    </row>
    <row r="1832" spans="4:24" x14ac:dyDescent="0.3">
      <c r="D1832" s="23">
        <v>42240</v>
      </c>
      <c r="E1832" s="5">
        <v>162.25498999999999</v>
      </c>
      <c r="F1832" s="28">
        <v>64.76679</v>
      </c>
      <c r="G1832" s="28">
        <v>110.53</v>
      </c>
      <c r="H1832" s="28">
        <v>91.961150000000004</v>
      </c>
      <c r="I1832" s="28">
        <v>84.168030000000002</v>
      </c>
      <c r="J1832" s="29"/>
      <c r="K1832" s="29"/>
      <c r="L1832" s="29"/>
      <c r="M1832" s="29"/>
      <c r="N1832" s="29"/>
      <c r="P1832" s="4">
        <f t="shared" si="116"/>
        <v>-4.3019053022243903E-2</v>
      </c>
      <c r="Q1832" s="4">
        <f t="shared" si="116"/>
        <v>-2.4345934700403774E-4</v>
      </c>
      <c r="R1832" s="4">
        <f t="shared" si="116"/>
        <v>-5.4137098746910887E-3</v>
      </c>
      <c r="S1832" s="4">
        <f t="shared" si="116"/>
        <v>-3.9236438733870227E-2</v>
      </c>
      <c r="T1832" s="4">
        <f t="shared" si="116"/>
        <v>-4.1033990791391535E-2</v>
      </c>
      <c r="U1832" s="35"/>
      <c r="V1832" s="35"/>
      <c r="W1832" s="35"/>
      <c r="X1832" s="35"/>
    </row>
    <row r="1833" spans="4:24" x14ac:dyDescent="0.3">
      <c r="D1833" s="23">
        <v>42241</v>
      </c>
      <c r="E1833" s="5">
        <v>160.345551</v>
      </c>
      <c r="F1833" s="28">
        <v>64.553600000000003</v>
      </c>
      <c r="G1833" s="28">
        <v>109.16</v>
      </c>
      <c r="H1833" s="28">
        <v>91.615589999999997</v>
      </c>
      <c r="I1833" s="28">
        <v>83.164410000000004</v>
      </c>
      <c r="J1833" s="29"/>
      <c r="K1833" s="29"/>
      <c r="L1833" s="29"/>
      <c r="M1833" s="29"/>
      <c r="N1833" s="29"/>
      <c r="P1833" s="4">
        <f t="shared" si="116"/>
        <v>-1.1837929921324026E-2</v>
      </c>
      <c r="Q1833" s="4">
        <f t="shared" si="116"/>
        <v>-3.2970855273218055E-3</v>
      </c>
      <c r="R1833" s="4">
        <f t="shared" si="116"/>
        <v>-1.2472281482726381E-2</v>
      </c>
      <c r="S1833" s="4">
        <f t="shared" si="116"/>
        <v>-3.7647515490826212E-3</v>
      </c>
      <c r="T1833" s="4">
        <f t="shared" si="116"/>
        <v>-1.1995666049134662E-2</v>
      </c>
      <c r="U1833" s="35"/>
      <c r="V1833" s="35"/>
      <c r="W1833" s="35"/>
      <c r="X1833" s="35"/>
    </row>
    <row r="1834" spans="4:24" x14ac:dyDescent="0.3">
      <c r="D1834" s="23">
        <v>42242</v>
      </c>
      <c r="E1834" s="5">
        <v>166.50183100000001</v>
      </c>
      <c r="F1834" s="28">
        <v>64.277180000000001</v>
      </c>
      <c r="G1834" s="28">
        <v>107.67</v>
      </c>
      <c r="H1834" s="28">
        <v>96.229519999999994</v>
      </c>
      <c r="I1834" s="28">
        <v>86.183880000000002</v>
      </c>
      <c r="J1834" s="29"/>
      <c r="K1834" s="29"/>
      <c r="L1834" s="29"/>
      <c r="M1834" s="29"/>
      <c r="N1834" s="29"/>
      <c r="P1834" s="4">
        <f t="shared" si="116"/>
        <v>3.7675126159375204E-2</v>
      </c>
      <c r="Q1834" s="4">
        <f t="shared" si="116"/>
        <v>-4.2912171171966378E-3</v>
      </c>
      <c r="R1834" s="4">
        <f t="shared" si="116"/>
        <v>-1.374370201251207E-2</v>
      </c>
      <c r="S1834" s="4">
        <f t="shared" si="116"/>
        <v>4.9134717601551824E-2</v>
      </c>
      <c r="T1834" s="4">
        <f t="shared" si="116"/>
        <v>3.566366133432286E-2</v>
      </c>
      <c r="U1834" s="35"/>
      <c r="V1834" s="35"/>
      <c r="W1834" s="35"/>
      <c r="X1834" s="35"/>
    </row>
    <row r="1835" spans="4:24" x14ac:dyDescent="0.3">
      <c r="D1835" s="23">
        <v>42243</v>
      </c>
      <c r="E1835" s="5">
        <v>170.62033099999999</v>
      </c>
      <c r="F1835" s="28">
        <v>64.364050000000006</v>
      </c>
      <c r="G1835" s="28">
        <v>107.73</v>
      </c>
      <c r="H1835" s="28">
        <v>98.667240000000007</v>
      </c>
      <c r="I1835" s="28">
        <v>88.268360000000001</v>
      </c>
      <c r="J1835" s="29"/>
      <c r="K1835" s="29"/>
      <c r="L1835" s="29"/>
      <c r="M1835" s="29"/>
      <c r="N1835" s="29"/>
      <c r="P1835" s="4">
        <f t="shared" si="116"/>
        <v>2.4434495105227029E-2</v>
      </c>
      <c r="Q1835" s="4">
        <f t="shared" si="116"/>
        <v>1.3505780876734565E-3</v>
      </c>
      <c r="R1835" s="4">
        <f t="shared" si="116"/>
        <v>5.5710307847556479E-4</v>
      </c>
      <c r="S1835" s="4">
        <f t="shared" si="116"/>
        <v>2.501680514347468E-2</v>
      </c>
      <c r="T1835" s="4">
        <f t="shared" si="116"/>
        <v>2.3898566279648988E-2</v>
      </c>
      <c r="U1835" s="35"/>
      <c r="V1835" s="35"/>
      <c r="W1835" s="35"/>
      <c r="X1835" s="35"/>
    </row>
    <row r="1836" spans="4:24" x14ac:dyDescent="0.3">
      <c r="D1836" s="23">
        <v>42244</v>
      </c>
      <c r="E1836" s="5">
        <v>170.62886</v>
      </c>
      <c r="F1836" s="28">
        <v>64.395619999999994</v>
      </c>
      <c r="G1836" s="28">
        <v>108.7</v>
      </c>
      <c r="H1836" s="28">
        <v>98.648560000000003</v>
      </c>
      <c r="I1836" s="28">
        <v>88.336969999999994</v>
      </c>
      <c r="J1836" s="29"/>
      <c r="K1836" s="29"/>
      <c r="L1836" s="29"/>
      <c r="M1836" s="29"/>
      <c r="N1836" s="29"/>
      <c r="P1836" s="4">
        <f t="shared" si="116"/>
        <v>4.9986931701006641E-5</v>
      </c>
      <c r="Q1836" s="4">
        <f t="shared" si="116"/>
        <v>4.9037094662649481E-4</v>
      </c>
      <c r="R1836" s="4">
        <f t="shared" si="116"/>
        <v>8.9636972210626505E-3</v>
      </c>
      <c r="S1836" s="4">
        <f t="shared" si="116"/>
        <v>-1.8934114810687419E-4</v>
      </c>
      <c r="T1836" s="4">
        <f t="shared" si="116"/>
        <v>7.7698678122226246E-4</v>
      </c>
      <c r="U1836" s="35"/>
      <c r="V1836" s="35"/>
      <c r="W1836" s="35"/>
      <c r="X1836" s="35"/>
    </row>
    <row r="1837" spans="4:24" x14ac:dyDescent="0.3">
      <c r="D1837" s="23">
        <v>42247</v>
      </c>
      <c r="E1837" s="5">
        <v>169.250336</v>
      </c>
      <c r="F1837" s="28">
        <v>64.308790000000002</v>
      </c>
      <c r="G1837" s="28">
        <v>108.82</v>
      </c>
      <c r="H1837" s="28">
        <v>97.425020000000004</v>
      </c>
      <c r="I1837" s="28">
        <v>87.676479999999998</v>
      </c>
      <c r="J1837" s="29"/>
      <c r="K1837" s="29"/>
      <c r="L1837" s="29"/>
      <c r="M1837" s="29"/>
      <c r="N1837" s="29"/>
      <c r="P1837" s="4">
        <f t="shared" si="116"/>
        <v>-8.1118913745921398E-3</v>
      </c>
      <c r="Q1837" s="4">
        <f t="shared" si="116"/>
        <v>-1.3492935195227557E-3</v>
      </c>
      <c r="R1837" s="4">
        <f t="shared" si="116"/>
        <v>1.1033469306154511E-3</v>
      </c>
      <c r="S1837" s="4">
        <f t="shared" si="116"/>
        <v>-1.2480578790902599E-2</v>
      </c>
      <c r="T1837" s="4">
        <f t="shared" si="116"/>
        <v>-7.5050298735475423E-3</v>
      </c>
      <c r="U1837" s="35"/>
      <c r="V1837" s="35"/>
      <c r="W1837" s="35"/>
      <c r="X1837" s="35"/>
    </row>
    <row r="1838" spans="4:24" x14ac:dyDescent="0.3">
      <c r="D1838" s="23">
        <v>42248</v>
      </c>
      <c r="E1838" s="5">
        <v>164.198624</v>
      </c>
      <c r="F1838" s="28">
        <v>64.465450000000004</v>
      </c>
      <c r="G1838" s="28">
        <v>109.2</v>
      </c>
      <c r="H1838" s="28">
        <v>94.380200000000002</v>
      </c>
      <c r="I1838" s="28">
        <v>85.103020000000001</v>
      </c>
      <c r="J1838" s="29"/>
      <c r="K1838" s="29"/>
      <c r="L1838" s="29"/>
      <c r="M1838" s="29"/>
      <c r="N1838" s="29"/>
      <c r="P1838" s="4">
        <f t="shared" si="116"/>
        <v>-3.0302080060510411E-2</v>
      </c>
      <c r="Q1838" s="4">
        <f t="shared" si="116"/>
        <v>2.4330965150337731E-3</v>
      </c>
      <c r="R1838" s="4">
        <f t="shared" si="116"/>
        <v>3.485922253025458E-3</v>
      </c>
      <c r="S1838" s="4">
        <f t="shared" si="116"/>
        <v>-3.1751751121845057E-2</v>
      </c>
      <c r="T1838" s="4">
        <f t="shared" si="116"/>
        <v>-2.9791153797201351E-2</v>
      </c>
      <c r="U1838" s="35"/>
      <c r="V1838" s="35"/>
      <c r="W1838" s="35"/>
      <c r="X1838" s="35"/>
    </row>
    <row r="1839" spans="4:24" x14ac:dyDescent="0.3">
      <c r="D1839" s="23">
        <v>42249</v>
      </c>
      <c r="E1839" s="5">
        <v>167.31527700000001</v>
      </c>
      <c r="F1839" s="28">
        <v>64.417990000000003</v>
      </c>
      <c r="G1839" s="28">
        <v>108.62</v>
      </c>
      <c r="H1839" s="28">
        <v>97.042090000000002</v>
      </c>
      <c r="I1839" s="28">
        <v>86.707149999999999</v>
      </c>
      <c r="J1839" s="29"/>
      <c r="K1839" s="29"/>
      <c r="L1839" s="29"/>
      <c r="M1839" s="29"/>
      <c r="N1839" s="29"/>
      <c r="P1839" s="4">
        <f t="shared" si="116"/>
        <v>1.8803101867951148E-2</v>
      </c>
      <c r="Q1839" s="4">
        <f t="shared" si="116"/>
        <v>-7.3647944445306133E-4</v>
      </c>
      <c r="R1839" s="4">
        <f t="shared" si="116"/>
        <v>-5.3255107041054314E-3</v>
      </c>
      <c r="S1839" s="4">
        <f t="shared" si="116"/>
        <v>2.7813496525146593E-2</v>
      </c>
      <c r="T1839" s="4">
        <f t="shared" si="116"/>
        <v>1.8673826056373761E-2</v>
      </c>
      <c r="U1839" s="35"/>
      <c r="V1839" s="35"/>
      <c r="W1839" s="35"/>
      <c r="X1839" s="35"/>
    </row>
    <row r="1840" spans="4:24" x14ac:dyDescent="0.3">
      <c r="D1840" s="23">
        <v>42250</v>
      </c>
      <c r="E1840" s="5">
        <v>167.435104</v>
      </c>
      <c r="F1840" s="28">
        <v>64.465450000000004</v>
      </c>
      <c r="G1840" s="28">
        <v>107.84</v>
      </c>
      <c r="H1840" s="28">
        <v>96.565759999999997</v>
      </c>
      <c r="I1840" s="28">
        <v>86.810079999999999</v>
      </c>
      <c r="J1840" s="29"/>
      <c r="K1840" s="29"/>
      <c r="L1840" s="29"/>
      <c r="M1840" s="29"/>
      <c r="N1840" s="29"/>
      <c r="P1840" s="4">
        <f t="shared" si="116"/>
        <v>7.1591855853931567E-4</v>
      </c>
      <c r="Q1840" s="4">
        <f t="shared" si="116"/>
        <v>7.3647944445298229E-4</v>
      </c>
      <c r="R1840" s="4">
        <f t="shared" si="116"/>
        <v>-7.2069054427023743E-3</v>
      </c>
      <c r="S1840" s="4">
        <f t="shared" si="116"/>
        <v>-4.9205748741804186E-3</v>
      </c>
      <c r="T1840" s="4">
        <f t="shared" si="116"/>
        <v>1.1863952885038072E-3</v>
      </c>
      <c r="U1840" s="35"/>
      <c r="V1840" s="35"/>
      <c r="W1840" s="35"/>
      <c r="X1840" s="35"/>
    </row>
    <row r="1841" spans="4:24" x14ac:dyDescent="0.3">
      <c r="D1841" s="23">
        <v>42251</v>
      </c>
      <c r="E1841" s="5">
        <v>164.90074200000001</v>
      </c>
      <c r="F1841" s="28">
        <v>64.623720000000006</v>
      </c>
      <c r="G1841" s="28">
        <v>107.49</v>
      </c>
      <c r="H1841" s="28">
        <v>95.416939999999997</v>
      </c>
      <c r="I1841" s="28">
        <v>85.574839999999995</v>
      </c>
      <c r="J1841" s="29"/>
      <c r="K1841" s="29"/>
      <c r="L1841" s="29"/>
      <c r="M1841" s="29"/>
      <c r="N1841" s="29"/>
      <c r="P1841" s="4">
        <f t="shared" si="116"/>
        <v>-1.5252108133129506E-2</v>
      </c>
      <c r="Q1841" s="4">
        <f t="shared" si="116"/>
        <v>2.4521046855292064E-3</v>
      </c>
      <c r="R1841" s="4">
        <f t="shared" si="116"/>
        <v>-3.2508271790248075E-3</v>
      </c>
      <c r="S1841" s="4">
        <f t="shared" si="116"/>
        <v>-1.1968096214932843E-2</v>
      </c>
      <c r="T1841" s="4">
        <f t="shared" si="116"/>
        <v>-1.433142924654464E-2</v>
      </c>
      <c r="U1841" s="35"/>
      <c r="V1841" s="35"/>
      <c r="W1841" s="35"/>
      <c r="X1841" s="35"/>
    </row>
    <row r="1842" spans="4:24" x14ac:dyDescent="0.3">
      <c r="D1842" s="23">
        <v>42255</v>
      </c>
      <c r="E1842" s="5">
        <v>169.04480000000001</v>
      </c>
      <c r="F1842" s="28">
        <v>64.465450000000004</v>
      </c>
      <c r="G1842" s="28">
        <v>107.52</v>
      </c>
      <c r="H1842" s="28">
        <v>98.106849999999994</v>
      </c>
      <c r="I1842" s="28">
        <v>87.736530000000002</v>
      </c>
      <c r="J1842" s="29"/>
      <c r="K1842" s="29"/>
      <c r="L1842" s="29"/>
      <c r="M1842" s="29"/>
      <c r="N1842" s="29"/>
      <c r="P1842" s="4">
        <f t="shared" si="116"/>
        <v>2.4820039298437905E-2</v>
      </c>
      <c r="Q1842" s="4">
        <f t="shared" si="116"/>
        <v>-2.4521046855292528E-3</v>
      </c>
      <c r="R1842" s="4">
        <f t="shared" si="116"/>
        <v>2.7905678986725485E-4</v>
      </c>
      <c r="S1842" s="4">
        <f t="shared" si="116"/>
        <v>2.7801060015929975E-2</v>
      </c>
      <c r="T1842" s="4">
        <f t="shared" si="116"/>
        <v>2.4947031579920145E-2</v>
      </c>
      <c r="U1842" s="35"/>
      <c r="V1842" s="35"/>
      <c r="W1842" s="35"/>
      <c r="X1842" s="35"/>
    </row>
    <row r="1843" spans="4:24" x14ac:dyDescent="0.3">
      <c r="D1843" s="23">
        <v>42256</v>
      </c>
      <c r="E1843" s="5">
        <v>166.784424</v>
      </c>
      <c r="F1843" s="28">
        <v>64.449619999999996</v>
      </c>
      <c r="G1843" s="28">
        <v>106.13</v>
      </c>
      <c r="H1843" s="28">
        <v>97.004720000000006</v>
      </c>
      <c r="I1843" s="28">
        <v>86.535579999999996</v>
      </c>
      <c r="J1843" s="29"/>
      <c r="K1843" s="29"/>
      <c r="L1843" s="29"/>
      <c r="M1843" s="29"/>
      <c r="N1843" s="29"/>
      <c r="P1843" s="4">
        <f t="shared" si="116"/>
        <v>-1.3461664281275773E-2</v>
      </c>
      <c r="Q1843" s="4">
        <f t="shared" si="116"/>
        <v>-2.4558804613873344E-4</v>
      </c>
      <c r="R1843" s="4">
        <f t="shared" si="116"/>
        <v>-1.301211900110835E-2</v>
      </c>
      <c r="S1843" s="4">
        <f t="shared" si="116"/>
        <v>-1.1297553727639735E-2</v>
      </c>
      <c r="T1843" s="4">
        <f t="shared" si="116"/>
        <v>-1.3782687444661438E-2</v>
      </c>
      <c r="U1843" s="35"/>
      <c r="V1843" s="35"/>
      <c r="W1843" s="35"/>
      <c r="X1843" s="35"/>
    </row>
    <row r="1844" spans="4:24" x14ac:dyDescent="0.3">
      <c r="D1844" s="23">
        <v>42257</v>
      </c>
      <c r="E1844" s="5">
        <v>167.69203200000001</v>
      </c>
      <c r="F1844" s="28">
        <v>64.315129999999996</v>
      </c>
      <c r="G1844" s="28">
        <v>106.38</v>
      </c>
      <c r="H1844" s="28">
        <v>98.060149999999993</v>
      </c>
      <c r="I1844" s="28">
        <v>86.981639999999999</v>
      </c>
      <c r="J1844" s="29"/>
      <c r="K1844" s="29"/>
      <c r="L1844" s="29"/>
      <c r="M1844" s="29"/>
      <c r="N1844" s="29"/>
      <c r="P1844" s="4">
        <f t="shared" si="116"/>
        <v>5.4270500141714731E-3</v>
      </c>
      <c r="Q1844" s="4">
        <f t="shared" si="116"/>
        <v>-2.0889264943270273E-3</v>
      </c>
      <c r="R1844" s="4">
        <f t="shared" si="116"/>
        <v>2.3528315404403319E-3</v>
      </c>
      <c r="S1844" s="4">
        <f t="shared" si="116"/>
        <v>1.082142878427794E-2</v>
      </c>
      <c r="T1844" s="4">
        <f t="shared" si="116"/>
        <v>5.141403056092635E-3</v>
      </c>
      <c r="U1844" s="35"/>
      <c r="V1844" s="35"/>
      <c r="W1844" s="35"/>
      <c r="X1844" s="35"/>
    </row>
    <row r="1845" spans="4:24" x14ac:dyDescent="0.3">
      <c r="D1845" s="23">
        <v>42258</v>
      </c>
      <c r="E1845" s="5">
        <v>168.45404099999999</v>
      </c>
      <c r="F1845" s="28">
        <v>64.449619999999996</v>
      </c>
      <c r="G1845" s="28">
        <v>106.16</v>
      </c>
      <c r="H1845" s="28">
        <v>98.601849999999999</v>
      </c>
      <c r="I1845" s="28">
        <v>87.376249999999999</v>
      </c>
      <c r="J1845" s="29"/>
      <c r="K1845" s="29"/>
      <c r="L1845" s="29"/>
      <c r="M1845" s="29"/>
      <c r="N1845" s="29"/>
      <c r="P1845" s="4">
        <f t="shared" ref="P1845:T1860" si="117">LN(E1845/E1844)</f>
        <v>4.5338045956099943E-3</v>
      </c>
      <c r="Q1845" s="4">
        <f t="shared" si="117"/>
        <v>2.0889264943269575E-3</v>
      </c>
      <c r="R1845" s="4">
        <f t="shared" si="117"/>
        <v>-2.070199290219463E-3</v>
      </c>
      <c r="S1845" s="4">
        <f t="shared" si="117"/>
        <v>5.5089582124317939E-3</v>
      </c>
      <c r="T1845" s="4">
        <f t="shared" si="117"/>
        <v>4.526444702372236E-3</v>
      </c>
      <c r="U1845" s="35"/>
      <c r="V1845" s="35"/>
      <c r="W1845" s="35"/>
      <c r="X1845" s="35"/>
    </row>
    <row r="1846" spans="4:24" x14ac:dyDescent="0.3">
      <c r="D1846" s="23">
        <v>42261</v>
      </c>
      <c r="E1846" s="5">
        <v>167.82896400000001</v>
      </c>
      <c r="F1846" s="28">
        <v>64.465450000000004</v>
      </c>
      <c r="G1846" s="28">
        <v>106.22</v>
      </c>
      <c r="H1846" s="28">
        <v>98.302980000000005</v>
      </c>
      <c r="I1846" s="28">
        <v>87.041690000000003</v>
      </c>
      <c r="J1846" s="29"/>
      <c r="K1846" s="29"/>
      <c r="L1846" s="29"/>
      <c r="M1846" s="29"/>
      <c r="N1846" s="29"/>
      <c r="P1846" s="4">
        <f t="shared" si="117"/>
        <v>-3.7175694911907218E-3</v>
      </c>
      <c r="Q1846" s="4">
        <f t="shared" si="117"/>
        <v>2.4558804613878299E-4</v>
      </c>
      <c r="R1846" s="4">
        <f t="shared" si="117"/>
        <v>5.6502497030095798E-4</v>
      </c>
      <c r="S1846" s="4">
        <f t="shared" si="117"/>
        <v>-3.0356820552986962E-3</v>
      </c>
      <c r="T1846" s="4">
        <f t="shared" si="117"/>
        <v>-3.8363073238559002E-3</v>
      </c>
      <c r="U1846" s="35"/>
      <c r="V1846" s="35"/>
      <c r="W1846" s="35"/>
      <c r="X1846" s="35"/>
    </row>
    <row r="1847" spans="4:24" x14ac:dyDescent="0.3">
      <c r="D1847" s="23">
        <v>42262</v>
      </c>
      <c r="E1847" s="5">
        <v>169.926773</v>
      </c>
      <c r="F1847" s="28">
        <v>64.196430000000007</v>
      </c>
      <c r="G1847" s="28">
        <v>105.9</v>
      </c>
      <c r="H1847" s="28">
        <v>99.46114</v>
      </c>
      <c r="I1847" s="28">
        <v>88.139690000000002</v>
      </c>
      <c r="J1847" s="29"/>
      <c r="K1847" s="29"/>
      <c r="L1847" s="29"/>
      <c r="M1847" s="29"/>
      <c r="N1847" s="29"/>
      <c r="P1847" s="4">
        <f t="shared" si="117"/>
        <v>1.242220780530595E-2</v>
      </c>
      <c r="Q1847" s="4">
        <f t="shared" si="117"/>
        <v>-4.181819697381863E-3</v>
      </c>
      <c r="R1847" s="4">
        <f t="shared" si="117"/>
        <v>-3.0171623868922486E-3</v>
      </c>
      <c r="S1847" s="4">
        <f t="shared" si="117"/>
        <v>1.171267306037522E-2</v>
      </c>
      <c r="T1847" s="4">
        <f t="shared" si="117"/>
        <v>1.2535742996388471E-2</v>
      </c>
      <c r="U1847" s="35"/>
      <c r="V1847" s="35"/>
      <c r="W1847" s="35"/>
      <c r="X1847" s="35"/>
    </row>
    <row r="1848" spans="4:24" x14ac:dyDescent="0.3">
      <c r="D1848" s="23">
        <v>42263</v>
      </c>
      <c r="E1848" s="5">
        <v>171.399475</v>
      </c>
      <c r="F1848" s="28">
        <v>64.156819999999996</v>
      </c>
      <c r="G1848" s="28">
        <v>107.31</v>
      </c>
      <c r="H1848" s="28">
        <v>100.0215</v>
      </c>
      <c r="I1848" s="28">
        <v>88.885990000000007</v>
      </c>
      <c r="J1848" s="29"/>
      <c r="K1848" s="29"/>
      <c r="L1848" s="29"/>
      <c r="M1848" s="29"/>
      <c r="N1848" s="29"/>
      <c r="P1848" s="4">
        <f t="shared" si="117"/>
        <v>8.6293459552121195E-3</v>
      </c>
      <c r="Q1848" s="4">
        <f t="shared" si="117"/>
        <v>-6.1720293420586183E-4</v>
      </c>
      <c r="R1848" s="4">
        <f t="shared" si="117"/>
        <v>1.3226589331675202E-2</v>
      </c>
      <c r="S1848" s="4">
        <f t="shared" si="117"/>
        <v>5.6181477637693295E-3</v>
      </c>
      <c r="T1848" s="4">
        <f t="shared" si="117"/>
        <v>8.4315950240886877E-3</v>
      </c>
      <c r="U1848" s="35"/>
      <c r="V1848" s="35"/>
      <c r="W1848" s="35"/>
      <c r="X1848" s="35"/>
    </row>
    <row r="1849" spans="4:24" x14ac:dyDescent="0.3">
      <c r="D1849" s="23">
        <v>42264</v>
      </c>
      <c r="E1849" s="5">
        <v>171.01414500000001</v>
      </c>
      <c r="F1849" s="28">
        <v>64.520870000000002</v>
      </c>
      <c r="G1849" s="28">
        <v>108.41</v>
      </c>
      <c r="H1849" s="28">
        <v>100.05889999999999</v>
      </c>
      <c r="I1849" s="28">
        <v>88.765879999999996</v>
      </c>
      <c r="J1849" s="29"/>
      <c r="K1849" s="29"/>
      <c r="L1849" s="29"/>
      <c r="M1849" s="29"/>
      <c r="N1849" s="29"/>
      <c r="P1849" s="4">
        <f t="shared" si="117"/>
        <v>-2.2506707686336261E-3</v>
      </c>
      <c r="Q1849" s="4">
        <f t="shared" si="117"/>
        <v>5.6583386181245487E-3</v>
      </c>
      <c r="R1849" s="4">
        <f t="shared" si="117"/>
        <v>1.0198493734164241E-2</v>
      </c>
      <c r="S1849" s="4">
        <f t="shared" si="117"/>
        <v>3.7384971676966938E-4</v>
      </c>
      <c r="T1849" s="4">
        <f t="shared" si="117"/>
        <v>-1.3521953729064866E-3</v>
      </c>
      <c r="U1849" s="35"/>
      <c r="V1849" s="35"/>
      <c r="W1849" s="35"/>
      <c r="X1849" s="35"/>
    </row>
    <row r="1850" spans="4:24" x14ac:dyDescent="0.3">
      <c r="D1850" s="23">
        <v>42265</v>
      </c>
      <c r="E1850" s="5">
        <v>168.21954299999999</v>
      </c>
      <c r="F1850" s="28">
        <v>64.702839999999995</v>
      </c>
      <c r="G1850" s="28">
        <v>109.21</v>
      </c>
      <c r="H1850" s="28">
        <v>98.635769999999994</v>
      </c>
      <c r="I1850" s="28">
        <v>87.359080000000006</v>
      </c>
      <c r="J1850" s="29"/>
      <c r="K1850" s="29"/>
      <c r="L1850" s="29"/>
      <c r="M1850" s="29"/>
      <c r="N1850" s="29"/>
      <c r="P1850" s="4">
        <f t="shared" si="117"/>
        <v>-1.6476342529789467E-2</v>
      </c>
      <c r="Q1850" s="4">
        <f t="shared" si="117"/>
        <v>2.8163580859923774E-3</v>
      </c>
      <c r="R1850" s="4">
        <f t="shared" si="117"/>
        <v>7.3522985364365559E-3</v>
      </c>
      <c r="S1850" s="4">
        <f t="shared" si="117"/>
        <v>-1.4325037870774606E-2</v>
      </c>
      <c r="T1850" s="4">
        <f t="shared" si="117"/>
        <v>-1.5975361121391349E-2</v>
      </c>
      <c r="U1850" s="35"/>
      <c r="V1850" s="35"/>
      <c r="W1850" s="35"/>
      <c r="X1850" s="35"/>
    </row>
    <row r="1851" spans="4:24" x14ac:dyDescent="0.3">
      <c r="D1851" s="23">
        <v>42268</v>
      </c>
      <c r="E1851" s="5">
        <v>169.088852</v>
      </c>
      <c r="F1851" s="28">
        <v>64.465450000000004</v>
      </c>
      <c r="G1851" s="28">
        <v>108.53</v>
      </c>
      <c r="H1851" s="28">
        <v>98.944730000000007</v>
      </c>
      <c r="I1851" s="28">
        <v>87.71078</v>
      </c>
      <c r="J1851" s="29"/>
      <c r="K1851" s="29"/>
      <c r="L1851" s="29"/>
      <c r="M1851" s="29"/>
      <c r="N1851" s="29"/>
      <c r="P1851" s="4">
        <f t="shared" si="117"/>
        <v>5.1543983934136039E-3</v>
      </c>
      <c r="Q1851" s="4">
        <f t="shared" si="117"/>
        <v>-3.6756740725293747E-3</v>
      </c>
      <c r="R1851" s="4">
        <f t="shared" si="117"/>
        <v>-6.2460017517134156E-3</v>
      </c>
      <c r="S1851" s="4">
        <f t="shared" si="117"/>
        <v>3.1274366835242397E-3</v>
      </c>
      <c r="T1851" s="4">
        <f t="shared" si="117"/>
        <v>4.0178300607891628E-3</v>
      </c>
      <c r="U1851" s="35"/>
      <c r="V1851" s="35"/>
      <c r="W1851" s="35"/>
      <c r="X1851" s="35"/>
    </row>
    <row r="1852" spans="4:24" x14ac:dyDescent="0.3">
      <c r="D1852" s="23">
        <v>42269</v>
      </c>
      <c r="E1852" s="5">
        <v>166.89413500000001</v>
      </c>
      <c r="F1852" s="28">
        <v>64.584190000000007</v>
      </c>
      <c r="G1852" s="28">
        <v>107.79</v>
      </c>
      <c r="H1852" s="28">
        <v>97.465440000000001</v>
      </c>
      <c r="I1852" s="28">
        <v>86.535579999999996</v>
      </c>
      <c r="J1852" s="29"/>
      <c r="K1852" s="29"/>
      <c r="L1852" s="29"/>
      <c r="M1852" s="29"/>
      <c r="N1852" s="29"/>
      <c r="P1852" s="4">
        <f t="shared" si="117"/>
        <v>-1.3064638996016158E-2</v>
      </c>
      <c r="Q1852" s="4">
        <f t="shared" si="117"/>
        <v>1.8402226229940657E-3</v>
      </c>
      <c r="R1852" s="4">
        <f t="shared" si="117"/>
        <v>-6.8417426643865046E-3</v>
      </c>
      <c r="S1852" s="4">
        <f t="shared" si="117"/>
        <v>-1.506355777942321E-2</v>
      </c>
      <c r="T1852" s="4">
        <f t="shared" si="117"/>
        <v>-1.348915202157751E-2</v>
      </c>
      <c r="U1852" s="35"/>
      <c r="V1852" s="35"/>
      <c r="W1852" s="35"/>
      <c r="X1852" s="35"/>
    </row>
    <row r="1853" spans="4:24" x14ac:dyDescent="0.3">
      <c r="D1853" s="23">
        <v>42270</v>
      </c>
      <c r="E1853" s="5">
        <v>166.62725800000001</v>
      </c>
      <c r="F1853" s="28">
        <v>64.584190000000007</v>
      </c>
      <c r="G1853" s="28">
        <v>108.22</v>
      </c>
      <c r="H1853" s="28">
        <v>97.540319999999994</v>
      </c>
      <c r="I1853" s="28">
        <v>86.36403</v>
      </c>
      <c r="J1853" s="29"/>
      <c r="K1853" s="29"/>
      <c r="L1853" s="29"/>
      <c r="M1853" s="29"/>
      <c r="N1853" s="29"/>
      <c r="P1853" s="4">
        <f t="shared" si="117"/>
        <v>-1.60035945256048E-3</v>
      </c>
      <c r="Q1853" s="4">
        <f t="shared" si="117"/>
        <v>0</v>
      </c>
      <c r="R1853" s="4">
        <f t="shared" si="117"/>
        <v>3.9813024210521193E-3</v>
      </c>
      <c r="S1853" s="4">
        <f t="shared" si="117"/>
        <v>7.6797735287703844E-4</v>
      </c>
      <c r="T1853" s="4">
        <f t="shared" si="117"/>
        <v>-1.9843891642570399E-3</v>
      </c>
      <c r="U1853" s="35"/>
      <c r="V1853" s="35"/>
      <c r="W1853" s="35"/>
      <c r="X1853" s="35"/>
    </row>
    <row r="1854" spans="4:24" x14ac:dyDescent="0.3">
      <c r="D1854" s="23">
        <v>42271</v>
      </c>
      <c r="E1854" s="5">
        <v>166.024765</v>
      </c>
      <c r="F1854" s="28">
        <v>64.607860000000002</v>
      </c>
      <c r="G1854" s="28">
        <v>110.49</v>
      </c>
      <c r="H1854" s="28">
        <v>97.184539999999998</v>
      </c>
      <c r="I1854" s="28">
        <v>86.055220000000006</v>
      </c>
      <c r="J1854" s="29"/>
      <c r="K1854" s="29"/>
      <c r="L1854" s="29"/>
      <c r="M1854" s="29"/>
      <c r="N1854" s="29"/>
      <c r="P1854" s="4">
        <f t="shared" si="117"/>
        <v>-3.622365818605366E-3</v>
      </c>
      <c r="Q1854" s="4">
        <f t="shared" si="117"/>
        <v>3.6643122026238604E-4</v>
      </c>
      <c r="R1854" s="4">
        <f t="shared" si="117"/>
        <v>2.0758826910494379E-2</v>
      </c>
      <c r="S1854" s="4">
        <f t="shared" si="117"/>
        <v>-3.6541856637745981E-3</v>
      </c>
      <c r="T1854" s="4">
        <f t="shared" si="117"/>
        <v>-3.5820864573283063E-3</v>
      </c>
      <c r="U1854" s="35"/>
      <c r="V1854" s="35"/>
      <c r="W1854" s="35"/>
      <c r="X1854" s="35"/>
    </row>
    <row r="1855" spans="4:24" x14ac:dyDescent="0.3">
      <c r="D1855" s="23">
        <v>42272</v>
      </c>
      <c r="E1855" s="5">
        <v>165.981796</v>
      </c>
      <c r="F1855" s="28">
        <v>64.489199999999997</v>
      </c>
      <c r="G1855" s="28">
        <v>109.81</v>
      </c>
      <c r="H1855" s="28">
        <v>96.360619999999997</v>
      </c>
      <c r="I1855" s="28">
        <v>85.881050000000002</v>
      </c>
      <c r="J1855" s="29"/>
      <c r="K1855" s="29"/>
      <c r="L1855" s="29"/>
      <c r="M1855" s="29"/>
      <c r="N1855" s="29"/>
      <c r="P1855" s="4">
        <f t="shared" si="117"/>
        <v>-2.5884428374242576E-4</v>
      </c>
      <c r="Q1855" s="4">
        <f t="shared" si="117"/>
        <v>-1.8383072924569573E-3</v>
      </c>
      <c r="R1855" s="4">
        <f t="shared" si="117"/>
        <v>-6.1734195154616841E-3</v>
      </c>
      <c r="S1855" s="4">
        <f t="shared" si="117"/>
        <v>-8.5140333870664248E-3</v>
      </c>
      <c r="T1855" s="4">
        <f t="shared" si="117"/>
        <v>-2.0259839250322577E-3</v>
      </c>
      <c r="U1855" s="35"/>
      <c r="V1855" s="35"/>
      <c r="W1855" s="35"/>
      <c r="X1855" s="35"/>
    </row>
    <row r="1856" spans="4:24" x14ac:dyDescent="0.3">
      <c r="D1856" s="23">
        <v>42275</v>
      </c>
      <c r="E1856" s="5">
        <v>161.81608600000001</v>
      </c>
      <c r="F1856" s="28">
        <v>64.655379999999994</v>
      </c>
      <c r="G1856" s="28">
        <v>108.42</v>
      </c>
      <c r="H1856" s="28">
        <v>93.617360000000005</v>
      </c>
      <c r="I1856" s="28">
        <v>83.579080000000005</v>
      </c>
      <c r="J1856" s="29"/>
      <c r="K1856" s="29"/>
      <c r="L1856" s="29"/>
      <c r="M1856" s="29"/>
      <c r="N1856" s="29"/>
      <c r="P1856" s="4">
        <f t="shared" si="117"/>
        <v>-2.5417700974059463E-2</v>
      </c>
      <c r="Q1856" s="4">
        <f t="shared" si="117"/>
        <v>2.5735511582413166E-3</v>
      </c>
      <c r="R1856" s="4">
        <f t="shared" si="117"/>
        <v>-1.2739025777429714E-2</v>
      </c>
      <c r="S1856" s="4">
        <f t="shared" si="117"/>
        <v>-2.888177555946898E-2</v>
      </c>
      <c r="T1856" s="4">
        <f t="shared" si="117"/>
        <v>-2.7169949757060347E-2</v>
      </c>
      <c r="U1856" s="35"/>
      <c r="V1856" s="35"/>
      <c r="W1856" s="35"/>
      <c r="X1856" s="35"/>
    </row>
    <row r="1857" spans="4:24" x14ac:dyDescent="0.3">
      <c r="D1857" s="23">
        <v>42276</v>
      </c>
      <c r="E1857" s="5">
        <v>161.91076699999999</v>
      </c>
      <c r="F1857" s="28">
        <v>64.702839999999995</v>
      </c>
      <c r="G1857" s="28">
        <v>107.98</v>
      </c>
      <c r="H1857" s="28">
        <v>93.130520000000004</v>
      </c>
      <c r="I1857" s="28">
        <v>83.561800000000005</v>
      </c>
      <c r="J1857" s="29"/>
      <c r="K1857" s="29"/>
      <c r="L1857" s="29"/>
      <c r="M1857" s="29"/>
      <c r="N1857" s="29"/>
      <c r="P1857" s="4">
        <f t="shared" si="117"/>
        <v>5.8494376862609494E-4</v>
      </c>
      <c r="Q1857" s="4">
        <f t="shared" si="117"/>
        <v>7.3377636348862028E-4</v>
      </c>
      <c r="R1857" s="4">
        <f t="shared" si="117"/>
        <v>-4.066549042051136E-3</v>
      </c>
      <c r="S1857" s="4">
        <f t="shared" si="117"/>
        <v>-5.2138862607609996E-3</v>
      </c>
      <c r="T1857" s="4">
        <f t="shared" si="117"/>
        <v>-2.0677167742049526E-4</v>
      </c>
      <c r="U1857" s="35"/>
      <c r="V1857" s="35"/>
      <c r="W1857" s="35"/>
      <c r="X1857" s="35"/>
    </row>
    <row r="1858" spans="4:24" x14ac:dyDescent="0.3">
      <c r="D1858" s="23">
        <v>42277</v>
      </c>
      <c r="E1858" s="5">
        <v>164.93176299999999</v>
      </c>
      <c r="F1858" s="28">
        <v>64.829430000000002</v>
      </c>
      <c r="G1858" s="28">
        <v>106.86</v>
      </c>
      <c r="H1858" s="28">
        <v>95.27458</v>
      </c>
      <c r="I1858" s="28">
        <v>85.113699999999994</v>
      </c>
      <c r="J1858" s="29"/>
      <c r="K1858" s="29"/>
      <c r="L1858" s="29"/>
      <c r="M1858" s="29"/>
      <c r="N1858" s="29"/>
      <c r="P1858" s="4">
        <f t="shared" si="117"/>
        <v>1.8486468299185089E-2</v>
      </c>
      <c r="Q1858" s="4">
        <f t="shared" si="117"/>
        <v>1.9545714793928687E-3</v>
      </c>
      <c r="R1858" s="4">
        <f t="shared" si="117"/>
        <v>-1.0426458260515655E-2</v>
      </c>
      <c r="S1858" s="4">
        <f t="shared" si="117"/>
        <v>2.2761088347614828E-2</v>
      </c>
      <c r="T1858" s="4">
        <f t="shared" si="117"/>
        <v>1.8401531832606181E-2</v>
      </c>
      <c r="U1858" s="35"/>
      <c r="V1858" s="35"/>
      <c r="W1858" s="35"/>
      <c r="X1858" s="35"/>
    </row>
    <row r="1859" spans="4:24" x14ac:dyDescent="0.3">
      <c r="D1859" s="23">
        <v>42278</v>
      </c>
      <c r="E1859" s="5">
        <v>165.36210600000001</v>
      </c>
      <c r="F1859" s="28">
        <v>64.864329999999995</v>
      </c>
      <c r="G1859" s="28">
        <v>106.73</v>
      </c>
      <c r="H1859" s="28">
        <v>95.705250000000007</v>
      </c>
      <c r="I1859" s="28">
        <v>85.286180000000002</v>
      </c>
      <c r="J1859" s="29"/>
      <c r="K1859" s="29"/>
      <c r="L1859" s="29"/>
      <c r="M1859" s="29"/>
      <c r="N1859" s="29"/>
      <c r="P1859" s="4">
        <f t="shared" si="117"/>
        <v>2.6058203551646308E-3</v>
      </c>
      <c r="Q1859" s="4">
        <f t="shared" si="117"/>
        <v>5.3819090205094069E-4</v>
      </c>
      <c r="R1859" s="4">
        <f t="shared" si="117"/>
        <v>-1.2172856037516375E-3</v>
      </c>
      <c r="S1859" s="4">
        <f t="shared" si="117"/>
        <v>4.5101174299610972E-3</v>
      </c>
      <c r="T1859" s="4">
        <f t="shared" si="117"/>
        <v>2.0244152625650434E-3</v>
      </c>
      <c r="U1859" s="35"/>
      <c r="V1859" s="35"/>
      <c r="W1859" s="35"/>
      <c r="X1859" s="35"/>
    </row>
    <row r="1860" spans="4:24" x14ac:dyDescent="0.3">
      <c r="D1860" s="23">
        <v>42279</v>
      </c>
      <c r="E1860" s="5">
        <v>167.83227500000001</v>
      </c>
      <c r="F1860" s="28">
        <v>65.110110000000006</v>
      </c>
      <c r="G1860" s="28">
        <v>108.99</v>
      </c>
      <c r="H1860" s="28">
        <v>97.381190000000004</v>
      </c>
      <c r="I1860" s="28">
        <v>86.527680000000004</v>
      </c>
      <c r="J1860" s="29"/>
      <c r="K1860" s="29"/>
      <c r="L1860" s="29"/>
      <c r="M1860" s="29"/>
      <c r="N1860" s="29"/>
      <c r="P1860" s="4">
        <f t="shared" si="117"/>
        <v>1.4827466470169044E-2</v>
      </c>
      <c r="Q1860" s="4">
        <f t="shared" si="117"/>
        <v>3.7819788714870991E-3</v>
      </c>
      <c r="R1860" s="4">
        <f t="shared" si="117"/>
        <v>2.0953853975346624E-2</v>
      </c>
      <c r="S1860" s="4">
        <f t="shared" si="117"/>
        <v>1.7359914959919964E-2</v>
      </c>
      <c r="T1860" s="4">
        <f t="shared" si="117"/>
        <v>1.4451937789858293E-2</v>
      </c>
      <c r="U1860" s="35"/>
      <c r="V1860" s="35"/>
      <c r="W1860" s="35"/>
      <c r="X1860" s="35"/>
    </row>
    <row r="1861" spans="4:24" x14ac:dyDescent="0.3">
      <c r="D1861" s="23">
        <v>42282</v>
      </c>
      <c r="E1861" s="5">
        <v>170.81880200000001</v>
      </c>
      <c r="F1861" s="28">
        <v>64.85642</v>
      </c>
      <c r="G1861" s="28">
        <v>108.77</v>
      </c>
      <c r="H1861" s="28">
        <v>98.776219999999995</v>
      </c>
      <c r="I1861" s="28">
        <v>88.122720000000001</v>
      </c>
      <c r="J1861" s="29"/>
      <c r="K1861" s="29"/>
      <c r="L1861" s="29"/>
      <c r="M1861" s="29"/>
      <c r="N1861" s="29"/>
      <c r="P1861" s="4">
        <f t="shared" ref="P1861:T1876" si="118">LN(E1861/E1860)</f>
        <v>1.7638239651469306E-2</v>
      </c>
      <c r="Q1861" s="4">
        <f t="shared" si="118"/>
        <v>-3.9039331464938471E-3</v>
      </c>
      <c r="R1861" s="4">
        <f t="shared" si="118"/>
        <v>-2.0205737954614097E-3</v>
      </c>
      <c r="S1861" s="4">
        <f t="shared" si="118"/>
        <v>1.4223816676343527E-2</v>
      </c>
      <c r="T1861" s="4">
        <f t="shared" si="118"/>
        <v>1.8266025708558613E-2</v>
      </c>
      <c r="U1861" s="35"/>
      <c r="V1861" s="35"/>
      <c r="W1861" s="35"/>
      <c r="X1861" s="35"/>
    </row>
    <row r="1862" spans="4:24" x14ac:dyDescent="0.3">
      <c r="D1862" s="23">
        <v>42283</v>
      </c>
      <c r="E1862" s="5">
        <v>170.233521</v>
      </c>
      <c r="F1862" s="28">
        <v>64.943569999999994</v>
      </c>
      <c r="G1862" s="28">
        <v>109.86</v>
      </c>
      <c r="H1862" s="28">
        <v>98.308099999999996</v>
      </c>
      <c r="I1862" s="28">
        <v>87.838210000000004</v>
      </c>
      <c r="J1862" s="29"/>
      <c r="K1862" s="29"/>
      <c r="L1862" s="29"/>
      <c r="M1862" s="29"/>
      <c r="N1862" s="29"/>
      <c r="P1862" s="4">
        <f t="shared" si="118"/>
        <v>-3.4322098697676926E-3</v>
      </c>
      <c r="Q1862" s="4">
        <f t="shared" si="118"/>
        <v>1.3428354362090488E-3</v>
      </c>
      <c r="R1862" s="4">
        <f t="shared" si="118"/>
        <v>9.9712668087155436E-3</v>
      </c>
      <c r="S1862" s="4">
        <f t="shared" si="118"/>
        <v>-4.7504629524496552E-3</v>
      </c>
      <c r="T1862" s="4">
        <f t="shared" si="118"/>
        <v>-3.23378886365242E-3</v>
      </c>
      <c r="U1862" s="35"/>
      <c r="V1862" s="35"/>
      <c r="W1862" s="35"/>
      <c r="X1862" s="35"/>
    </row>
    <row r="1863" spans="4:24" x14ac:dyDescent="0.3">
      <c r="D1863" s="23">
        <v>42284</v>
      </c>
      <c r="E1863" s="5">
        <v>171.62780799999999</v>
      </c>
      <c r="F1863" s="28">
        <v>64.943569999999994</v>
      </c>
      <c r="G1863" s="28">
        <v>109.7</v>
      </c>
      <c r="H1863" s="28">
        <v>98.897930000000002</v>
      </c>
      <c r="I1863" s="28">
        <v>88.631389999999996</v>
      </c>
      <c r="J1863" s="29"/>
      <c r="K1863" s="29"/>
      <c r="L1863" s="29"/>
      <c r="M1863" s="29"/>
      <c r="N1863" s="29"/>
      <c r="P1863" s="4">
        <f t="shared" si="118"/>
        <v>8.1570778136826113E-3</v>
      </c>
      <c r="Q1863" s="4">
        <f t="shared" si="118"/>
        <v>0</v>
      </c>
      <c r="R1863" s="4">
        <f t="shared" si="118"/>
        <v>-1.4574606332897738E-3</v>
      </c>
      <c r="S1863" s="4">
        <f t="shared" si="118"/>
        <v>5.9818836048724901E-3</v>
      </c>
      <c r="T1863" s="4">
        <f t="shared" si="118"/>
        <v>8.9894842109206168E-3</v>
      </c>
      <c r="U1863" s="35"/>
      <c r="V1863" s="35"/>
      <c r="W1863" s="35"/>
      <c r="X1863" s="35"/>
    </row>
    <row r="1864" spans="4:24" x14ac:dyDescent="0.3">
      <c r="D1864" s="23">
        <v>42285</v>
      </c>
      <c r="E1864" s="5">
        <v>173.17704800000001</v>
      </c>
      <c r="F1864" s="28">
        <v>64.840509999999995</v>
      </c>
      <c r="G1864" s="28">
        <v>109.14</v>
      </c>
      <c r="H1864" s="28">
        <v>99.291150000000002</v>
      </c>
      <c r="I1864" s="28">
        <v>89.398740000000004</v>
      </c>
      <c r="J1864" s="29"/>
      <c r="K1864" s="29"/>
      <c r="L1864" s="29"/>
      <c r="M1864" s="29"/>
      <c r="N1864" s="29"/>
      <c r="P1864" s="4">
        <f t="shared" si="118"/>
        <v>8.9862448191002659E-3</v>
      </c>
      <c r="Q1864" s="4">
        <f t="shared" si="118"/>
        <v>-1.5881766340277307E-3</v>
      </c>
      <c r="R1864" s="4">
        <f t="shared" si="118"/>
        <v>-5.1179055230986988E-3</v>
      </c>
      <c r="S1864" s="4">
        <f t="shared" si="118"/>
        <v>3.9681350352215802E-3</v>
      </c>
      <c r="T1864" s="4">
        <f t="shared" si="118"/>
        <v>8.6205043158357197E-3</v>
      </c>
      <c r="U1864" s="35"/>
      <c r="V1864" s="35"/>
      <c r="W1864" s="35"/>
      <c r="X1864" s="35"/>
    </row>
    <row r="1865" spans="4:24" x14ac:dyDescent="0.3">
      <c r="D1865" s="23">
        <v>42286</v>
      </c>
      <c r="E1865" s="5">
        <v>173.28033400000001</v>
      </c>
      <c r="F1865" s="28">
        <v>64.832639999999998</v>
      </c>
      <c r="G1865" s="28">
        <v>110.87</v>
      </c>
      <c r="H1865" s="28">
        <v>99.740560000000002</v>
      </c>
      <c r="I1865" s="28">
        <v>89.51943</v>
      </c>
      <c r="J1865" s="29"/>
      <c r="K1865" s="29"/>
      <c r="L1865" s="29"/>
      <c r="M1865" s="29"/>
      <c r="N1865" s="29"/>
      <c r="P1865" s="4">
        <f t="shared" si="118"/>
        <v>5.9624074085895301E-4</v>
      </c>
      <c r="Q1865" s="4">
        <f t="shared" si="118"/>
        <v>-1.2138210585090451E-4</v>
      </c>
      <c r="R1865" s="4">
        <f t="shared" si="118"/>
        <v>1.5726882026174397E-2</v>
      </c>
      <c r="S1865" s="4">
        <f t="shared" si="118"/>
        <v>4.5159714878798872E-3</v>
      </c>
      <c r="T1865" s="4">
        <f t="shared" si="118"/>
        <v>1.349108570757212E-3</v>
      </c>
      <c r="U1865" s="35"/>
      <c r="V1865" s="35"/>
      <c r="W1865" s="35"/>
      <c r="X1865" s="35"/>
    </row>
    <row r="1866" spans="4:24" x14ac:dyDescent="0.3">
      <c r="D1866" s="23">
        <v>42289</v>
      </c>
      <c r="E1866" s="5">
        <v>173.44383199999999</v>
      </c>
      <c r="F1866" s="28">
        <v>64.943569999999994</v>
      </c>
      <c r="G1866" s="28">
        <v>111.31</v>
      </c>
      <c r="H1866" s="28">
        <v>99.984009999999998</v>
      </c>
      <c r="I1866" s="28">
        <v>89.536659999999998</v>
      </c>
      <c r="J1866" s="29"/>
      <c r="K1866" s="29"/>
      <c r="L1866" s="29"/>
      <c r="M1866" s="29"/>
      <c r="N1866" s="29"/>
      <c r="P1866" s="4">
        <f t="shared" si="118"/>
        <v>9.4310133616970103E-4</v>
      </c>
      <c r="Q1866" s="4">
        <f t="shared" si="118"/>
        <v>1.7095587398786344E-3</v>
      </c>
      <c r="R1866" s="4">
        <f t="shared" si="118"/>
        <v>3.9607577208740658E-3</v>
      </c>
      <c r="S1866" s="4">
        <f t="shared" si="118"/>
        <v>2.4378585025540437E-3</v>
      </c>
      <c r="T1866" s="4">
        <f t="shared" si="118"/>
        <v>1.9245366134348842E-4</v>
      </c>
      <c r="U1866" s="35"/>
      <c r="V1866" s="35"/>
      <c r="W1866" s="35"/>
      <c r="X1866" s="35"/>
    </row>
    <row r="1867" spans="4:24" x14ac:dyDescent="0.3">
      <c r="D1867" s="23">
        <v>42290</v>
      </c>
      <c r="E1867" s="5">
        <v>172.35079999999999</v>
      </c>
      <c r="F1867" s="28">
        <v>64.983249999999998</v>
      </c>
      <c r="G1867" s="28">
        <v>111.86</v>
      </c>
      <c r="H1867" s="28">
        <v>99.337969999999999</v>
      </c>
      <c r="I1867" s="28">
        <v>88.881420000000006</v>
      </c>
      <c r="J1867" s="29"/>
      <c r="K1867" s="29"/>
      <c r="L1867" s="29"/>
      <c r="M1867" s="29"/>
      <c r="N1867" s="29"/>
      <c r="P1867" s="4">
        <f t="shared" si="118"/>
        <v>-6.3218774336142539E-3</v>
      </c>
      <c r="Q1867" s="4">
        <f t="shared" si="118"/>
        <v>6.1080539389273393E-4</v>
      </c>
      <c r="R1867" s="4">
        <f t="shared" si="118"/>
        <v>4.9289878883074989E-3</v>
      </c>
      <c r="S1867" s="4">
        <f t="shared" si="118"/>
        <v>-6.4823986024566821E-3</v>
      </c>
      <c r="T1867" s="4">
        <f t="shared" si="118"/>
        <v>-7.34502855110695E-3</v>
      </c>
      <c r="U1867" s="35"/>
      <c r="V1867" s="35"/>
      <c r="W1867" s="35"/>
      <c r="X1867" s="35"/>
    </row>
    <row r="1868" spans="4:24" x14ac:dyDescent="0.3">
      <c r="D1868" s="23">
        <v>42291</v>
      </c>
      <c r="E1868" s="5">
        <v>171.52448999999999</v>
      </c>
      <c r="F1868" s="28">
        <v>65.221130000000002</v>
      </c>
      <c r="G1868" s="28">
        <v>113.81</v>
      </c>
      <c r="H1868" s="28">
        <v>99.178799999999995</v>
      </c>
      <c r="I1868" s="28">
        <v>88.424469999999999</v>
      </c>
      <c r="J1868" s="29"/>
      <c r="K1868" s="29"/>
      <c r="L1868" s="29"/>
      <c r="M1868" s="29"/>
      <c r="N1868" s="29"/>
      <c r="P1868" s="4">
        <f t="shared" si="118"/>
        <v>-4.8058794245062573E-3</v>
      </c>
      <c r="Q1868" s="4">
        <f t="shared" si="118"/>
        <v>3.6539518051310607E-3</v>
      </c>
      <c r="R1868" s="4">
        <f t="shared" si="118"/>
        <v>1.7282301900356602E-2</v>
      </c>
      <c r="S1868" s="4">
        <f t="shared" si="118"/>
        <v>-1.603592826026165E-3</v>
      </c>
      <c r="T1868" s="4">
        <f t="shared" si="118"/>
        <v>-5.1543805078679301E-3</v>
      </c>
      <c r="U1868" s="35"/>
      <c r="V1868" s="35"/>
      <c r="W1868" s="35"/>
      <c r="X1868" s="35"/>
    </row>
    <row r="1869" spans="4:24" x14ac:dyDescent="0.3">
      <c r="D1869" s="23">
        <v>42292</v>
      </c>
      <c r="E1869" s="5">
        <v>174.15823399999999</v>
      </c>
      <c r="F1869" s="28">
        <v>65.094250000000002</v>
      </c>
      <c r="G1869" s="28">
        <v>113.29</v>
      </c>
      <c r="H1869" s="28">
        <v>100.8079</v>
      </c>
      <c r="I1869" s="28">
        <v>89.760829999999999</v>
      </c>
      <c r="J1869" s="29"/>
      <c r="K1869" s="29"/>
      <c r="L1869" s="29"/>
      <c r="M1869" s="29"/>
      <c r="N1869" s="29"/>
      <c r="P1869" s="4">
        <f t="shared" si="118"/>
        <v>1.5238221528793387E-2</v>
      </c>
      <c r="Q1869" s="4">
        <f t="shared" si="118"/>
        <v>-1.9472765239662701E-3</v>
      </c>
      <c r="R1869" s="4">
        <f t="shared" si="118"/>
        <v>-4.579488408401243E-3</v>
      </c>
      <c r="S1869" s="4">
        <f t="shared" si="118"/>
        <v>1.6292443807896281E-2</v>
      </c>
      <c r="T1869" s="4">
        <f t="shared" si="118"/>
        <v>1.499994731866258E-2</v>
      </c>
      <c r="U1869" s="35"/>
      <c r="V1869" s="35"/>
      <c r="W1869" s="35"/>
      <c r="X1869" s="35"/>
    </row>
    <row r="1870" spans="4:24" x14ac:dyDescent="0.3">
      <c r="D1870" s="23">
        <v>42293</v>
      </c>
      <c r="E1870" s="5">
        <v>174.95002700000001</v>
      </c>
      <c r="F1870" s="28">
        <v>65.07047</v>
      </c>
      <c r="G1870" s="28">
        <v>112.49</v>
      </c>
      <c r="H1870" s="28">
        <v>101.22920000000001</v>
      </c>
      <c r="I1870" s="28">
        <v>90.105720000000005</v>
      </c>
      <c r="J1870" s="29"/>
      <c r="K1870" s="29"/>
      <c r="L1870" s="29"/>
      <c r="M1870" s="29"/>
      <c r="N1870" s="29"/>
      <c r="P1870" s="4">
        <f t="shared" si="118"/>
        <v>4.5360963696693289E-3</v>
      </c>
      <c r="Q1870" s="4">
        <f t="shared" si="118"/>
        <v>-3.6538318930911401E-4</v>
      </c>
      <c r="R1870" s="4">
        <f t="shared" si="118"/>
        <v>-7.086574080662828E-3</v>
      </c>
      <c r="S1870" s="4">
        <f t="shared" si="118"/>
        <v>4.170527201682349E-3</v>
      </c>
      <c r="T1870" s="4">
        <f t="shared" si="118"/>
        <v>3.8349590036475581E-3</v>
      </c>
      <c r="U1870" s="35"/>
      <c r="V1870" s="35"/>
      <c r="W1870" s="35"/>
      <c r="X1870" s="35"/>
    </row>
    <row r="1871" spans="4:24" x14ac:dyDescent="0.3">
      <c r="D1871" s="23">
        <v>42296</v>
      </c>
      <c r="E1871" s="5">
        <v>175.03611799999999</v>
      </c>
      <c r="F1871" s="28">
        <v>65.07047</v>
      </c>
      <c r="G1871" s="28">
        <v>112.02</v>
      </c>
      <c r="H1871" s="28">
        <v>101.80970000000001</v>
      </c>
      <c r="I1871" s="28">
        <v>90.209159999999997</v>
      </c>
      <c r="J1871" s="29"/>
      <c r="K1871" s="29"/>
      <c r="L1871" s="29"/>
      <c r="M1871" s="29"/>
      <c r="N1871" s="29"/>
      <c r="P1871" s="4">
        <f t="shared" si="118"/>
        <v>4.9196805625761279E-4</v>
      </c>
      <c r="Q1871" s="4">
        <f t="shared" si="118"/>
        <v>0</v>
      </c>
      <c r="R1871" s="4">
        <f t="shared" si="118"/>
        <v>-4.1869020230482527E-3</v>
      </c>
      <c r="S1871" s="4">
        <f t="shared" si="118"/>
        <v>5.7181316655867502E-3</v>
      </c>
      <c r="T1871" s="4">
        <f t="shared" si="118"/>
        <v>1.1473264030899865E-3</v>
      </c>
      <c r="U1871" s="35"/>
      <c r="V1871" s="35"/>
      <c r="W1871" s="35"/>
      <c r="X1871" s="35"/>
    </row>
    <row r="1872" spans="4:24" x14ac:dyDescent="0.3">
      <c r="D1872" s="23">
        <v>42297</v>
      </c>
      <c r="E1872" s="5">
        <v>174.812363</v>
      </c>
      <c r="F1872" s="28">
        <v>64.967389999999995</v>
      </c>
      <c r="G1872" s="28">
        <v>112.73</v>
      </c>
      <c r="H1872" s="28">
        <v>101.2854</v>
      </c>
      <c r="I1872" s="28">
        <v>90.105720000000005</v>
      </c>
      <c r="J1872" s="29"/>
      <c r="K1872" s="29"/>
      <c r="L1872" s="29"/>
      <c r="M1872" s="29"/>
      <c r="N1872" s="29"/>
      <c r="P1872" s="4">
        <f t="shared" si="118"/>
        <v>-1.2791539346979522E-3</v>
      </c>
      <c r="Q1872" s="4">
        <f t="shared" si="118"/>
        <v>-1.5853847731805649E-3</v>
      </c>
      <c r="R1872" s="4">
        <f t="shared" si="118"/>
        <v>6.3181522747537524E-3</v>
      </c>
      <c r="S1872" s="4">
        <f t="shared" si="118"/>
        <v>-5.1631099393241999E-3</v>
      </c>
      <c r="T1872" s="4">
        <f t="shared" si="118"/>
        <v>-1.1473264030899151E-3</v>
      </c>
      <c r="U1872" s="35"/>
      <c r="V1872" s="35"/>
      <c r="W1872" s="35"/>
      <c r="X1872" s="35"/>
    </row>
    <row r="1873" spans="4:24" x14ac:dyDescent="0.3">
      <c r="D1873" s="23">
        <v>42298</v>
      </c>
      <c r="E1873" s="5">
        <v>173.72789</v>
      </c>
      <c r="F1873" s="28">
        <v>65.086330000000004</v>
      </c>
      <c r="G1873" s="28">
        <v>111.73</v>
      </c>
      <c r="H1873" s="28">
        <v>100.6675</v>
      </c>
      <c r="I1873" s="28">
        <v>89.398740000000004</v>
      </c>
      <c r="J1873" s="29"/>
      <c r="K1873" s="29"/>
      <c r="L1873" s="29"/>
      <c r="M1873" s="29"/>
      <c r="N1873" s="29"/>
      <c r="P1873" s="4">
        <f t="shared" si="118"/>
        <v>-6.2229627159100685E-3</v>
      </c>
      <c r="Q1873" s="4">
        <f t="shared" si="118"/>
        <v>1.8290908273936176E-3</v>
      </c>
      <c r="R1873" s="4">
        <f t="shared" si="118"/>
        <v>-8.9103324971934236E-3</v>
      </c>
      <c r="S1873" s="4">
        <f t="shared" si="118"/>
        <v>-6.119267691890121E-3</v>
      </c>
      <c r="T1873" s="4">
        <f t="shared" si="118"/>
        <v>-7.8770594954358855E-3</v>
      </c>
      <c r="U1873" s="35"/>
      <c r="V1873" s="35"/>
      <c r="W1873" s="35"/>
      <c r="X1873" s="35"/>
    </row>
    <row r="1874" spans="4:24" x14ac:dyDescent="0.3">
      <c r="D1874" s="23">
        <v>42299</v>
      </c>
      <c r="E1874" s="5">
        <v>176.662781</v>
      </c>
      <c r="F1874" s="28">
        <v>65.197320000000005</v>
      </c>
      <c r="G1874" s="28">
        <v>111.69</v>
      </c>
      <c r="H1874" s="28">
        <v>102.7179</v>
      </c>
      <c r="I1874" s="28">
        <v>90.709209999999999</v>
      </c>
      <c r="J1874" s="29"/>
      <c r="K1874" s="29"/>
      <c r="L1874" s="29"/>
      <c r="M1874" s="29"/>
      <c r="N1874" s="29"/>
      <c r="P1874" s="4">
        <f t="shared" si="118"/>
        <v>1.6752498747412799E-2</v>
      </c>
      <c r="Q1874" s="4">
        <f t="shared" si="118"/>
        <v>1.7038212676785275E-3</v>
      </c>
      <c r="R1874" s="4">
        <f t="shared" si="118"/>
        <v>-3.5807000651141905E-4</v>
      </c>
      <c r="S1874" s="4">
        <f t="shared" si="118"/>
        <v>2.0163388989245815E-2</v>
      </c>
      <c r="T1874" s="4">
        <f t="shared" si="118"/>
        <v>1.4552307395642759E-2</v>
      </c>
      <c r="U1874" s="35"/>
      <c r="V1874" s="35"/>
      <c r="W1874" s="35"/>
      <c r="X1874" s="35"/>
    </row>
    <row r="1875" spans="4:24" x14ac:dyDescent="0.3">
      <c r="D1875" s="23">
        <v>42300</v>
      </c>
      <c r="E1875" s="5">
        <v>178.59930399999999</v>
      </c>
      <c r="F1875" s="28">
        <v>65.030820000000006</v>
      </c>
      <c r="G1875" s="28">
        <v>111.5</v>
      </c>
      <c r="H1875" s="28">
        <v>105.59220000000001</v>
      </c>
      <c r="I1875" s="28">
        <v>91.657589999999999</v>
      </c>
      <c r="J1875" s="29"/>
      <c r="K1875" s="29"/>
      <c r="L1875" s="29"/>
      <c r="M1875" s="29"/>
      <c r="N1875" s="29"/>
      <c r="P1875" s="4">
        <f t="shared" si="118"/>
        <v>1.0902048161765543E-2</v>
      </c>
      <c r="Q1875" s="4">
        <f t="shared" si="118"/>
        <v>-2.5570524269472447E-3</v>
      </c>
      <c r="R1875" s="4">
        <f t="shared" si="118"/>
        <v>-1.7025856525617322E-3</v>
      </c>
      <c r="S1875" s="4">
        <f t="shared" si="118"/>
        <v>2.759810910030731E-2</v>
      </c>
      <c r="T1875" s="4">
        <f t="shared" si="118"/>
        <v>1.0400890397960659E-2</v>
      </c>
      <c r="U1875" s="35"/>
      <c r="V1875" s="35"/>
      <c r="W1875" s="35"/>
      <c r="X1875" s="35"/>
    </row>
    <row r="1876" spans="4:24" x14ac:dyDescent="0.3">
      <c r="D1876" s="23">
        <v>42303</v>
      </c>
      <c r="E1876" s="5">
        <v>178.16038499999999</v>
      </c>
      <c r="F1876" s="28">
        <v>65.102230000000006</v>
      </c>
      <c r="G1876" s="28">
        <v>111.43</v>
      </c>
      <c r="H1876" s="28">
        <v>105.65779999999999</v>
      </c>
      <c r="I1876" s="28">
        <v>91.442059999999998</v>
      </c>
      <c r="J1876" s="29"/>
      <c r="K1876" s="29"/>
      <c r="L1876" s="29"/>
      <c r="M1876" s="29"/>
      <c r="N1876" s="29"/>
      <c r="P1876" s="4">
        <f t="shared" si="118"/>
        <v>-2.4605875326490401E-3</v>
      </c>
      <c r="Q1876" s="4">
        <f t="shared" si="118"/>
        <v>1.0974922537774672E-3</v>
      </c>
      <c r="R1876" s="4">
        <f t="shared" si="118"/>
        <v>-6.2799984121086785E-4</v>
      </c>
      <c r="S1876" s="4">
        <f t="shared" si="118"/>
        <v>6.2106510872044331E-4</v>
      </c>
      <c r="T1876" s="4">
        <f t="shared" si="118"/>
        <v>-2.3542382472800439E-3</v>
      </c>
      <c r="U1876" s="35"/>
      <c r="V1876" s="35"/>
      <c r="W1876" s="35"/>
      <c r="X1876" s="35"/>
    </row>
    <row r="1877" spans="4:24" x14ac:dyDescent="0.3">
      <c r="D1877" s="23">
        <v>42304</v>
      </c>
      <c r="E1877" s="5">
        <v>177.81608600000001</v>
      </c>
      <c r="F1877" s="28">
        <v>65.118070000000003</v>
      </c>
      <c r="G1877" s="28">
        <v>111.68</v>
      </c>
      <c r="H1877" s="28">
        <v>105.87309999999999</v>
      </c>
      <c r="I1877" s="28">
        <v>91.140309999999999</v>
      </c>
      <c r="J1877" s="29"/>
      <c r="K1877" s="29"/>
      <c r="L1877" s="29"/>
      <c r="M1877" s="29"/>
      <c r="N1877" s="29"/>
      <c r="P1877" s="4">
        <f t="shared" ref="P1877:T1892" si="119">LN(E1877/E1876)</f>
        <v>-1.9343924973078651E-3</v>
      </c>
      <c r="Q1877" s="4">
        <f t="shared" si="119"/>
        <v>2.4328004279100163E-4</v>
      </c>
      <c r="R1877" s="4">
        <f t="shared" si="119"/>
        <v>2.2410479550996967E-3</v>
      </c>
      <c r="S1877" s="4">
        <f t="shared" si="119"/>
        <v>2.0356371040542317E-3</v>
      </c>
      <c r="T1877" s="4">
        <f t="shared" si="119"/>
        <v>-3.3053604762435531E-3</v>
      </c>
      <c r="U1877" s="35"/>
      <c r="V1877" s="35"/>
      <c r="W1877" s="35"/>
      <c r="X1877" s="35"/>
    </row>
    <row r="1878" spans="4:24" x14ac:dyDescent="0.3">
      <c r="D1878" s="23">
        <v>42305</v>
      </c>
      <c r="E1878" s="5">
        <v>179.83869899999999</v>
      </c>
      <c r="F1878" s="28">
        <v>64.935670000000002</v>
      </c>
      <c r="G1878" s="28">
        <v>110.78</v>
      </c>
      <c r="H1878" s="28">
        <v>106.75320000000001</v>
      </c>
      <c r="I1878" s="28">
        <v>92.338750000000005</v>
      </c>
      <c r="J1878" s="29"/>
      <c r="K1878" s="29"/>
      <c r="L1878" s="29"/>
      <c r="M1878" s="29"/>
      <c r="N1878" s="29"/>
      <c r="P1878" s="4">
        <f t="shared" si="119"/>
        <v>1.1310541042609526E-2</v>
      </c>
      <c r="Q1878" s="4">
        <f t="shared" si="119"/>
        <v>-2.8049961438039381E-3</v>
      </c>
      <c r="R1878" s="4">
        <f t="shared" si="119"/>
        <v>-8.0913864091044993E-3</v>
      </c>
      <c r="S1878" s="4">
        <f t="shared" si="119"/>
        <v>8.2784211197220164E-3</v>
      </c>
      <c r="T1878" s="4">
        <f t="shared" si="119"/>
        <v>1.3063692867980212E-2</v>
      </c>
      <c r="U1878" s="35"/>
      <c r="V1878" s="35"/>
      <c r="W1878" s="35"/>
      <c r="X1878" s="35"/>
    </row>
    <row r="1879" spans="4:24" x14ac:dyDescent="0.3">
      <c r="D1879" s="23">
        <v>42306</v>
      </c>
      <c r="E1879" s="5">
        <v>179.73542800000001</v>
      </c>
      <c r="F1879" s="28">
        <v>64.705799999999996</v>
      </c>
      <c r="G1879" s="28">
        <v>109.72</v>
      </c>
      <c r="H1879" s="28">
        <v>106.5847</v>
      </c>
      <c r="I1879" s="28">
        <v>92.200789999999998</v>
      </c>
      <c r="J1879" s="29"/>
      <c r="K1879" s="29"/>
      <c r="L1879" s="29"/>
      <c r="M1879" s="29"/>
      <c r="N1879" s="29"/>
      <c r="P1879" s="4">
        <f t="shared" si="119"/>
        <v>-5.7440730622675075E-4</v>
      </c>
      <c r="Q1879" s="4">
        <f t="shared" si="119"/>
        <v>-3.5462455169781772E-3</v>
      </c>
      <c r="R1879" s="4">
        <f t="shared" si="119"/>
        <v>-9.6145865355553601E-3</v>
      </c>
      <c r="S1879" s="4">
        <f t="shared" si="119"/>
        <v>-1.5796540140150573E-3</v>
      </c>
      <c r="T1879" s="4">
        <f t="shared" si="119"/>
        <v>-1.4951812029181093E-3</v>
      </c>
      <c r="U1879" s="35"/>
      <c r="V1879" s="35"/>
      <c r="W1879" s="35"/>
      <c r="X1879" s="35"/>
    </row>
    <row r="1880" spans="4:24" x14ac:dyDescent="0.3">
      <c r="D1880" s="23">
        <v>42307</v>
      </c>
      <c r="E1880" s="5">
        <v>178.96080000000001</v>
      </c>
      <c r="F1880" s="28">
        <v>64.848460000000003</v>
      </c>
      <c r="G1880" s="28">
        <v>109.3</v>
      </c>
      <c r="H1880" s="28">
        <v>106.10720000000001</v>
      </c>
      <c r="I1880" s="28">
        <v>91.847290000000001</v>
      </c>
      <c r="J1880" s="29"/>
      <c r="K1880" s="29"/>
      <c r="L1880" s="29"/>
      <c r="M1880" s="29"/>
      <c r="N1880" s="29"/>
      <c r="P1880" s="4">
        <f t="shared" si="119"/>
        <v>-4.3191377201782484E-3</v>
      </c>
      <c r="Q1880" s="4">
        <f t="shared" si="119"/>
        <v>2.2023213696102393E-3</v>
      </c>
      <c r="R1880" s="4">
        <f t="shared" si="119"/>
        <v>-3.8352708869095727E-3</v>
      </c>
      <c r="S1880" s="4">
        <f t="shared" si="119"/>
        <v>-4.4900703997553266E-3</v>
      </c>
      <c r="T1880" s="4">
        <f t="shared" si="119"/>
        <v>-3.841392256803005E-3</v>
      </c>
      <c r="U1880" s="35"/>
      <c r="V1880" s="35"/>
      <c r="W1880" s="35"/>
      <c r="X1880" s="35"/>
    </row>
    <row r="1881" spans="4:24" x14ac:dyDescent="0.3">
      <c r="D1881" s="23">
        <v>42310</v>
      </c>
      <c r="E1881" s="5">
        <v>181.078079</v>
      </c>
      <c r="F1881" s="28">
        <v>64.720569999999995</v>
      </c>
      <c r="G1881" s="28">
        <v>108.59</v>
      </c>
      <c r="H1881" s="28">
        <v>107.3056</v>
      </c>
      <c r="I1881" s="28">
        <v>93.054329999999993</v>
      </c>
      <c r="J1881" s="29"/>
      <c r="K1881" s="29"/>
      <c r="L1881" s="29"/>
      <c r="M1881" s="29"/>
      <c r="N1881" s="29"/>
      <c r="P1881" s="4">
        <f t="shared" si="119"/>
        <v>1.1761526496119936E-2</v>
      </c>
      <c r="Q1881" s="4">
        <f t="shared" si="119"/>
        <v>-1.9740834909752853E-3</v>
      </c>
      <c r="R1881" s="4">
        <f t="shared" si="119"/>
        <v>-6.5170729536836881E-3</v>
      </c>
      <c r="S1881" s="4">
        <f t="shared" si="119"/>
        <v>1.1230934569480292E-2</v>
      </c>
      <c r="T1881" s="4">
        <f t="shared" si="119"/>
        <v>1.3056209528265982E-2</v>
      </c>
      <c r="U1881" s="35"/>
      <c r="V1881" s="35"/>
      <c r="W1881" s="35"/>
      <c r="X1881" s="35"/>
    </row>
    <row r="1882" spans="4:24" x14ac:dyDescent="0.3">
      <c r="D1882" s="23">
        <v>42311</v>
      </c>
      <c r="E1882" s="5">
        <v>181.603104</v>
      </c>
      <c r="F1882" s="28">
        <v>64.60933</v>
      </c>
      <c r="G1882" s="28">
        <v>106.98</v>
      </c>
      <c r="H1882" s="28">
        <v>107.6801</v>
      </c>
      <c r="I1882" s="28">
        <v>93.287139999999994</v>
      </c>
      <c r="J1882" s="29"/>
      <c r="K1882" s="29"/>
      <c r="L1882" s="29"/>
      <c r="M1882" s="29"/>
      <c r="N1882" s="29"/>
      <c r="P1882" s="4">
        <f t="shared" si="119"/>
        <v>2.8952445914417952E-3</v>
      </c>
      <c r="Q1882" s="4">
        <f t="shared" si="119"/>
        <v>-1.7202522762703788E-3</v>
      </c>
      <c r="R1882" s="4">
        <f t="shared" si="119"/>
        <v>-1.4937421125704996E-2</v>
      </c>
      <c r="S1882" s="4">
        <f t="shared" si="119"/>
        <v>3.4839561775982368E-3</v>
      </c>
      <c r="T1882" s="4">
        <f t="shared" si="119"/>
        <v>2.4987472851180962E-3</v>
      </c>
      <c r="U1882" s="35"/>
      <c r="V1882" s="35"/>
      <c r="W1882" s="35"/>
      <c r="X1882" s="35"/>
    </row>
    <row r="1883" spans="4:24" x14ac:dyDescent="0.3">
      <c r="D1883" s="23">
        <v>42312</v>
      </c>
      <c r="E1883" s="5">
        <v>181.05226099999999</v>
      </c>
      <c r="F1883" s="28">
        <v>64.649029999999996</v>
      </c>
      <c r="G1883" s="28">
        <v>105.97</v>
      </c>
      <c r="H1883" s="28">
        <v>107.6895</v>
      </c>
      <c r="I1883" s="28">
        <v>93.062970000000007</v>
      </c>
      <c r="J1883" s="29"/>
      <c r="K1883" s="29"/>
      <c r="L1883" s="29"/>
      <c r="M1883" s="29"/>
      <c r="N1883" s="29"/>
      <c r="P1883" s="4">
        <f t="shared" si="119"/>
        <v>-3.0378341355476418E-3</v>
      </c>
      <c r="Q1883" s="4">
        <f t="shared" si="119"/>
        <v>6.1427363380333342E-4</v>
      </c>
      <c r="R1883" s="4">
        <f t="shared" si="119"/>
        <v>-9.4858659163594532E-3</v>
      </c>
      <c r="S1883" s="4">
        <f t="shared" si="119"/>
        <v>8.7291799826513981E-5</v>
      </c>
      <c r="T1883" s="4">
        <f t="shared" si="119"/>
        <v>-2.4059026112890989E-3</v>
      </c>
      <c r="U1883" s="35"/>
      <c r="V1883" s="35"/>
      <c r="W1883" s="35"/>
      <c r="X1883" s="35"/>
    </row>
    <row r="1884" spans="4:24" x14ac:dyDescent="0.3">
      <c r="D1884" s="23">
        <v>42313</v>
      </c>
      <c r="E1884" s="5">
        <v>180.87153599999999</v>
      </c>
      <c r="F1884" s="28">
        <v>64.529859999999999</v>
      </c>
      <c r="G1884" s="28">
        <v>105.64</v>
      </c>
      <c r="H1884" s="28">
        <v>107.39919999999999</v>
      </c>
      <c r="I1884" s="28">
        <v>92.959500000000006</v>
      </c>
      <c r="J1884" s="29"/>
      <c r="K1884" s="29"/>
      <c r="L1884" s="29"/>
      <c r="M1884" s="29"/>
      <c r="N1884" s="29"/>
      <c r="P1884" s="4">
        <f t="shared" si="119"/>
        <v>-9.9869097594051373E-4</v>
      </c>
      <c r="Q1884" s="4">
        <f t="shared" si="119"/>
        <v>-1.8450388264865923E-3</v>
      </c>
      <c r="R1884" s="4">
        <f t="shared" si="119"/>
        <v>-3.1189477578131763E-3</v>
      </c>
      <c r="S1884" s="4">
        <f t="shared" si="119"/>
        <v>-2.6993531159259358E-3</v>
      </c>
      <c r="T1884" s="4">
        <f t="shared" si="119"/>
        <v>-1.1124463692011532E-3</v>
      </c>
      <c r="U1884" s="35"/>
      <c r="V1884" s="35"/>
      <c r="W1884" s="35"/>
      <c r="X1884" s="35"/>
    </row>
    <row r="1885" spans="4:24" x14ac:dyDescent="0.3">
      <c r="D1885" s="23">
        <v>42314</v>
      </c>
      <c r="E1885" s="5">
        <v>180.776825</v>
      </c>
      <c r="F1885" s="28">
        <v>64.275599999999997</v>
      </c>
      <c r="G1885" s="28">
        <v>104.1</v>
      </c>
      <c r="H1885" s="28">
        <v>107.47410000000001</v>
      </c>
      <c r="I1885" s="28">
        <v>92.976749999999996</v>
      </c>
      <c r="J1885" s="29"/>
      <c r="K1885" s="29"/>
      <c r="L1885" s="29"/>
      <c r="M1885" s="29"/>
      <c r="N1885" s="29"/>
      <c r="P1885" s="4">
        <f t="shared" si="119"/>
        <v>-5.2377398809908926E-4</v>
      </c>
      <c r="Q1885" s="4">
        <f t="shared" si="119"/>
        <v>-3.9479744143131055E-3</v>
      </c>
      <c r="R1885" s="4">
        <f t="shared" si="119"/>
        <v>-1.4685111808008331E-2</v>
      </c>
      <c r="S1885" s="4">
        <f t="shared" si="119"/>
        <v>6.9715504935820522E-4</v>
      </c>
      <c r="T1885" s="4">
        <f t="shared" si="119"/>
        <v>1.8554746639744233E-4</v>
      </c>
      <c r="U1885" s="35"/>
      <c r="V1885" s="35"/>
      <c r="W1885" s="35"/>
      <c r="X1885" s="35"/>
    </row>
    <row r="1886" spans="4:24" x14ac:dyDescent="0.3">
      <c r="D1886" s="23">
        <v>42317</v>
      </c>
      <c r="E1886" s="5">
        <v>179.08989</v>
      </c>
      <c r="F1886" s="28">
        <v>64.219970000000004</v>
      </c>
      <c r="G1886" s="28">
        <v>104.4</v>
      </c>
      <c r="H1886" s="28">
        <v>106.3319</v>
      </c>
      <c r="I1886" s="28">
        <v>92.045590000000004</v>
      </c>
      <c r="J1886" s="29"/>
      <c r="K1886" s="29"/>
      <c r="L1886" s="29"/>
      <c r="M1886" s="29"/>
      <c r="N1886" s="29"/>
      <c r="P1886" s="4">
        <f t="shared" si="119"/>
        <v>-9.3754008704001329E-3</v>
      </c>
      <c r="Q1886" s="4">
        <f t="shared" si="119"/>
        <v>-8.6586648046454192E-4</v>
      </c>
      <c r="R1886" s="4">
        <f t="shared" si="119"/>
        <v>2.8776998276151956E-3</v>
      </c>
      <c r="S1886" s="4">
        <f t="shared" si="119"/>
        <v>-1.0684553904748744E-2</v>
      </c>
      <c r="T1886" s="4">
        <f t="shared" si="119"/>
        <v>-1.0065464111867393E-2</v>
      </c>
      <c r="U1886" s="35"/>
      <c r="V1886" s="35"/>
      <c r="W1886" s="35"/>
      <c r="X1886" s="35"/>
    </row>
    <row r="1887" spans="4:24" x14ac:dyDescent="0.3">
      <c r="D1887" s="23">
        <v>42318</v>
      </c>
      <c r="E1887" s="5">
        <v>179.50299100000001</v>
      </c>
      <c r="F1887" s="28">
        <v>64.291539999999998</v>
      </c>
      <c r="G1887" s="28">
        <v>104.18</v>
      </c>
      <c r="H1887" s="28">
        <v>106.0604</v>
      </c>
      <c r="I1887" s="28">
        <v>92.252489999999995</v>
      </c>
      <c r="J1887" s="29"/>
      <c r="K1887" s="29"/>
      <c r="L1887" s="29"/>
      <c r="M1887" s="29"/>
      <c r="N1887" s="29"/>
      <c r="P1887" s="4">
        <f t="shared" si="119"/>
        <v>2.3040121800108849E-3</v>
      </c>
      <c r="Q1887" s="4">
        <f t="shared" si="119"/>
        <v>1.1138303082619337E-3</v>
      </c>
      <c r="R1887" s="4">
        <f t="shared" si="119"/>
        <v>-2.109503131492837E-3</v>
      </c>
      <c r="S1887" s="4">
        <f t="shared" si="119"/>
        <v>-2.5565912500649067E-3</v>
      </c>
      <c r="T1887" s="4">
        <f t="shared" si="119"/>
        <v>2.2452766401019971E-3</v>
      </c>
      <c r="U1887" s="35"/>
      <c r="V1887" s="35"/>
      <c r="W1887" s="35"/>
      <c r="X1887" s="35"/>
    </row>
    <row r="1888" spans="4:24" x14ac:dyDescent="0.3">
      <c r="D1888" s="23">
        <v>42319</v>
      </c>
      <c r="E1888" s="5">
        <v>178.79728700000001</v>
      </c>
      <c r="F1888" s="28">
        <v>64.299480000000003</v>
      </c>
      <c r="G1888" s="28">
        <v>103.83</v>
      </c>
      <c r="H1888" s="28">
        <v>105.9293</v>
      </c>
      <c r="I1888" s="28">
        <v>91.855930000000001</v>
      </c>
      <c r="J1888" s="29"/>
      <c r="K1888" s="29"/>
      <c r="L1888" s="29"/>
      <c r="M1888" s="29"/>
      <c r="N1888" s="29"/>
      <c r="P1888" s="4">
        <f t="shared" si="119"/>
        <v>-3.9391814959334505E-3</v>
      </c>
      <c r="Q1888" s="4">
        <f t="shared" si="119"/>
        <v>1.2349229378686723E-4</v>
      </c>
      <c r="R1888" s="4">
        <f t="shared" si="119"/>
        <v>-3.365226001682986E-3</v>
      </c>
      <c r="S1888" s="4">
        <f t="shared" si="119"/>
        <v>-1.2368527028730563E-3</v>
      </c>
      <c r="T1888" s="4">
        <f t="shared" si="119"/>
        <v>-4.3079030636490869E-3</v>
      </c>
      <c r="U1888" s="35"/>
      <c r="V1888" s="35"/>
      <c r="W1888" s="35"/>
      <c r="X1888" s="35"/>
    </row>
    <row r="1889" spans="4:24" x14ac:dyDescent="0.3">
      <c r="D1889" s="23">
        <v>42320</v>
      </c>
      <c r="E1889" s="5">
        <v>176.301346</v>
      </c>
      <c r="F1889" s="28">
        <v>64.307429999999997</v>
      </c>
      <c r="G1889" s="28">
        <v>103.85</v>
      </c>
      <c r="H1889" s="28">
        <v>104.8994</v>
      </c>
      <c r="I1889" s="28">
        <v>90.485050000000001</v>
      </c>
      <c r="J1889" s="29"/>
      <c r="K1889" s="29"/>
      <c r="L1889" s="29"/>
      <c r="M1889" s="29"/>
      <c r="N1889" s="29"/>
      <c r="P1889" s="4">
        <f t="shared" si="119"/>
        <v>-1.4057965157984227E-2</v>
      </c>
      <c r="Q1889" s="4">
        <f t="shared" si="119"/>
        <v>1.2363254836191424E-4</v>
      </c>
      <c r="R1889" s="4">
        <f t="shared" si="119"/>
        <v>1.9260400675872409E-4</v>
      </c>
      <c r="S1889" s="4">
        <f t="shared" si="119"/>
        <v>-9.7700947963070359E-3</v>
      </c>
      <c r="T1889" s="4">
        <f t="shared" si="119"/>
        <v>-1.5036727672845035E-2</v>
      </c>
      <c r="U1889" s="35"/>
      <c r="V1889" s="35"/>
      <c r="W1889" s="35"/>
      <c r="X1889" s="35"/>
    </row>
    <row r="1890" spans="4:24" x14ac:dyDescent="0.3">
      <c r="D1890" s="23">
        <v>42321</v>
      </c>
      <c r="E1890" s="5">
        <v>174.321777</v>
      </c>
      <c r="F1890" s="28">
        <v>64.426580000000001</v>
      </c>
      <c r="G1890" s="28">
        <v>103.56</v>
      </c>
      <c r="H1890" s="28">
        <v>102.8396</v>
      </c>
      <c r="I1890" s="28">
        <v>89.52807</v>
      </c>
      <c r="J1890" s="29"/>
      <c r="K1890" s="29"/>
      <c r="L1890" s="29"/>
      <c r="M1890" s="29"/>
      <c r="N1890" s="29"/>
      <c r="P1890" s="4">
        <f t="shared" si="119"/>
        <v>-1.1291839607546952E-2</v>
      </c>
      <c r="Q1890" s="4">
        <f t="shared" si="119"/>
        <v>1.8511042112826347E-3</v>
      </c>
      <c r="R1890" s="4">
        <f t="shared" si="119"/>
        <v>-2.7963954387842955E-3</v>
      </c>
      <c r="S1890" s="4">
        <f t="shared" si="119"/>
        <v>-1.9831302799835165E-2</v>
      </c>
      <c r="T1890" s="4">
        <f t="shared" si="119"/>
        <v>-1.0632436296071661E-2</v>
      </c>
      <c r="U1890" s="35"/>
      <c r="V1890" s="35"/>
      <c r="W1890" s="35"/>
      <c r="X1890" s="35"/>
    </row>
    <row r="1891" spans="4:24" x14ac:dyDescent="0.3">
      <c r="D1891" s="23">
        <v>42324</v>
      </c>
      <c r="E1891" s="5">
        <v>176.97264100000001</v>
      </c>
      <c r="F1891" s="28">
        <v>64.426580000000001</v>
      </c>
      <c r="G1891" s="28">
        <v>103.71</v>
      </c>
      <c r="H1891" s="28">
        <v>104.3189</v>
      </c>
      <c r="I1891" s="28">
        <v>90.829909999999998</v>
      </c>
      <c r="J1891" s="29"/>
      <c r="K1891" s="29"/>
      <c r="L1891" s="29"/>
      <c r="M1891" s="29"/>
      <c r="N1891" s="29"/>
      <c r="P1891" s="4">
        <f t="shared" si="119"/>
        <v>1.5092265524400949E-2</v>
      </c>
      <c r="Q1891" s="4">
        <f t="shared" si="119"/>
        <v>0</v>
      </c>
      <c r="R1891" s="4">
        <f t="shared" si="119"/>
        <v>1.447387718305878E-3</v>
      </c>
      <c r="S1891" s="4">
        <f t="shared" si="119"/>
        <v>1.4282060791242446E-2</v>
      </c>
      <c r="T1891" s="4">
        <f t="shared" si="119"/>
        <v>1.4436429257865946E-2</v>
      </c>
      <c r="U1891" s="35"/>
      <c r="V1891" s="35"/>
      <c r="W1891" s="35"/>
      <c r="X1891" s="35"/>
    </row>
    <row r="1892" spans="4:24" x14ac:dyDescent="0.3">
      <c r="D1892" s="23">
        <v>42325</v>
      </c>
      <c r="E1892" s="5">
        <v>176.843536</v>
      </c>
      <c r="F1892" s="28">
        <v>64.498109999999997</v>
      </c>
      <c r="G1892" s="28">
        <v>102.34</v>
      </c>
      <c r="H1892" s="28">
        <v>104.3845</v>
      </c>
      <c r="I1892" s="28">
        <v>90.717849999999999</v>
      </c>
      <c r="J1892" s="29"/>
      <c r="K1892" s="29"/>
      <c r="L1892" s="29"/>
      <c r="M1892" s="29"/>
      <c r="N1892" s="29"/>
      <c r="P1892" s="4">
        <f t="shared" si="119"/>
        <v>-7.2978577081835613E-4</v>
      </c>
      <c r="Q1892" s="4">
        <f t="shared" si="119"/>
        <v>1.1096401680636891E-3</v>
      </c>
      <c r="R1892" s="4">
        <f t="shared" si="119"/>
        <v>-1.3297939224697056E-2</v>
      </c>
      <c r="S1892" s="4">
        <f t="shared" si="119"/>
        <v>6.2864334898615911E-4</v>
      </c>
      <c r="T1892" s="4">
        <f t="shared" si="119"/>
        <v>-1.2344962475046527E-3</v>
      </c>
      <c r="U1892" s="35"/>
      <c r="V1892" s="35"/>
      <c r="W1892" s="35"/>
      <c r="X1892" s="35"/>
    </row>
    <row r="1893" spans="4:24" x14ac:dyDescent="0.3">
      <c r="D1893" s="23">
        <v>42326</v>
      </c>
      <c r="E1893" s="5">
        <v>179.649338</v>
      </c>
      <c r="F1893" s="28">
        <v>64.466309999999993</v>
      </c>
      <c r="G1893" s="28">
        <v>102.43</v>
      </c>
      <c r="H1893" s="28">
        <v>106.38809999999999</v>
      </c>
      <c r="I1893" s="28">
        <v>92.16628</v>
      </c>
      <c r="J1893" s="29"/>
      <c r="K1893" s="29"/>
      <c r="L1893" s="29"/>
      <c r="M1893" s="29"/>
      <c r="N1893" s="29"/>
      <c r="P1893" s="4">
        <f t="shared" ref="P1893:T1908" si="120">LN(E1893/E1892)</f>
        <v>1.5741464375521531E-2</v>
      </c>
      <c r="Q1893" s="4">
        <f t="shared" si="120"/>
        <v>-4.9315928601853889E-4</v>
      </c>
      <c r="R1893" s="4">
        <f t="shared" si="120"/>
        <v>8.7903507149755778E-4</v>
      </c>
      <c r="S1893" s="4">
        <f t="shared" si="120"/>
        <v>1.9012531554278376E-2</v>
      </c>
      <c r="T1893" s="4">
        <f t="shared" si="120"/>
        <v>1.5840196583030493E-2</v>
      </c>
      <c r="U1893" s="35"/>
      <c r="V1893" s="35"/>
      <c r="W1893" s="35"/>
      <c r="X1893" s="35"/>
    </row>
    <row r="1894" spans="4:24" x14ac:dyDescent="0.3">
      <c r="D1894" s="23">
        <v>42327</v>
      </c>
      <c r="E1894" s="5">
        <v>179.494415</v>
      </c>
      <c r="F1894" s="28">
        <v>64.553700000000006</v>
      </c>
      <c r="G1894" s="28">
        <v>103.56</v>
      </c>
      <c r="H1894" s="28">
        <v>106.46299999999999</v>
      </c>
      <c r="I1894" s="28">
        <v>92.045590000000004</v>
      </c>
      <c r="J1894" s="29"/>
      <c r="K1894" s="29"/>
      <c r="L1894" s="29"/>
      <c r="M1894" s="29"/>
      <c r="N1894" s="29"/>
      <c r="P1894" s="4">
        <f t="shared" si="120"/>
        <v>-8.6273537164518858E-4</v>
      </c>
      <c r="Q1894" s="4">
        <f t="shared" si="120"/>
        <v>1.3546737961719606E-3</v>
      </c>
      <c r="R1894" s="4">
        <f t="shared" si="120"/>
        <v>1.0971516434893521E-2</v>
      </c>
      <c r="S1894" s="4">
        <f t="shared" si="120"/>
        <v>7.037783980588185E-4</v>
      </c>
      <c r="T1894" s="4">
        <f t="shared" si="120"/>
        <v>-1.3103392009277792E-3</v>
      </c>
      <c r="U1894" s="35"/>
      <c r="V1894" s="35"/>
      <c r="W1894" s="35"/>
      <c r="X1894" s="35"/>
    </row>
    <row r="1895" spans="4:24" x14ac:dyDescent="0.3">
      <c r="D1895" s="23">
        <v>42328</v>
      </c>
      <c r="E1895" s="5">
        <v>180.14851400000001</v>
      </c>
      <c r="F1895" s="28">
        <v>64.537859999999995</v>
      </c>
      <c r="G1895" s="28">
        <v>103.09</v>
      </c>
      <c r="H1895" s="28">
        <v>107.18389999999999</v>
      </c>
      <c r="I1895" s="28">
        <v>92.442179999999993</v>
      </c>
      <c r="J1895" s="29"/>
      <c r="K1895" s="29"/>
      <c r="L1895" s="29"/>
      <c r="M1895" s="29"/>
      <c r="N1895" s="29"/>
      <c r="P1895" s="4">
        <f t="shared" si="120"/>
        <v>3.6374952402790863E-3</v>
      </c>
      <c r="Q1895" s="4">
        <f t="shared" si="120"/>
        <v>-2.4540721453070093E-4</v>
      </c>
      <c r="R1895" s="4">
        <f t="shared" si="120"/>
        <v>-4.5487617750435503E-3</v>
      </c>
      <c r="S1895" s="4">
        <f t="shared" si="120"/>
        <v>6.7485438448606442E-3</v>
      </c>
      <c r="T1895" s="4">
        <f t="shared" si="120"/>
        <v>4.2993702064901534E-3</v>
      </c>
      <c r="U1895" s="35"/>
      <c r="V1895" s="35"/>
      <c r="W1895" s="35"/>
      <c r="X1895" s="35"/>
    </row>
    <row r="1896" spans="4:24" x14ac:dyDescent="0.3">
      <c r="D1896" s="23">
        <v>42331</v>
      </c>
      <c r="E1896" s="5">
        <v>179.942001</v>
      </c>
      <c r="F1896" s="28">
        <v>64.56165</v>
      </c>
      <c r="G1896" s="28">
        <v>102.26</v>
      </c>
      <c r="H1896" s="28">
        <v>106.875</v>
      </c>
      <c r="I1896" s="28">
        <v>92.347329999999999</v>
      </c>
      <c r="J1896" s="29"/>
      <c r="K1896" s="29"/>
      <c r="L1896" s="29"/>
      <c r="M1896" s="29"/>
      <c r="N1896" s="29"/>
      <c r="P1896" s="4">
        <f t="shared" si="120"/>
        <v>-1.1470061778278147E-3</v>
      </c>
      <c r="Q1896" s="4">
        <f t="shared" si="120"/>
        <v>3.6855291347409418E-4</v>
      </c>
      <c r="R1896" s="4">
        <f t="shared" si="120"/>
        <v>-8.0838034564401241E-3</v>
      </c>
      <c r="S1896" s="4">
        <f t="shared" si="120"/>
        <v>-2.8861235334812925E-3</v>
      </c>
      <c r="T1896" s="4">
        <f t="shared" si="120"/>
        <v>-1.0265735141548689E-3</v>
      </c>
      <c r="U1896" s="35"/>
      <c r="V1896" s="35"/>
      <c r="W1896" s="35"/>
      <c r="X1896" s="35"/>
    </row>
    <row r="1897" spans="4:24" x14ac:dyDescent="0.3">
      <c r="D1897" s="23">
        <v>42332</v>
      </c>
      <c r="E1897" s="5">
        <v>180.18301400000001</v>
      </c>
      <c r="F1897" s="28">
        <v>64.585489999999993</v>
      </c>
      <c r="G1897" s="28">
        <v>102.94</v>
      </c>
      <c r="H1897" s="28">
        <v>106.7813</v>
      </c>
      <c r="I1897" s="28">
        <v>92.588769999999997</v>
      </c>
      <c r="J1897" s="29"/>
      <c r="K1897" s="29"/>
      <c r="L1897" s="29"/>
      <c r="M1897" s="29"/>
      <c r="N1897" s="29"/>
      <c r="P1897" s="4">
        <f t="shared" si="120"/>
        <v>1.3384964995152811E-3</v>
      </c>
      <c r="Q1897" s="4">
        <f t="shared" si="120"/>
        <v>3.6919130026083198E-4</v>
      </c>
      <c r="R1897" s="4">
        <f t="shared" si="120"/>
        <v>6.6277045727551635E-3</v>
      </c>
      <c r="S1897" s="4">
        <f t="shared" si="120"/>
        <v>-8.7710969446836296E-4</v>
      </c>
      <c r="T1897" s="4">
        <f t="shared" si="120"/>
        <v>2.6110655212407585E-3</v>
      </c>
      <c r="U1897" s="35"/>
      <c r="V1897" s="35"/>
      <c r="W1897" s="35"/>
      <c r="X1897" s="35"/>
    </row>
    <row r="1898" spans="4:24" x14ac:dyDescent="0.3">
      <c r="D1898" s="23">
        <v>42333</v>
      </c>
      <c r="E1898" s="5">
        <v>180.15718100000001</v>
      </c>
      <c r="F1898" s="28">
        <v>64.593410000000006</v>
      </c>
      <c r="G1898" s="28">
        <v>102.46</v>
      </c>
      <c r="H1898" s="28">
        <v>106.875</v>
      </c>
      <c r="I1898" s="28">
        <v>92.657749999999993</v>
      </c>
      <c r="J1898" s="29"/>
      <c r="K1898" s="29"/>
      <c r="L1898" s="29"/>
      <c r="M1898" s="29"/>
      <c r="N1898" s="29"/>
      <c r="P1898" s="4">
        <f t="shared" si="120"/>
        <v>-1.433811736948594E-4</v>
      </c>
      <c r="Q1898" s="4">
        <f t="shared" si="120"/>
        <v>1.2262064485672335E-4</v>
      </c>
      <c r="R1898" s="4">
        <f t="shared" si="120"/>
        <v>-4.6738157135523123E-3</v>
      </c>
      <c r="S1898" s="4">
        <f t="shared" si="120"/>
        <v>8.771096944682218E-4</v>
      </c>
      <c r="T1898" s="4">
        <f t="shared" si="120"/>
        <v>7.4473737145745484E-4</v>
      </c>
      <c r="U1898" s="35"/>
      <c r="V1898" s="35"/>
      <c r="W1898" s="35"/>
      <c r="X1898" s="35"/>
    </row>
    <row r="1899" spans="4:24" x14ac:dyDescent="0.3">
      <c r="D1899" s="23">
        <v>42335</v>
      </c>
      <c r="E1899" s="5">
        <v>180.36372399999999</v>
      </c>
      <c r="F1899" s="28">
        <v>64.625209999999996</v>
      </c>
      <c r="G1899" s="28">
        <v>101.25</v>
      </c>
      <c r="H1899" s="28">
        <v>107.0247</v>
      </c>
      <c r="I1899" s="28">
        <v>92.795659999999998</v>
      </c>
      <c r="J1899" s="29"/>
      <c r="K1899" s="29"/>
      <c r="L1899" s="29"/>
      <c r="M1899" s="29"/>
      <c r="N1899" s="29"/>
      <c r="P1899" s="4">
        <f t="shared" si="120"/>
        <v>1.1458033070059692E-3</v>
      </c>
      <c r="Q1899" s="4">
        <f t="shared" si="120"/>
        <v>4.921891387161915E-4</v>
      </c>
      <c r="R1899" s="4">
        <f t="shared" si="120"/>
        <v>-1.1879772524407679E-2</v>
      </c>
      <c r="S1899" s="4">
        <f t="shared" si="120"/>
        <v>1.3997216867651771E-3</v>
      </c>
      <c r="T1899" s="4">
        <f t="shared" si="120"/>
        <v>1.4872740859413469E-3</v>
      </c>
      <c r="U1899" s="35"/>
      <c r="V1899" s="35"/>
      <c r="W1899" s="35"/>
      <c r="X1899" s="35"/>
    </row>
    <row r="1900" spans="4:24" x14ac:dyDescent="0.3">
      <c r="D1900" s="23">
        <v>42338</v>
      </c>
      <c r="E1900" s="5">
        <v>179.614914</v>
      </c>
      <c r="F1900" s="28">
        <v>64.593410000000006</v>
      </c>
      <c r="G1900" s="28">
        <v>101.92</v>
      </c>
      <c r="H1900" s="28">
        <v>106.75320000000001</v>
      </c>
      <c r="I1900" s="28">
        <v>92.399069999999995</v>
      </c>
      <c r="J1900" s="29"/>
      <c r="K1900" s="29"/>
      <c r="L1900" s="29"/>
      <c r="M1900" s="29"/>
      <c r="N1900" s="29"/>
      <c r="P1900" s="4">
        <f t="shared" si="120"/>
        <v>-4.1603084238774554E-3</v>
      </c>
      <c r="Q1900" s="4">
        <f t="shared" si="120"/>
        <v>-4.9218913871630361E-4</v>
      </c>
      <c r="R1900" s="4">
        <f t="shared" si="120"/>
        <v>6.5954858372047464E-3</v>
      </c>
      <c r="S1900" s="4">
        <f t="shared" si="120"/>
        <v>-2.5400207034478343E-3</v>
      </c>
      <c r="T1900" s="4">
        <f t="shared" si="120"/>
        <v>-4.2829577952323769E-3</v>
      </c>
      <c r="U1900" s="35"/>
      <c r="V1900" s="35"/>
      <c r="W1900" s="35"/>
      <c r="X1900" s="35"/>
    </row>
    <row r="1901" spans="4:24" x14ac:dyDescent="0.3">
      <c r="D1901" s="23">
        <v>42339</v>
      </c>
      <c r="E1901" s="5">
        <v>181.32766699999999</v>
      </c>
      <c r="F1901" s="28">
        <v>64.837879999999998</v>
      </c>
      <c r="G1901" s="28">
        <v>102.28</v>
      </c>
      <c r="H1901" s="28">
        <v>107.8205</v>
      </c>
      <c r="I1901" s="28">
        <v>93.269890000000004</v>
      </c>
      <c r="J1901" s="29"/>
      <c r="K1901" s="29"/>
      <c r="L1901" s="29"/>
      <c r="M1901" s="29"/>
      <c r="N1901" s="29"/>
      <c r="P1901" s="4">
        <f t="shared" si="120"/>
        <v>9.4905170282854751E-3</v>
      </c>
      <c r="Q1901" s="4">
        <f t="shared" si="120"/>
        <v>3.7776072651667892E-3</v>
      </c>
      <c r="R1901" s="4">
        <f t="shared" si="120"/>
        <v>3.5259585991327049E-3</v>
      </c>
      <c r="S1901" s="4">
        <f t="shared" si="120"/>
        <v>9.9481791310890577E-3</v>
      </c>
      <c r="T1901" s="4">
        <f t="shared" si="120"/>
        <v>9.3804197044385744E-3</v>
      </c>
      <c r="U1901" s="35"/>
      <c r="V1901" s="35"/>
      <c r="W1901" s="35"/>
      <c r="X1901" s="35"/>
    </row>
    <row r="1902" spans="4:24" x14ac:dyDescent="0.3">
      <c r="D1902" s="23">
        <v>42340</v>
      </c>
      <c r="E1902" s="5">
        <v>179.477203</v>
      </c>
      <c r="F1902" s="28">
        <v>64.758269999999996</v>
      </c>
      <c r="G1902" s="28">
        <v>100.69</v>
      </c>
      <c r="H1902" s="28">
        <v>107.1558</v>
      </c>
      <c r="I1902" s="28">
        <v>92.295630000000003</v>
      </c>
      <c r="J1902" s="29"/>
      <c r="K1902" s="29"/>
      <c r="L1902" s="29"/>
      <c r="M1902" s="29"/>
      <c r="N1902" s="29"/>
      <c r="P1902" s="4">
        <f t="shared" si="120"/>
        <v>-1.0257512460552558E-2</v>
      </c>
      <c r="Q1902" s="4">
        <f t="shared" si="120"/>
        <v>-1.2285860345969701E-3</v>
      </c>
      <c r="R1902" s="4">
        <f t="shared" si="120"/>
        <v>-1.5667660495462431E-2</v>
      </c>
      <c r="S1902" s="4">
        <f t="shared" si="120"/>
        <v>-6.1839571920203444E-3</v>
      </c>
      <c r="T1902" s="4">
        <f t="shared" si="120"/>
        <v>-1.0500538590526938E-2</v>
      </c>
      <c r="U1902" s="35"/>
      <c r="V1902" s="35"/>
      <c r="W1902" s="35"/>
      <c r="X1902" s="35"/>
    </row>
    <row r="1903" spans="4:24" x14ac:dyDescent="0.3">
      <c r="D1903" s="23">
        <v>42341</v>
      </c>
      <c r="E1903" s="5">
        <v>176.96409600000001</v>
      </c>
      <c r="F1903" s="28">
        <v>64.256609999999995</v>
      </c>
      <c r="G1903" s="28">
        <v>101.76</v>
      </c>
      <c r="H1903" s="28">
        <v>105.3394</v>
      </c>
      <c r="I1903" s="28">
        <v>90.916150000000002</v>
      </c>
      <c r="J1903" s="29"/>
      <c r="K1903" s="29"/>
      <c r="L1903" s="29"/>
      <c r="M1903" s="29"/>
      <c r="N1903" s="29"/>
      <c r="P1903" s="4">
        <f t="shared" si="120"/>
        <v>-1.410133253740763E-2</v>
      </c>
      <c r="Q1903" s="4">
        <f t="shared" si="120"/>
        <v>-7.7768165705670682E-3</v>
      </c>
      <c r="R1903" s="4">
        <f t="shared" si="120"/>
        <v>1.0570609664288558E-2</v>
      </c>
      <c r="S1903" s="4">
        <f t="shared" si="120"/>
        <v>-1.7096331982323746E-2</v>
      </c>
      <c r="T1903" s="4">
        <f t="shared" si="120"/>
        <v>-1.5059141606671976E-2</v>
      </c>
      <c r="U1903" s="35"/>
      <c r="V1903" s="35"/>
      <c r="W1903" s="35"/>
      <c r="X1903" s="35"/>
    </row>
    <row r="1904" spans="4:24" x14ac:dyDescent="0.3">
      <c r="D1904" s="23">
        <v>42342</v>
      </c>
      <c r="E1904" s="5">
        <v>180.415314</v>
      </c>
      <c r="F1904" s="28">
        <v>64.511409999999998</v>
      </c>
      <c r="G1904" s="28">
        <v>104.02</v>
      </c>
      <c r="H1904" s="28">
        <v>107.8018</v>
      </c>
      <c r="I1904" s="28">
        <v>92.588769999999997</v>
      </c>
      <c r="J1904" s="29"/>
      <c r="K1904" s="29"/>
      <c r="L1904" s="29"/>
      <c r="M1904" s="29"/>
      <c r="N1904" s="29"/>
      <c r="P1904" s="4">
        <f t="shared" si="120"/>
        <v>1.931462862102545E-2</v>
      </c>
      <c r="Q1904" s="4">
        <f t="shared" si="120"/>
        <v>3.9575095206693554E-3</v>
      </c>
      <c r="R1904" s="4">
        <f t="shared" si="120"/>
        <v>2.1966088753114277E-2</v>
      </c>
      <c r="S1904" s="4">
        <f t="shared" si="120"/>
        <v>2.3106837726633144E-2</v>
      </c>
      <c r="T1904" s="4">
        <f t="shared" si="120"/>
        <v>1.8230206830593832E-2</v>
      </c>
      <c r="U1904" s="35"/>
      <c r="V1904" s="35"/>
      <c r="W1904" s="35"/>
      <c r="X1904" s="35"/>
    </row>
    <row r="1905" spans="4:24" x14ac:dyDescent="0.3">
      <c r="D1905" s="23">
        <v>42345</v>
      </c>
      <c r="E1905" s="5">
        <v>179.32229599999999</v>
      </c>
      <c r="F1905" s="28">
        <v>64.622879999999995</v>
      </c>
      <c r="G1905" s="28">
        <v>102.67</v>
      </c>
      <c r="H1905" s="28">
        <v>107.315</v>
      </c>
      <c r="I1905" s="28">
        <v>91.864559999999997</v>
      </c>
      <c r="J1905" s="29"/>
      <c r="K1905" s="29"/>
      <c r="L1905" s="29"/>
      <c r="M1905" s="29"/>
      <c r="N1905" s="29"/>
      <c r="P1905" s="4">
        <f t="shared" si="120"/>
        <v>-6.0767700296879314E-3</v>
      </c>
      <c r="Q1905" s="4">
        <f t="shared" si="120"/>
        <v>1.7264202666325602E-3</v>
      </c>
      <c r="R1905" s="4">
        <f t="shared" si="120"/>
        <v>-1.306322703405295E-2</v>
      </c>
      <c r="S1905" s="4">
        <f t="shared" si="120"/>
        <v>-4.5259210899917411E-3</v>
      </c>
      <c r="T1905" s="4">
        <f t="shared" si="120"/>
        <v>-7.8525415764948234E-3</v>
      </c>
      <c r="U1905" s="35"/>
      <c r="V1905" s="35"/>
      <c r="W1905" s="35"/>
      <c r="X1905" s="35"/>
    </row>
    <row r="1906" spans="4:24" x14ac:dyDescent="0.3">
      <c r="D1906" s="23">
        <v>42346</v>
      </c>
      <c r="E1906" s="5">
        <v>178.117355</v>
      </c>
      <c r="F1906" s="28">
        <v>64.638800000000003</v>
      </c>
      <c r="G1906" s="28">
        <v>102.84</v>
      </c>
      <c r="H1906" s="28">
        <v>107.32429999999999</v>
      </c>
      <c r="I1906" s="28">
        <v>91.312740000000005</v>
      </c>
      <c r="J1906" s="29"/>
      <c r="K1906" s="29"/>
      <c r="L1906" s="29"/>
      <c r="M1906" s="29"/>
      <c r="N1906" s="29"/>
      <c r="P1906" s="4">
        <f t="shared" si="120"/>
        <v>-6.7420923276016557E-3</v>
      </c>
      <c r="Q1906" s="4">
        <f t="shared" si="120"/>
        <v>2.4632203574191951E-4</v>
      </c>
      <c r="R1906" s="4">
        <f t="shared" si="120"/>
        <v>1.6544210868152589E-3</v>
      </c>
      <c r="S1906" s="4">
        <f t="shared" si="120"/>
        <v>8.6657010210213758E-5</v>
      </c>
      <c r="T1906" s="4">
        <f t="shared" si="120"/>
        <v>-6.0250005790405802E-3</v>
      </c>
      <c r="U1906" s="35"/>
      <c r="V1906" s="35"/>
      <c r="W1906" s="35"/>
      <c r="X1906" s="35"/>
    </row>
    <row r="1907" spans="4:24" x14ac:dyDescent="0.3">
      <c r="D1907" s="23">
        <v>42347</v>
      </c>
      <c r="E1907" s="5">
        <v>176.73161300000001</v>
      </c>
      <c r="F1907" s="28">
        <v>64.614930000000001</v>
      </c>
      <c r="G1907" s="28">
        <v>102.64</v>
      </c>
      <c r="H1907" s="28">
        <v>105.6952</v>
      </c>
      <c r="I1907" s="28">
        <v>90.528170000000003</v>
      </c>
      <c r="J1907" s="29"/>
      <c r="K1907" s="29"/>
      <c r="L1907" s="29"/>
      <c r="M1907" s="29"/>
      <c r="N1907" s="29"/>
      <c r="P1907" s="4">
        <f t="shared" si="120"/>
        <v>-7.8103597267885688E-3</v>
      </c>
      <c r="Q1907" s="4">
        <f t="shared" si="120"/>
        <v>-3.6935104729847364E-4</v>
      </c>
      <c r="R1907" s="4">
        <f t="shared" si="120"/>
        <v>-1.9466620903077659E-3</v>
      </c>
      <c r="S1907" s="4">
        <f t="shared" si="120"/>
        <v>-1.5295611540881958E-2</v>
      </c>
      <c r="T1907" s="4">
        <f t="shared" si="120"/>
        <v>-8.6292448547868172E-3</v>
      </c>
      <c r="U1907" s="35"/>
      <c r="V1907" s="35"/>
      <c r="W1907" s="35"/>
      <c r="X1907" s="35"/>
    </row>
    <row r="1908" spans="4:24" x14ac:dyDescent="0.3">
      <c r="D1908" s="23">
        <v>42348</v>
      </c>
      <c r="E1908" s="5">
        <v>177.18777499999999</v>
      </c>
      <c r="F1908" s="28">
        <v>64.606949999999998</v>
      </c>
      <c r="G1908" s="28">
        <v>102.55</v>
      </c>
      <c r="H1908" s="28">
        <v>106.17270000000001</v>
      </c>
      <c r="I1908" s="28">
        <v>90.795439999999999</v>
      </c>
      <c r="J1908" s="29"/>
      <c r="K1908" s="29"/>
      <c r="L1908" s="29"/>
      <c r="M1908" s="29"/>
      <c r="N1908" s="29"/>
      <c r="P1908" s="4">
        <f t="shared" si="120"/>
        <v>2.5777748722640419E-3</v>
      </c>
      <c r="Q1908" s="4">
        <f t="shared" si="120"/>
        <v>-1.2350849577714881E-4</v>
      </c>
      <c r="R1908" s="4">
        <f t="shared" si="120"/>
        <v>-8.7723578899136093E-4</v>
      </c>
      <c r="S1908" s="4">
        <f t="shared" si="120"/>
        <v>4.5075333118524859E-3</v>
      </c>
      <c r="T1908" s="4">
        <f t="shared" si="120"/>
        <v>2.947991092417614E-3</v>
      </c>
      <c r="U1908" s="35"/>
      <c r="V1908" s="35"/>
      <c r="W1908" s="35"/>
      <c r="X1908" s="35"/>
    </row>
    <row r="1909" spans="4:24" x14ac:dyDescent="0.3">
      <c r="D1909" s="23">
        <v>42349</v>
      </c>
      <c r="E1909" s="5">
        <v>173.75376900000001</v>
      </c>
      <c r="F1909" s="28">
        <v>64.782139999999998</v>
      </c>
      <c r="G1909" s="28">
        <v>103.11</v>
      </c>
      <c r="H1909" s="28">
        <v>103.7291</v>
      </c>
      <c r="I1909" s="28">
        <v>89.010769999999994</v>
      </c>
      <c r="J1909" s="29"/>
      <c r="K1909" s="29"/>
      <c r="L1909" s="29"/>
      <c r="M1909" s="29"/>
      <c r="N1909" s="29"/>
      <c r="P1909" s="4">
        <f t="shared" ref="P1909:T1924" si="121">LN(E1909/E1908)</f>
        <v>-1.9570869653122869E-2</v>
      </c>
      <c r="Q1909" s="4">
        <f t="shared" si="121"/>
        <v>2.7079579438453174E-3</v>
      </c>
      <c r="R1909" s="4">
        <f t="shared" si="121"/>
        <v>5.4458950114625376E-3</v>
      </c>
      <c r="S1909" s="4">
        <f t="shared" si="121"/>
        <v>-2.3284320580060656E-2</v>
      </c>
      <c r="T1909" s="4">
        <f t="shared" si="121"/>
        <v>-1.9851690435024837E-2</v>
      </c>
      <c r="U1909" s="35"/>
      <c r="V1909" s="35"/>
      <c r="W1909" s="35"/>
      <c r="X1909" s="35"/>
    </row>
    <row r="1910" spans="4:24" x14ac:dyDescent="0.3">
      <c r="D1910" s="23">
        <v>42352</v>
      </c>
      <c r="E1910" s="5">
        <v>174.631561</v>
      </c>
      <c r="F1910" s="28">
        <v>64.479579999999999</v>
      </c>
      <c r="G1910" s="28">
        <v>101.79</v>
      </c>
      <c r="H1910" s="28">
        <v>104.5155</v>
      </c>
      <c r="I1910" s="28">
        <v>89.329750000000004</v>
      </c>
      <c r="J1910" s="29"/>
      <c r="K1910" s="29"/>
      <c r="L1910" s="29"/>
      <c r="M1910" s="29"/>
      <c r="N1910" s="29"/>
      <c r="P1910" s="4">
        <f t="shared" si="121"/>
        <v>5.0392125152269266E-3</v>
      </c>
      <c r="Q1910" s="4">
        <f t="shared" si="121"/>
        <v>-4.6813635553379735E-3</v>
      </c>
      <c r="R1910" s="4">
        <f t="shared" si="121"/>
        <v>-1.2884512065603719E-2</v>
      </c>
      <c r="S1910" s="4">
        <f t="shared" si="121"/>
        <v>7.552692729850893E-3</v>
      </c>
      <c r="T1910" s="4">
        <f t="shared" si="121"/>
        <v>3.5772054511173847E-3</v>
      </c>
      <c r="U1910" s="35"/>
      <c r="V1910" s="35"/>
      <c r="W1910" s="35"/>
      <c r="X1910" s="35"/>
    </row>
    <row r="1911" spans="4:24" x14ac:dyDescent="0.3">
      <c r="D1911" s="23">
        <v>42353</v>
      </c>
      <c r="E1911" s="5">
        <v>176.46487400000001</v>
      </c>
      <c r="F1911" s="28">
        <v>64.407899999999998</v>
      </c>
      <c r="G1911" s="28">
        <v>101.52</v>
      </c>
      <c r="H1911" s="28">
        <v>105.15219999999999</v>
      </c>
      <c r="I1911" s="28">
        <v>90.286770000000004</v>
      </c>
      <c r="J1911" s="29"/>
      <c r="K1911" s="29"/>
      <c r="L1911" s="29"/>
      <c r="M1911" s="29"/>
      <c r="N1911" s="29"/>
      <c r="P1911" s="4">
        <f t="shared" si="121"/>
        <v>1.0443453591909535E-2</v>
      </c>
      <c r="Q1911" s="4">
        <f t="shared" si="121"/>
        <v>-1.1122881352031836E-3</v>
      </c>
      <c r="R1911" s="4">
        <f t="shared" si="121"/>
        <v>-2.6560440581162963E-3</v>
      </c>
      <c r="S1911" s="4">
        <f t="shared" si="121"/>
        <v>6.0734386569159179E-3</v>
      </c>
      <c r="T1911" s="4">
        <f t="shared" si="121"/>
        <v>1.0656358963212736E-2</v>
      </c>
      <c r="U1911" s="35"/>
      <c r="V1911" s="35"/>
      <c r="W1911" s="35"/>
      <c r="X1911" s="35"/>
    </row>
    <row r="1912" spans="4:24" x14ac:dyDescent="0.3">
      <c r="D1912" s="23">
        <v>42354</v>
      </c>
      <c r="E1912" s="5">
        <v>179.04688999999999</v>
      </c>
      <c r="F1912" s="28">
        <v>64.336269999999999</v>
      </c>
      <c r="G1912" s="28">
        <v>102.75</v>
      </c>
      <c r="H1912" s="28">
        <v>106.7158</v>
      </c>
      <c r="I1912" s="28">
        <v>91.597239999999999</v>
      </c>
      <c r="J1912" s="29"/>
      <c r="K1912" s="29"/>
      <c r="L1912" s="29"/>
      <c r="M1912" s="29"/>
      <c r="N1912" s="29"/>
      <c r="P1912" s="4">
        <f t="shared" si="121"/>
        <v>1.4525884440617811E-2</v>
      </c>
      <c r="Q1912" s="4">
        <f t="shared" si="121"/>
        <v>-1.1127495309665391E-3</v>
      </c>
      <c r="R1912" s="4">
        <f t="shared" si="121"/>
        <v>1.2043029970211743E-2</v>
      </c>
      <c r="S1912" s="4">
        <f t="shared" si="121"/>
        <v>1.4760401649018763E-2</v>
      </c>
      <c r="T1912" s="4">
        <f t="shared" si="121"/>
        <v>1.4410202160614078E-2</v>
      </c>
      <c r="U1912" s="35"/>
      <c r="V1912" s="35"/>
      <c r="W1912" s="35"/>
      <c r="X1912" s="35"/>
    </row>
    <row r="1913" spans="4:24" x14ac:dyDescent="0.3">
      <c r="D1913" s="23">
        <v>42355</v>
      </c>
      <c r="E1913" s="5">
        <v>176.31854200000001</v>
      </c>
      <c r="F1913" s="28">
        <v>64.471620000000001</v>
      </c>
      <c r="G1913" s="28">
        <v>100.5</v>
      </c>
      <c r="H1913" s="28">
        <v>105.16160000000001</v>
      </c>
      <c r="I1913" s="28">
        <v>90.252269999999996</v>
      </c>
      <c r="J1913" s="29"/>
      <c r="K1913" s="29"/>
      <c r="L1913" s="29"/>
      <c r="M1913" s="29"/>
      <c r="N1913" s="29"/>
      <c r="P1913" s="4">
        <f t="shared" si="121"/>
        <v>-1.5355469969617166E-2</v>
      </c>
      <c r="Q1913" s="4">
        <f t="shared" si="121"/>
        <v>2.101580109976367E-3</v>
      </c>
      <c r="R1913" s="4">
        <f t="shared" si="121"/>
        <v>-2.2141125877213518E-2</v>
      </c>
      <c r="S1913" s="4">
        <f t="shared" si="121"/>
        <v>-1.4671011413986411E-2</v>
      </c>
      <c r="T1913" s="4">
        <f t="shared" si="121"/>
        <v>-1.479239097052419E-2</v>
      </c>
      <c r="U1913" s="35"/>
      <c r="V1913" s="35"/>
      <c r="W1913" s="35"/>
      <c r="X1913" s="35"/>
    </row>
    <row r="1914" spans="4:24" x14ac:dyDescent="0.3">
      <c r="D1914" s="23">
        <v>42356</v>
      </c>
      <c r="E1914" s="5">
        <v>173.17738299999999</v>
      </c>
      <c r="F1914" s="28">
        <v>64.614930000000001</v>
      </c>
      <c r="G1914" s="28">
        <v>102.04</v>
      </c>
      <c r="H1914" s="28">
        <v>103.1443</v>
      </c>
      <c r="I1914" s="28">
        <v>88.717590000000001</v>
      </c>
      <c r="J1914" s="29"/>
      <c r="K1914" s="29"/>
      <c r="L1914" s="29"/>
      <c r="M1914" s="29"/>
      <c r="N1914" s="29"/>
      <c r="P1914" s="4">
        <f t="shared" si="121"/>
        <v>-1.7975852413363073E-2</v>
      </c>
      <c r="Q1914" s="4">
        <f t="shared" si="121"/>
        <v>2.2203716634632167E-3</v>
      </c>
      <c r="R1914" s="4">
        <f t="shared" si="121"/>
        <v>1.5207165774480237E-2</v>
      </c>
      <c r="S1914" s="4">
        <f t="shared" si="121"/>
        <v>-1.9369235997210799E-2</v>
      </c>
      <c r="T1914" s="4">
        <f t="shared" si="121"/>
        <v>-1.7150570689897775E-2</v>
      </c>
      <c r="U1914" s="35"/>
      <c r="V1914" s="35"/>
      <c r="W1914" s="35"/>
      <c r="X1914" s="35"/>
    </row>
    <row r="1915" spans="4:24" x14ac:dyDescent="0.3">
      <c r="D1915" s="23">
        <v>42359</v>
      </c>
      <c r="E1915" s="5">
        <v>174.60595699999999</v>
      </c>
      <c r="F1915" s="28">
        <v>64.543289999999999</v>
      </c>
      <c r="G1915" s="28">
        <v>103.15</v>
      </c>
      <c r="H1915" s="28">
        <v>104.29</v>
      </c>
      <c r="I1915" s="28">
        <v>89.422550000000001</v>
      </c>
      <c r="J1915" s="29"/>
      <c r="K1915" s="29"/>
      <c r="L1915" s="29"/>
      <c r="M1915" s="29"/>
      <c r="N1915" s="29"/>
      <c r="P1915" s="4">
        <f t="shared" si="121"/>
        <v>8.215356346723551E-3</v>
      </c>
      <c r="Q1915" s="4">
        <f t="shared" si="121"/>
        <v>-1.1093371733809439E-3</v>
      </c>
      <c r="R1915" s="4">
        <f t="shared" si="121"/>
        <v>1.0819346243650267E-2</v>
      </c>
      <c r="S1915" s="4">
        <f t="shared" si="121"/>
        <v>1.1046501473784992E-2</v>
      </c>
      <c r="T1915" s="4">
        <f t="shared" si="121"/>
        <v>7.9147089481476484E-3</v>
      </c>
      <c r="U1915" s="35"/>
      <c r="V1915" s="35"/>
      <c r="W1915" s="35"/>
      <c r="X1915" s="35"/>
    </row>
    <row r="1916" spans="4:24" x14ac:dyDescent="0.3">
      <c r="D1916" s="23">
        <v>42360</v>
      </c>
      <c r="E1916" s="5">
        <v>176.19039900000001</v>
      </c>
      <c r="F1916" s="28">
        <v>64.455730000000003</v>
      </c>
      <c r="G1916" s="28">
        <v>102.61</v>
      </c>
      <c r="H1916" s="28">
        <v>104.9756</v>
      </c>
      <c r="I1916" s="28">
        <v>90.228920000000002</v>
      </c>
      <c r="J1916" s="29"/>
      <c r="K1916" s="29"/>
      <c r="L1916" s="29"/>
      <c r="M1916" s="29"/>
      <c r="N1916" s="29"/>
      <c r="P1916" s="4">
        <f t="shared" si="121"/>
        <v>9.0334619932289483E-3</v>
      </c>
      <c r="Q1916" s="4">
        <f t="shared" si="121"/>
        <v>-1.3575299013424101E-3</v>
      </c>
      <c r="R1916" s="4">
        <f t="shared" si="121"/>
        <v>-5.2488456431430677E-3</v>
      </c>
      <c r="S1916" s="4">
        <f t="shared" si="121"/>
        <v>6.5524620673836137E-3</v>
      </c>
      <c r="T1916" s="4">
        <f t="shared" si="121"/>
        <v>8.9771090137758299E-3</v>
      </c>
      <c r="U1916" s="35"/>
      <c r="V1916" s="35"/>
      <c r="W1916" s="35"/>
      <c r="X1916" s="35"/>
    </row>
    <row r="1917" spans="4:24" x14ac:dyDescent="0.3">
      <c r="D1917" s="23">
        <v>42361</v>
      </c>
      <c r="E1917" s="5">
        <v>178.37217699999999</v>
      </c>
      <c r="F1917" s="28">
        <v>64.463679999999997</v>
      </c>
      <c r="G1917" s="28">
        <v>102.31</v>
      </c>
      <c r="H1917" s="28">
        <v>105.7551</v>
      </c>
      <c r="I1917" s="28">
        <v>91.35615</v>
      </c>
      <c r="J1917" s="29"/>
      <c r="K1917" s="29"/>
      <c r="L1917" s="29"/>
      <c r="M1917" s="29"/>
      <c r="N1917" s="29"/>
      <c r="P1917" s="4">
        <f t="shared" si="121"/>
        <v>1.2307026662246054E-2</v>
      </c>
      <c r="Q1917" s="4">
        <f t="shared" si="121"/>
        <v>1.2333286368704569E-4</v>
      </c>
      <c r="R1917" s="4">
        <f t="shared" si="121"/>
        <v>-2.9279739832691054E-3</v>
      </c>
      <c r="S1917" s="4">
        <f t="shared" si="121"/>
        <v>7.3981015133546416E-3</v>
      </c>
      <c r="T1917" s="4">
        <f t="shared" si="121"/>
        <v>1.2415607515736971E-2</v>
      </c>
      <c r="U1917" s="35"/>
      <c r="V1917" s="35"/>
      <c r="W1917" s="35"/>
      <c r="X1917" s="35"/>
    </row>
    <row r="1918" spans="4:24" x14ac:dyDescent="0.3">
      <c r="D1918" s="23">
        <v>42362</v>
      </c>
      <c r="E1918" s="5">
        <v>178.077789</v>
      </c>
      <c r="F1918" s="28">
        <v>64.51155</v>
      </c>
      <c r="G1918" s="28">
        <v>103.05</v>
      </c>
      <c r="H1918" s="28">
        <v>105.7363</v>
      </c>
      <c r="I1918" s="28">
        <v>91.24342</v>
      </c>
      <c r="J1918" s="29"/>
      <c r="K1918" s="29"/>
      <c r="L1918" s="29"/>
      <c r="M1918" s="29"/>
      <c r="N1918" s="29"/>
      <c r="P1918" s="4">
        <f t="shared" si="121"/>
        <v>-1.6517777809706754E-3</v>
      </c>
      <c r="Q1918" s="4">
        <f t="shared" si="121"/>
        <v>7.4231311234183471E-4</v>
      </c>
      <c r="R1918" s="4">
        <f t="shared" si="121"/>
        <v>7.2068874456194748E-3</v>
      </c>
      <c r="S1918" s="4">
        <f t="shared" si="121"/>
        <v>-1.7778500732908031E-4</v>
      </c>
      <c r="T1918" s="4">
        <f t="shared" si="121"/>
        <v>-1.2347237654700828E-3</v>
      </c>
      <c r="U1918" s="35"/>
      <c r="V1918" s="35"/>
      <c r="W1918" s="35"/>
      <c r="X1918" s="35"/>
    </row>
    <row r="1919" spans="4:24" x14ac:dyDescent="0.3">
      <c r="D1919" s="23">
        <v>42366</v>
      </c>
      <c r="E1919" s="5">
        <v>177.67089799999999</v>
      </c>
      <c r="F1919" s="28">
        <v>64.51155</v>
      </c>
      <c r="G1919" s="28">
        <v>102.27</v>
      </c>
      <c r="H1919" s="28">
        <v>105.68</v>
      </c>
      <c r="I1919" s="28">
        <v>91.04401</v>
      </c>
      <c r="J1919" s="29"/>
      <c r="K1919" s="29"/>
      <c r="L1919" s="29"/>
      <c r="M1919" s="29"/>
      <c r="N1919" s="29"/>
      <c r="P1919" s="4">
        <f t="shared" si="121"/>
        <v>-2.2875203327447427E-3</v>
      </c>
      <c r="Q1919" s="4">
        <f t="shared" si="121"/>
        <v>0</v>
      </c>
      <c r="R1919" s="4">
        <f t="shared" si="121"/>
        <v>-7.5979325185465841E-3</v>
      </c>
      <c r="S1919" s="4">
        <f t="shared" si="121"/>
        <v>-5.3259849246099983E-4</v>
      </c>
      <c r="T1919" s="4">
        <f t="shared" si="121"/>
        <v>-2.1878642926043768E-3</v>
      </c>
      <c r="U1919" s="35"/>
      <c r="V1919" s="35"/>
      <c r="W1919" s="35"/>
      <c r="X1919" s="35"/>
    </row>
    <row r="1920" spans="4:24" x14ac:dyDescent="0.3">
      <c r="D1920" s="23">
        <v>42367</v>
      </c>
      <c r="E1920" s="5">
        <v>179.567001</v>
      </c>
      <c r="F1920" s="28">
        <v>64.312020000000004</v>
      </c>
      <c r="G1920" s="28">
        <v>102.2</v>
      </c>
      <c r="H1920" s="28">
        <v>107.34220000000001</v>
      </c>
      <c r="I1920" s="28">
        <v>92.015110000000007</v>
      </c>
      <c r="J1920" s="29"/>
      <c r="K1920" s="29"/>
      <c r="L1920" s="29"/>
      <c r="M1920" s="29"/>
      <c r="N1920" s="29"/>
      <c r="P1920" s="4">
        <f t="shared" si="121"/>
        <v>1.0615451557160004E-2</v>
      </c>
      <c r="Q1920" s="4">
        <f t="shared" si="121"/>
        <v>-3.0977275285269568E-3</v>
      </c>
      <c r="R1920" s="4">
        <f t="shared" si="121"/>
        <v>-6.8469704831724014E-4</v>
      </c>
      <c r="S1920" s="4">
        <f t="shared" si="121"/>
        <v>1.5606201945970422E-2</v>
      </c>
      <c r="T1920" s="4">
        <f t="shared" si="121"/>
        <v>1.060978671277189E-2</v>
      </c>
      <c r="U1920" s="35"/>
      <c r="V1920" s="35"/>
      <c r="W1920" s="35"/>
      <c r="X1920" s="35"/>
    </row>
    <row r="1921" spans="4:24" x14ac:dyDescent="0.3">
      <c r="D1921" s="23">
        <v>42368</v>
      </c>
      <c r="E1921" s="5">
        <v>178.294296</v>
      </c>
      <c r="F1921" s="28">
        <v>64.351879999999994</v>
      </c>
      <c r="G1921" s="28">
        <v>101.42</v>
      </c>
      <c r="H1921" s="28">
        <v>106.3749</v>
      </c>
      <c r="I1921" s="28">
        <v>91.321470000000005</v>
      </c>
      <c r="J1921" s="29"/>
      <c r="K1921" s="29"/>
      <c r="L1921" s="29"/>
      <c r="M1921" s="29"/>
      <c r="N1921" s="29"/>
      <c r="P1921" s="4">
        <f t="shared" si="121"/>
        <v>-7.1128695753687613E-3</v>
      </c>
      <c r="Q1921" s="4">
        <f t="shared" si="121"/>
        <v>6.1959883502975168E-4</v>
      </c>
      <c r="R1921" s="4">
        <f t="shared" si="121"/>
        <v>-7.6613674027310166E-3</v>
      </c>
      <c r="S1921" s="4">
        <f t="shared" si="121"/>
        <v>-9.0522153374494405E-3</v>
      </c>
      <c r="T1921" s="4">
        <f t="shared" si="121"/>
        <v>-7.566883921197083E-3</v>
      </c>
      <c r="U1921" s="35"/>
      <c r="V1921" s="35"/>
      <c r="W1921" s="35"/>
      <c r="X1921" s="35"/>
    </row>
    <row r="1922" spans="4:24" x14ac:dyDescent="0.3">
      <c r="D1922" s="23">
        <v>42369</v>
      </c>
      <c r="E1922" s="5">
        <v>176.510773</v>
      </c>
      <c r="F1922" s="28">
        <v>64.479690000000005</v>
      </c>
      <c r="G1922" s="28">
        <v>101.46</v>
      </c>
      <c r="H1922" s="28">
        <v>105.05070000000001</v>
      </c>
      <c r="I1922" s="28">
        <v>90.437049999999999</v>
      </c>
      <c r="J1922" s="29"/>
      <c r="K1922" s="29"/>
      <c r="L1922" s="29"/>
      <c r="M1922" s="29"/>
      <c r="N1922" s="29"/>
      <c r="P1922" s="4">
        <f t="shared" si="121"/>
        <v>-1.0053621993135337E-2</v>
      </c>
      <c r="Q1922" s="4">
        <f t="shared" si="121"/>
        <v>1.9841416499140306E-3</v>
      </c>
      <c r="R1922" s="4">
        <f t="shared" si="121"/>
        <v>3.943217716707387E-4</v>
      </c>
      <c r="S1922" s="4">
        <f t="shared" si="121"/>
        <v>-1.2526556060208015E-2</v>
      </c>
      <c r="T1922" s="4">
        <f t="shared" si="121"/>
        <v>-9.7318902052104181E-3</v>
      </c>
      <c r="U1922" s="35"/>
      <c r="V1922" s="35"/>
      <c r="W1922" s="35"/>
      <c r="X1922" s="35"/>
    </row>
    <row r="1923" spans="4:24" x14ac:dyDescent="0.3">
      <c r="D1923" s="23">
        <v>42373</v>
      </c>
      <c r="E1923" s="5">
        <v>174.04319799999999</v>
      </c>
      <c r="F1923" s="28">
        <v>64.447699999999998</v>
      </c>
      <c r="G1923" s="28">
        <v>102.89</v>
      </c>
      <c r="H1923" s="28">
        <v>102.8344</v>
      </c>
      <c r="I1923" s="28">
        <v>89.084370000000007</v>
      </c>
      <c r="J1923" s="29"/>
      <c r="K1923" s="29"/>
      <c r="L1923" s="29"/>
      <c r="M1923" s="29"/>
      <c r="N1923" s="29"/>
      <c r="P1923" s="4">
        <f t="shared" si="121"/>
        <v>-1.4078378568029003E-2</v>
      </c>
      <c r="Q1923" s="4">
        <f t="shared" si="121"/>
        <v>-4.9624832483625774E-4</v>
      </c>
      <c r="R1923" s="4">
        <f t="shared" si="121"/>
        <v>1.3995824249175032E-2</v>
      </c>
      <c r="S1923" s="4">
        <f t="shared" si="121"/>
        <v>-2.1323163367372149E-2</v>
      </c>
      <c r="T1923" s="4">
        <f t="shared" si="121"/>
        <v>-1.5070130353996892E-2</v>
      </c>
      <c r="U1923" s="35"/>
      <c r="V1923" s="35"/>
      <c r="W1923" s="35"/>
      <c r="X1923" s="35"/>
    </row>
    <row r="1924" spans="4:24" x14ac:dyDescent="0.3">
      <c r="D1924" s="23">
        <v>42374</v>
      </c>
      <c r="E1924" s="5">
        <v>174.33760100000001</v>
      </c>
      <c r="F1924" s="28">
        <v>64.527569999999997</v>
      </c>
      <c r="G1924" s="28">
        <v>103.18</v>
      </c>
      <c r="H1924" s="28">
        <v>102.65600000000001</v>
      </c>
      <c r="I1924" s="28">
        <v>89.283810000000003</v>
      </c>
      <c r="J1924" s="29"/>
      <c r="K1924" s="29"/>
      <c r="L1924" s="29"/>
      <c r="M1924" s="29"/>
      <c r="N1924" s="29"/>
      <c r="P1924" s="4">
        <f t="shared" si="121"/>
        <v>1.6901222508564091E-3</v>
      </c>
      <c r="Q1924" s="4">
        <f t="shared" si="121"/>
        <v>1.2385321652714921E-3</v>
      </c>
      <c r="R1924" s="4">
        <f t="shared" si="121"/>
        <v>2.8145794287849639E-3</v>
      </c>
      <c r="S1924" s="4">
        <f t="shared" si="121"/>
        <v>-1.736334591016253E-3</v>
      </c>
      <c r="T1924" s="4">
        <f t="shared" si="121"/>
        <v>2.2362742403418323E-3</v>
      </c>
      <c r="U1924" s="35"/>
      <c r="V1924" s="35"/>
      <c r="W1924" s="35"/>
      <c r="X1924" s="35"/>
    </row>
    <row r="1925" spans="4:24" x14ac:dyDescent="0.3">
      <c r="D1925" s="23">
        <v>42375</v>
      </c>
      <c r="E1925" s="5">
        <v>172.138474</v>
      </c>
      <c r="F1925" s="28">
        <v>64.814989999999995</v>
      </c>
      <c r="G1925" s="28">
        <v>104.67</v>
      </c>
      <c r="H1925" s="28">
        <v>101.6699</v>
      </c>
      <c r="I1925" s="28">
        <v>88.087230000000005</v>
      </c>
      <c r="J1925" s="29"/>
      <c r="K1925" s="29"/>
      <c r="L1925" s="29"/>
      <c r="M1925" s="29"/>
      <c r="N1925" s="29"/>
      <c r="P1925" s="4">
        <f t="shared" ref="P1925:T1940" si="122">LN(E1925/E1924)</f>
        <v>-1.269442071609312E-2</v>
      </c>
      <c r="Q1925" s="4">
        <f t="shared" si="122"/>
        <v>4.4443294317770849E-3</v>
      </c>
      <c r="R1925" s="4">
        <f t="shared" si="122"/>
        <v>1.4337508050288595E-2</v>
      </c>
      <c r="S1925" s="4">
        <f t="shared" si="122"/>
        <v>-9.6523020917177633E-3</v>
      </c>
      <c r="T1925" s="4">
        <f t="shared" si="122"/>
        <v>-1.349259893929936E-2</v>
      </c>
      <c r="U1925" s="35"/>
      <c r="V1925" s="35"/>
      <c r="W1925" s="35"/>
      <c r="X1925" s="35"/>
    </row>
    <row r="1926" spans="4:24" x14ac:dyDescent="0.3">
      <c r="D1926" s="23">
        <v>42376</v>
      </c>
      <c r="E1926" s="5">
        <v>168.008591</v>
      </c>
      <c r="F1926" s="28">
        <v>64.822969999999998</v>
      </c>
      <c r="G1926" s="28">
        <v>106.15</v>
      </c>
      <c r="H1926" s="28">
        <v>98.486230000000006</v>
      </c>
      <c r="I1926" s="28">
        <v>85.928190000000001</v>
      </c>
      <c r="J1926" s="29"/>
      <c r="K1926" s="29"/>
      <c r="L1926" s="29"/>
      <c r="M1926" s="29"/>
      <c r="N1926" s="29"/>
      <c r="P1926" s="4">
        <f t="shared" si="122"/>
        <v>-2.4284119304035925E-2</v>
      </c>
      <c r="Q1926" s="4">
        <f t="shared" si="122"/>
        <v>1.2311208862092831E-4</v>
      </c>
      <c r="R1926" s="4">
        <f t="shared" si="122"/>
        <v>1.4040644282472594E-2</v>
      </c>
      <c r="S1926" s="4">
        <f t="shared" si="122"/>
        <v>-3.1814549261053392E-2</v>
      </c>
      <c r="T1926" s="4">
        <f t="shared" si="122"/>
        <v>-2.4815626067518557E-2</v>
      </c>
      <c r="U1926" s="35"/>
      <c r="V1926" s="35"/>
      <c r="W1926" s="35"/>
      <c r="X1926" s="35"/>
    </row>
    <row r="1927" spans="4:24" x14ac:dyDescent="0.3">
      <c r="D1927" s="23">
        <v>42377</v>
      </c>
      <c r="E1927" s="5">
        <v>166.16445899999999</v>
      </c>
      <c r="F1927" s="28">
        <v>64.902810000000002</v>
      </c>
      <c r="G1927" s="28">
        <v>105.68</v>
      </c>
      <c r="H1927" s="28">
        <v>97.678600000000003</v>
      </c>
      <c r="I1927" s="28">
        <v>84.948400000000007</v>
      </c>
      <c r="J1927" s="29"/>
      <c r="K1927" s="29"/>
      <c r="L1927" s="29"/>
      <c r="M1927" s="29"/>
      <c r="N1927" s="29"/>
      <c r="P1927" s="4">
        <f t="shared" si="122"/>
        <v>-1.1037100212621071E-2</v>
      </c>
      <c r="Q1927" s="4">
        <f t="shared" si="122"/>
        <v>1.2309042979836231E-3</v>
      </c>
      <c r="R1927" s="4">
        <f t="shared" si="122"/>
        <v>-4.4375279351951766E-3</v>
      </c>
      <c r="S1927" s="4">
        <f t="shared" si="122"/>
        <v>-8.2342442658181903E-3</v>
      </c>
      <c r="T1927" s="4">
        <f t="shared" si="122"/>
        <v>-1.1467934114850864E-2</v>
      </c>
      <c r="U1927" s="35"/>
      <c r="V1927" s="35"/>
      <c r="W1927" s="35"/>
      <c r="X1927" s="35"/>
    </row>
    <row r="1928" spans="4:24" x14ac:dyDescent="0.3">
      <c r="D1928" s="23">
        <v>42380</v>
      </c>
      <c r="E1928" s="5">
        <v>166.328934</v>
      </c>
      <c r="F1928" s="28">
        <v>64.631360000000001</v>
      </c>
      <c r="G1928" s="28">
        <v>104.74</v>
      </c>
      <c r="H1928" s="28">
        <v>97.979140000000001</v>
      </c>
      <c r="I1928" s="28">
        <v>84.896360000000001</v>
      </c>
      <c r="J1928" s="29"/>
      <c r="K1928" s="29"/>
      <c r="L1928" s="29"/>
      <c r="M1928" s="29"/>
      <c r="N1928" s="29"/>
      <c r="P1928" s="4">
        <f t="shared" si="122"/>
        <v>9.8934304788230116E-4</v>
      </c>
      <c r="Q1928" s="4">
        <f t="shared" si="122"/>
        <v>-4.1911782405658409E-3</v>
      </c>
      <c r="R1928" s="4">
        <f t="shared" si="122"/>
        <v>-8.9345713627283444E-3</v>
      </c>
      <c r="S1928" s="4">
        <f t="shared" si="122"/>
        <v>3.0721016850126792E-3</v>
      </c>
      <c r="T1928" s="4">
        <f t="shared" si="122"/>
        <v>-6.1279490316338908E-4</v>
      </c>
      <c r="U1928" s="35"/>
      <c r="V1928" s="35"/>
      <c r="W1928" s="35"/>
      <c r="X1928" s="35"/>
    </row>
    <row r="1929" spans="4:24" x14ac:dyDescent="0.3">
      <c r="D1929" s="23">
        <v>42381</v>
      </c>
      <c r="E1929" s="5">
        <v>167.670929</v>
      </c>
      <c r="F1929" s="28">
        <v>64.799009999999996</v>
      </c>
      <c r="G1929" s="28">
        <v>104.21</v>
      </c>
      <c r="H1929" s="28">
        <v>99.115470000000002</v>
      </c>
      <c r="I1929" s="28">
        <v>85.477310000000003</v>
      </c>
      <c r="J1929" s="29"/>
      <c r="K1929" s="29"/>
      <c r="L1929" s="29"/>
      <c r="M1929" s="29"/>
      <c r="N1929" s="29"/>
      <c r="P1929" s="4">
        <f t="shared" si="122"/>
        <v>8.0359447438471433E-3</v>
      </c>
      <c r="Q1929" s="4">
        <f t="shared" si="122"/>
        <v>2.5905835509853086E-3</v>
      </c>
      <c r="R1929" s="4">
        <f t="shared" si="122"/>
        <v>-5.0729948470055429E-3</v>
      </c>
      <c r="S1929" s="4">
        <f t="shared" si="122"/>
        <v>1.1530935226915973E-2</v>
      </c>
      <c r="T1929" s="4">
        <f t="shared" si="122"/>
        <v>6.8197421774100772E-3</v>
      </c>
      <c r="U1929" s="35"/>
      <c r="V1929" s="35"/>
      <c r="W1929" s="35"/>
      <c r="X1929" s="35"/>
    </row>
    <row r="1930" spans="4:24" x14ac:dyDescent="0.3">
      <c r="D1930" s="23">
        <v>42382</v>
      </c>
      <c r="E1930" s="5">
        <v>163.48915099999999</v>
      </c>
      <c r="F1930" s="28">
        <v>64.958709999999996</v>
      </c>
      <c r="G1930" s="28">
        <v>104.72</v>
      </c>
      <c r="H1930" s="28">
        <v>95.697029999999998</v>
      </c>
      <c r="I1930" s="28">
        <v>83.274900000000002</v>
      </c>
      <c r="J1930" s="29"/>
      <c r="K1930" s="29"/>
      <c r="L1930" s="29"/>
      <c r="M1930" s="29"/>
      <c r="N1930" s="29"/>
      <c r="P1930" s="4">
        <f t="shared" si="122"/>
        <v>-2.5256669184008592E-2</v>
      </c>
      <c r="Q1930" s="4">
        <f t="shared" si="122"/>
        <v>2.4615118181133123E-3</v>
      </c>
      <c r="R1930" s="4">
        <f t="shared" si="122"/>
        <v>4.8820275973083188E-3</v>
      </c>
      <c r="S1930" s="4">
        <f t="shared" si="122"/>
        <v>-3.5098270602763437E-2</v>
      </c>
      <c r="T1930" s="4">
        <f t="shared" si="122"/>
        <v>-2.6103777367787174E-2</v>
      </c>
      <c r="U1930" s="35"/>
      <c r="V1930" s="35"/>
      <c r="W1930" s="35"/>
      <c r="X1930" s="35"/>
    </row>
    <row r="1931" spans="4:24" x14ac:dyDescent="0.3">
      <c r="D1931" s="23">
        <v>42383</v>
      </c>
      <c r="E1931" s="5">
        <v>166.17309599999999</v>
      </c>
      <c r="F1931" s="28">
        <v>64.878839999999997</v>
      </c>
      <c r="G1931" s="28">
        <v>103.02</v>
      </c>
      <c r="H1931" s="28">
        <v>97.734920000000002</v>
      </c>
      <c r="I1931" s="28">
        <v>84.549539999999993</v>
      </c>
      <c r="J1931" s="29"/>
      <c r="K1931" s="29"/>
      <c r="L1931" s="29"/>
      <c r="M1931" s="29"/>
      <c r="N1931" s="29"/>
      <c r="P1931" s="4">
        <f t="shared" si="122"/>
        <v>1.6283358665819144E-2</v>
      </c>
      <c r="Q1931" s="4">
        <f t="shared" si="122"/>
        <v>-1.2303067960637013E-3</v>
      </c>
      <c r="R1931" s="4">
        <f t="shared" si="122"/>
        <v>-1.6366977464205359E-2</v>
      </c>
      <c r="S1931" s="4">
        <f t="shared" si="122"/>
        <v>2.1071652370150396E-2</v>
      </c>
      <c r="T1931" s="4">
        <f t="shared" si="122"/>
        <v>1.5190451523644002E-2</v>
      </c>
      <c r="U1931" s="35"/>
      <c r="V1931" s="35"/>
      <c r="W1931" s="35"/>
      <c r="X1931" s="35"/>
    </row>
    <row r="1932" spans="4:24" x14ac:dyDescent="0.3">
      <c r="D1932" s="23">
        <v>42384</v>
      </c>
      <c r="E1932" s="5">
        <v>162.60601800000001</v>
      </c>
      <c r="F1932" s="28">
        <v>64.990610000000004</v>
      </c>
      <c r="G1932" s="28">
        <v>104.08</v>
      </c>
      <c r="H1932" s="28">
        <v>94.701549999999997</v>
      </c>
      <c r="I1932" s="28">
        <v>82.772000000000006</v>
      </c>
      <c r="J1932" s="29"/>
      <c r="K1932" s="29"/>
      <c r="L1932" s="29"/>
      <c r="M1932" s="29"/>
      <c r="N1932" s="29"/>
      <c r="P1932" s="4">
        <f t="shared" si="122"/>
        <v>-2.1699784562564675E-2</v>
      </c>
      <c r="Q1932" s="4">
        <f t="shared" si="122"/>
        <v>1.7212674358081553E-3</v>
      </c>
      <c r="R1932" s="4">
        <f t="shared" si="122"/>
        <v>1.0236690066810633E-2</v>
      </c>
      <c r="S1932" s="4">
        <f t="shared" si="122"/>
        <v>-3.1528548330393244E-2</v>
      </c>
      <c r="T1932" s="4">
        <f t="shared" si="122"/>
        <v>-2.1247794812495505E-2</v>
      </c>
      <c r="U1932" s="35"/>
      <c r="V1932" s="35"/>
      <c r="W1932" s="35"/>
      <c r="X1932" s="35"/>
    </row>
    <row r="1933" spans="4:24" x14ac:dyDescent="0.3">
      <c r="D1933" s="23">
        <v>42388</v>
      </c>
      <c r="E1933" s="5">
        <v>162.822418</v>
      </c>
      <c r="F1933" s="28">
        <v>64.910799999999995</v>
      </c>
      <c r="G1933" s="28">
        <v>103.98</v>
      </c>
      <c r="H1933" s="28">
        <v>94.908169999999998</v>
      </c>
      <c r="I1933" s="28">
        <v>82.685299999999998</v>
      </c>
      <c r="J1933" s="29"/>
      <c r="K1933" s="29"/>
      <c r="L1933" s="29"/>
      <c r="M1933" s="29"/>
      <c r="N1933" s="29"/>
      <c r="P1933" s="4">
        <f t="shared" si="122"/>
        <v>1.3299392920674384E-3</v>
      </c>
      <c r="Q1933" s="4">
        <f t="shared" si="122"/>
        <v>-1.2287781948182909E-3</v>
      </c>
      <c r="R1933" s="4">
        <f t="shared" si="122"/>
        <v>-9.6126124868003537E-4</v>
      </c>
      <c r="S1933" s="4">
        <f t="shared" si="122"/>
        <v>2.1794249976766736E-3</v>
      </c>
      <c r="T1933" s="4">
        <f t="shared" si="122"/>
        <v>-1.048004626393879E-3</v>
      </c>
      <c r="U1933" s="35"/>
      <c r="V1933" s="35"/>
      <c r="W1933" s="35"/>
      <c r="X1933" s="35"/>
    </row>
    <row r="1934" spans="4:24" x14ac:dyDescent="0.3">
      <c r="D1934" s="23">
        <v>42389</v>
      </c>
      <c r="E1934" s="5">
        <v>160.73582500000001</v>
      </c>
      <c r="F1934" s="28">
        <v>64.982640000000004</v>
      </c>
      <c r="G1934" s="28">
        <v>105.37</v>
      </c>
      <c r="H1934" s="28">
        <v>94.61703</v>
      </c>
      <c r="I1934" s="28">
        <v>81.870220000000003</v>
      </c>
      <c r="J1934" s="29"/>
      <c r="K1934" s="29"/>
      <c r="L1934" s="29"/>
      <c r="M1934" s="29"/>
      <c r="N1934" s="29"/>
      <c r="P1934" s="4">
        <f t="shared" si="122"/>
        <v>-1.2897967965741983E-2</v>
      </c>
      <c r="Q1934" s="4">
        <f t="shared" si="122"/>
        <v>1.1061375743830878E-3</v>
      </c>
      <c r="R1934" s="4">
        <f t="shared" si="122"/>
        <v>1.3279392655866636E-2</v>
      </c>
      <c r="S1934" s="4">
        <f t="shared" si="122"/>
        <v>-3.0723115343839684E-3</v>
      </c>
      <c r="T1934" s="4">
        <f t="shared" si="122"/>
        <v>-9.9065247514382934E-3</v>
      </c>
      <c r="U1934" s="35"/>
      <c r="V1934" s="35"/>
      <c r="W1934" s="35"/>
      <c r="X1934" s="35"/>
    </row>
    <row r="1935" spans="4:24" x14ac:dyDescent="0.3">
      <c r="D1935" s="23">
        <v>42390</v>
      </c>
      <c r="E1935" s="5">
        <v>161.63632200000001</v>
      </c>
      <c r="F1935" s="28">
        <v>64.942779999999999</v>
      </c>
      <c r="G1935" s="28">
        <v>105.49</v>
      </c>
      <c r="H1935" s="28">
        <v>94.710949999999997</v>
      </c>
      <c r="I1935" s="28">
        <v>82.191050000000004</v>
      </c>
      <c r="J1935" s="29"/>
      <c r="K1935" s="29"/>
      <c r="L1935" s="29"/>
      <c r="M1935" s="29"/>
      <c r="N1935" s="29"/>
      <c r="P1935" s="4">
        <f t="shared" si="122"/>
        <v>5.586706857391566E-3</v>
      </c>
      <c r="Q1935" s="4">
        <f t="shared" si="122"/>
        <v>-6.1358279620045441E-4</v>
      </c>
      <c r="R1935" s="4">
        <f t="shared" si="122"/>
        <v>1.138196082281115E-3</v>
      </c>
      <c r="S1935" s="4">
        <f t="shared" si="122"/>
        <v>9.9214080986992077E-4</v>
      </c>
      <c r="T1935" s="4">
        <f t="shared" si="122"/>
        <v>3.9111047838531338E-3</v>
      </c>
      <c r="U1935" s="35"/>
      <c r="V1935" s="35"/>
      <c r="W1935" s="35"/>
      <c r="X1935" s="35"/>
    </row>
    <row r="1936" spans="4:24" x14ac:dyDescent="0.3">
      <c r="D1936" s="23">
        <v>42391</v>
      </c>
      <c r="E1936" s="5">
        <v>164.95230100000001</v>
      </c>
      <c r="F1936" s="28">
        <v>64.918760000000006</v>
      </c>
      <c r="G1936" s="28">
        <v>105</v>
      </c>
      <c r="H1936" s="28">
        <v>97.453199999999995</v>
      </c>
      <c r="I1936" s="28">
        <v>83.942570000000003</v>
      </c>
      <c r="J1936" s="29"/>
      <c r="K1936" s="29"/>
      <c r="L1936" s="29"/>
      <c r="M1936" s="29"/>
      <c r="N1936" s="29"/>
      <c r="P1936" s="4">
        <f t="shared" si="122"/>
        <v>2.0307461576370985E-2</v>
      </c>
      <c r="Q1936" s="4">
        <f t="shared" si="122"/>
        <v>-3.699324722919736E-4</v>
      </c>
      <c r="R1936" s="4">
        <f t="shared" si="122"/>
        <v>-4.6558115361939288E-3</v>
      </c>
      <c r="S1936" s="4">
        <f t="shared" si="122"/>
        <v>2.8542640959433933E-2</v>
      </c>
      <c r="T1936" s="4">
        <f t="shared" si="122"/>
        <v>2.1086459188605276E-2</v>
      </c>
      <c r="U1936" s="35"/>
      <c r="V1936" s="35"/>
      <c r="W1936" s="35"/>
      <c r="X1936" s="35"/>
    </row>
    <row r="1937" spans="4:24" x14ac:dyDescent="0.3">
      <c r="D1937" s="23">
        <v>42394</v>
      </c>
      <c r="E1937" s="5">
        <v>162.45877100000001</v>
      </c>
      <c r="F1937" s="28">
        <v>64.918760000000006</v>
      </c>
      <c r="G1937" s="28">
        <v>106.08</v>
      </c>
      <c r="H1937" s="28">
        <v>96.006950000000003</v>
      </c>
      <c r="I1937" s="28">
        <v>82.563910000000007</v>
      </c>
      <c r="J1937" s="29"/>
      <c r="K1937" s="29"/>
      <c r="L1937" s="29"/>
      <c r="M1937" s="29"/>
      <c r="N1937" s="29"/>
      <c r="P1937" s="4">
        <f t="shared" si="122"/>
        <v>-1.5232094603884586E-2</v>
      </c>
      <c r="Q1937" s="4">
        <f t="shared" si="122"/>
        <v>0</v>
      </c>
      <c r="R1937" s="4">
        <f t="shared" si="122"/>
        <v>1.0233176280028953E-2</v>
      </c>
      <c r="S1937" s="4">
        <f t="shared" si="122"/>
        <v>-1.4951678086206449E-2</v>
      </c>
      <c r="T1937" s="4">
        <f t="shared" si="122"/>
        <v>-1.6560214436257346E-2</v>
      </c>
      <c r="U1937" s="35"/>
      <c r="V1937" s="35"/>
      <c r="W1937" s="35"/>
      <c r="X1937" s="35"/>
    </row>
    <row r="1938" spans="4:24" x14ac:dyDescent="0.3">
      <c r="D1938" s="23">
        <v>42395</v>
      </c>
      <c r="E1938" s="5">
        <v>164.675262</v>
      </c>
      <c r="F1938" s="28">
        <v>65.014589999999998</v>
      </c>
      <c r="G1938" s="28">
        <v>107.29</v>
      </c>
      <c r="H1938" s="28">
        <v>96.870930000000001</v>
      </c>
      <c r="I1938" s="28">
        <v>83.821169999999995</v>
      </c>
      <c r="J1938" s="29"/>
      <c r="K1938" s="29"/>
      <c r="L1938" s="29"/>
      <c r="M1938" s="29"/>
      <c r="N1938" s="29"/>
      <c r="P1938" s="4">
        <f t="shared" si="122"/>
        <v>1.3551172882960009E-2</v>
      </c>
      <c r="Q1938" s="4">
        <f t="shared" si="122"/>
        <v>1.4750642137015973E-3</v>
      </c>
      <c r="R1938" s="4">
        <f t="shared" si="122"/>
        <v>1.1341922211102652E-2</v>
      </c>
      <c r="S1938" s="4">
        <f t="shared" si="122"/>
        <v>8.9588892070009037E-3</v>
      </c>
      <c r="T1938" s="4">
        <f t="shared" si="122"/>
        <v>1.5112940774017864E-2</v>
      </c>
      <c r="U1938" s="35"/>
      <c r="V1938" s="35"/>
      <c r="W1938" s="35"/>
      <c r="X1938" s="35"/>
    </row>
    <row r="1939" spans="4:24" x14ac:dyDescent="0.3">
      <c r="D1939" s="23">
        <v>42396</v>
      </c>
      <c r="E1939" s="5">
        <v>162.883026</v>
      </c>
      <c r="F1939" s="28">
        <v>65.014589999999998</v>
      </c>
      <c r="G1939" s="28">
        <v>107.69</v>
      </c>
      <c r="H1939" s="28">
        <v>94.457359999999994</v>
      </c>
      <c r="I1939" s="28">
        <v>82.867360000000005</v>
      </c>
      <c r="J1939" s="29"/>
      <c r="K1939" s="29"/>
      <c r="L1939" s="29"/>
      <c r="M1939" s="29"/>
      <c r="N1939" s="29"/>
      <c r="P1939" s="4">
        <f t="shared" si="122"/>
        <v>-1.0943114254201795E-2</v>
      </c>
      <c r="Q1939" s="4">
        <f t="shared" si="122"/>
        <v>0</v>
      </c>
      <c r="R1939" s="4">
        <f t="shared" si="122"/>
        <v>3.7212806921347202E-3</v>
      </c>
      <c r="S1939" s="4">
        <f t="shared" si="122"/>
        <v>-2.5230958148230398E-2</v>
      </c>
      <c r="T1939" s="4">
        <f t="shared" si="122"/>
        <v>-1.1444343654085365E-2</v>
      </c>
      <c r="U1939" s="35"/>
      <c r="V1939" s="35"/>
      <c r="W1939" s="35"/>
      <c r="X1939" s="35"/>
    </row>
    <row r="1940" spans="4:24" x14ac:dyDescent="0.3">
      <c r="D1940" s="23">
        <v>42397</v>
      </c>
      <c r="E1940" s="5">
        <v>163.73152200000001</v>
      </c>
      <c r="F1940" s="28">
        <v>65.062449999999998</v>
      </c>
      <c r="G1940" s="28">
        <v>106.54</v>
      </c>
      <c r="H1940" s="28">
        <v>95.790949999999995</v>
      </c>
      <c r="I1940" s="28">
        <v>83.196879999999993</v>
      </c>
      <c r="J1940" s="29"/>
      <c r="K1940" s="29"/>
      <c r="L1940" s="29"/>
      <c r="M1940" s="29"/>
      <c r="N1940" s="29"/>
      <c r="P1940" s="4">
        <f t="shared" si="122"/>
        <v>5.1957141161580846E-3</v>
      </c>
      <c r="Q1940" s="4">
        <f t="shared" si="122"/>
        <v>7.358716366811063E-4</v>
      </c>
      <c r="R1940" s="4">
        <f t="shared" si="122"/>
        <v>-1.0736227851936352E-2</v>
      </c>
      <c r="S1940" s="4">
        <f t="shared" si="122"/>
        <v>1.4019697134059447E-2</v>
      </c>
      <c r="T1940" s="4">
        <f t="shared" si="122"/>
        <v>3.9685898961364756E-3</v>
      </c>
      <c r="U1940" s="35"/>
      <c r="V1940" s="35"/>
      <c r="W1940" s="35"/>
      <c r="X1940" s="35"/>
    </row>
    <row r="1941" spans="4:24" x14ac:dyDescent="0.3">
      <c r="D1941" s="23">
        <v>42398</v>
      </c>
      <c r="E1941" s="5">
        <v>167.72285500000001</v>
      </c>
      <c r="F1941" s="28">
        <v>65.254109999999997</v>
      </c>
      <c r="G1941" s="28">
        <v>106.95</v>
      </c>
      <c r="H1941" s="28">
        <v>97.79128</v>
      </c>
      <c r="I1941" s="28">
        <v>85.260549999999995</v>
      </c>
      <c r="J1941" s="29"/>
      <c r="K1941" s="29"/>
      <c r="L1941" s="29"/>
      <c r="M1941" s="29"/>
      <c r="N1941" s="29"/>
      <c r="P1941" s="4">
        <f t="shared" ref="P1941:T1956" si="123">LN(E1941/E1940)</f>
        <v>2.4084919175950605E-2</v>
      </c>
      <c r="Q1941" s="4">
        <f t="shared" si="123"/>
        <v>2.9414548417996157E-3</v>
      </c>
      <c r="R1941" s="4">
        <f t="shared" si="123"/>
        <v>3.8409340395615639E-3</v>
      </c>
      <c r="S1941" s="4">
        <f t="shared" si="123"/>
        <v>2.0667198637904179E-2</v>
      </c>
      <c r="T1941" s="4">
        <f t="shared" si="123"/>
        <v>2.4502015048441926E-2</v>
      </c>
      <c r="U1941" s="35"/>
      <c r="V1941" s="35"/>
      <c r="W1941" s="35"/>
      <c r="X1941" s="35"/>
    </row>
    <row r="1942" spans="4:24" x14ac:dyDescent="0.3">
      <c r="D1942" s="23">
        <v>42401</v>
      </c>
      <c r="E1942" s="5">
        <v>167.662262</v>
      </c>
      <c r="F1942" s="28">
        <v>65.121290000000002</v>
      </c>
      <c r="G1942" s="28">
        <v>108.05</v>
      </c>
      <c r="H1942" s="28">
        <v>98.054239999999993</v>
      </c>
      <c r="I1942" s="28">
        <v>85.277889999999999</v>
      </c>
      <c r="J1942" s="29"/>
      <c r="K1942" s="29"/>
      <c r="L1942" s="29"/>
      <c r="M1942" s="29"/>
      <c r="N1942" s="29"/>
      <c r="P1942" s="4">
        <f t="shared" si="123"/>
        <v>-3.6133386717498279E-4</v>
      </c>
      <c r="Q1942" s="4">
        <f t="shared" si="123"/>
        <v>-2.0375016444699524E-3</v>
      </c>
      <c r="R1942" s="4">
        <f t="shared" si="123"/>
        <v>1.0232647424480329E-2</v>
      </c>
      <c r="S1942" s="4">
        <f t="shared" si="123"/>
        <v>2.6853834391845524E-3</v>
      </c>
      <c r="T1942" s="4">
        <f t="shared" si="123"/>
        <v>2.0335591271689561E-4</v>
      </c>
      <c r="U1942" s="35"/>
      <c r="V1942" s="35"/>
      <c r="W1942" s="35"/>
      <c r="X1942" s="35"/>
    </row>
    <row r="1943" spans="4:24" x14ac:dyDescent="0.3">
      <c r="D1943" s="23">
        <v>42402</v>
      </c>
      <c r="E1943" s="5">
        <v>164.64059399999999</v>
      </c>
      <c r="F1943" s="28">
        <v>65.345339999999993</v>
      </c>
      <c r="G1943" s="28">
        <v>108.09</v>
      </c>
      <c r="H1943" s="28">
        <v>95.931820000000002</v>
      </c>
      <c r="I1943" s="28">
        <v>83.630420000000001</v>
      </c>
      <c r="J1943" s="29"/>
      <c r="K1943" s="29"/>
      <c r="L1943" s="29"/>
      <c r="M1943" s="29"/>
      <c r="N1943" s="29"/>
      <c r="P1943" s="4">
        <f t="shared" si="123"/>
        <v>-1.8186730757872246E-2</v>
      </c>
      <c r="Q1943" s="4">
        <f t="shared" si="123"/>
        <v>3.4345981075736705E-3</v>
      </c>
      <c r="R1943" s="4">
        <f t="shared" si="123"/>
        <v>3.7013047521667117E-4</v>
      </c>
      <c r="S1943" s="4">
        <f t="shared" si="123"/>
        <v>-2.1883064133544187E-2</v>
      </c>
      <c r="T1943" s="4">
        <f t="shared" si="123"/>
        <v>-1.9507888583107019E-2</v>
      </c>
      <c r="U1943" s="35"/>
      <c r="V1943" s="35"/>
      <c r="W1943" s="35"/>
      <c r="X1943" s="35"/>
    </row>
    <row r="1944" spans="4:24" x14ac:dyDescent="0.3">
      <c r="D1944" s="23">
        <v>42403</v>
      </c>
      <c r="E1944" s="5">
        <v>165.62760900000001</v>
      </c>
      <c r="F1944" s="28">
        <v>65.393330000000006</v>
      </c>
      <c r="G1944" s="28">
        <v>109.25</v>
      </c>
      <c r="H1944" s="28">
        <v>95.471630000000005</v>
      </c>
      <c r="I1944" s="28">
        <v>84.133340000000004</v>
      </c>
      <c r="J1944" s="29"/>
      <c r="K1944" s="29"/>
      <c r="L1944" s="29"/>
      <c r="M1944" s="29"/>
      <c r="N1944" s="29"/>
      <c r="P1944" s="4">
        <f t="shared" si="123"/>
        <v>5.9770691182971123E-3</v>
      </c>
      <c r="Q1944" s="4">
        <f t="shared" si="123"/>
        <v>7.3413630650185258E-4</v>
      </c>
      <c r="R1944" s="4">
        <f t="shared" si="123"/>
        <v>1.0674620547587863E-2</v>
      </c>
      <c r="S1944" s="4">
        <f t="shared" si="123"/>
        <v>-4.8085955266924645E-3</v>
      </c>
      <c r="T1944" s="4">
        <f t="shared" si="123"/>
        <v>5.9955917361760045E-3</v>
      </c>
      <c r="U1944" s="35"/>
      <c r="V1944" s="35"/>
      <c r="W1944" s="35"/>
      <c r="X1944" s="35"/>
    </row>
    <row r="1945" spans="4:24" x14ac:dyDescent="0.3">
      <c r="D1945" s="23">
        <v>42404</v>
      </c>
      <c r="E1945" s="5">
        <v>165.88739000000001</v>
      </c>
      <c r="F1945" s="28">
        <v>65.441360000000003</v>
      </c>
      <c r="G1945" s="28">
        <v>110.57</v>
      </c>
      <c r="H1945" s="28">
        <v>95.462260000000001</v>
      </c>
      <c r="I1945" s="28">
        <v>84.332750000000004</v>
      </c>
      <c r="J1945" s="29"/>
      <c r="K1945" s="29"/>
      <c r="L1945" s="29"/>
      <c r="M1945" s="29"/>
      <c r="N1945" s="29"/>
      <c r="P1945" s="4">
        <f t="shared" si="123"/>
        <v>1.5672355939071023E-3</v>
      </c>
      <c r="Q1945" s="4">
        <f t="shared" si="123"/>
        <v>7.3420898016563765E-4</v>
      </c>
      <c r="R1945" s="4">
        <f t="shared" si="123"/>
        <v>1.2009970578610751E-2</v>
      </c>
      <c r="S1945" s="4">
        <f t="shared" si="123"/>
        <v>-9.8149155265497587E-5</v>
      </c>
      <c r="T1945" s="4">
        <f t="shared" si="123"/>
        <v>2.3673618011925903E-3</v>
      </c>
      <c r="U1945" s="35"/>
      <c r="V1945" s="35"/>
      <c r="W1945" s="35"/>
      <c r="X1945" s="35"/>
    </row>
    <row r="1946" spans="4:24" x14ac:dyDescent="0.3">
      <c r="D1946" s="23">
        <v>42405</v>
      </c>
      <c r="E1946" s="5">
        <v>162.727249</v>
      </c>
      <c r="F1946" s="28">
        <v>65.377369999999999</v>
      </c>
      <c r="G1946" s="28">
        <v>112.32</v>
      </c>
      <c r="H1946" s="28">
        <v>92.147130000000004</v>
      </c>
      <c r="I1946" s="28">
        <v>82.598600000000005</v>
      </c>
      <c r="J1946" s="29"/>
      <c r="K1946" s="29"/>
      <c r="L1946" s="29"/>
      <c r="M1946" s="29"/>
      <c r="N1946" s="29"/>
      <c r="P1946" s="4">
        <f t="shared" si="123"/>
        <v>-1.9233704436791739E-2</v>
      </c>
      <c r="Q1946" s="4">
        <f t="shared" si="123"/>
        <v>-9.7830035658638789E-4</v>
      </c>
      <c r="R1946" s="4">
        <f t="shared" si="123"/>
        <v>1.5703135723190577E-2</v>
      </c>
      <c r="S1946" s="4">
        <f t="shared" si="123"/>
        <v>-3.5344447376804033E-2</v>
      </c>
      <c r="T1946" s="4">
        <f t="shared" si="123"/>
        <v>-2.0777551808689079E-2</v>
      </c>
      <c r="U1946" s="35"/>
      <c r="V1946" s="35"/>
      <c r="W1946" s="35"/>
      <c r="X1946" s="35"/>
    </row>
    <row r="1947" spans="4:24" x14ac:dyDescent="0.3">
      <c r="D1947" s="23">
        <v>42408</v>
      </c>
      <c r="E1947" s="5">
        <v>160.53666699999999</v>
      </c>
      <c r="F1947" s="28">
        <v>65.657359999999997</v>
      </c>
      <c r="G1947" s="28">
        <v>113.83</v>
      </c>
      <c r="H1947" s="28">
        <v>90.73845</v>
      </c>
      <c r="I1947" s="28">
        <v>81.315290000000005</v>
      </c>
      <c r="J1947" s="29"/>
      <c r="K1947" s="29"/>
      <c r="L1947" s="29"/>
      <c r="M1947" s="29"/>
      <c r="N1947" s="29"/>
      <c r="P1947" s="4">
        <f t="shared" si="123"/>
        <v>-1.3553108919463234E-2</v>
      </c>
      <c r="Q1947" s="4">
        <f t="shared" si="123"/>
        <v>4.2735300194487822E-3</v>
      </c>
      <c r="R1947" s="4">
        <f t="shared" si="123"/>
        <v>1.3354167059624274E-2</v>
      </c>
      <c r="S1947" s="4">
        <f t="shared" si="123"/>
        <v>-1.5405346440503568E-2</v>
      </c>
      <c r="T1947" s="4">
        <f t="shared" si="123"/>
        <v>-1.5658663479032719E-2</v>
      </c>
      <c r="U1947" s="35"/>
      <c r="V1947" s="35"/>
      <c r="W1947" s="35"/>
      <c r="X1947" s="35"/>
    </row>
    <row r="1948" spans="4:24" x14ac:dyDescent="0.3">
      <c r="D1948" s="23">
        <v>42409</v>
      </c>
      <c r="E1948" s="5">
        <v>160.54534899999999</v>
      </c>
      <c r="F1948" s="28">
        <v>65.649349999999998</v>
      </c>
      <c r="G1948" s="28">
        <v>113.58</v>
      </c>
      <c r="H1948" s="28">
        <v>90.456710000000001</v>
      </c>
      <c r="I1948" s="28">
        <v>81.211240000000004</v>
      </c>
      <c r="J1948" s="29"/>
      <c r="K1948" s="29"/>
      <c r="L1948" s="29"/>
      <c r="M1948" s="29"/>
      <c r="N1948" s="29"/>
      <c r="P1948" s="4">
        <f t="shared" si="123"/>
        <v>5.4079640524754596E-5</v>
      </c>
      <c r="Q1948" s="4">
        <f t="shared" si="123"/>
        <v>-1.2200442780012545E-4</v>
      </c>
      <c r="R1948" s="4">
        <f t="shared" si="123"/>
        <v>-2.198672887838786E-3</v>
      </c>
      <c r="S1948" s="4">
        <f t="shared" si="123"/>
        <v>-3.1097985956725863E-3</v>
      </c>
      <c r="T1948" s="4">
        <f t="shared" si="123"/>
        <v>-1.2804065184350625E-3</v>
      </c>
      <c r="U1948" s="35"/>
      <c r="V1948" s="35"/>
      <c r="W1948" s="35"/>
      <c r="X1948" s="35"/>
    </row>
    <row r="1949" spans="4:24" x14ac:dyDescent="0.3">
      <c r="D1949" s="23">
        <v>42410</v>
      </c>
      <c r="E1949" s="5">
        <v>160.406845</v>
      </c>
      <c r="F1949" s="28">
        <v>65.785380000000004</v>
      </c>
      <c r="G1949" s="28">
        <v>114.46</v>
      </c>
      <c r="H1949" s="28">
        <v>90.804190000000006</v>
      </c>
      <c r="I1949" s="28">
        <v>81.263279999999995</v>
      </c>
      <c r="J1949" s="29"/>
      <c r="K1949" s="29"/>
      <c r="L1949" s="29"/>
      <c r="M1949" s="29"/>
      <c r="N1949" s="29"/>
      <c r="P1949" s="4">
        <f t="shared" si="123"/>
        <v>-8.6308186195320675E-4</v>
      </c>
      <c r="Q1949" s="4">
        <f t="shared" si="123"/>
        <v>2.0699254842219579E-3</v>
      </c>
      <c r="R1949" s="4">
        <f t="shared" si="123"/>
        <v>7.7179825316696362E-3</v>
      </c>
      <c r="S1949" s="4">
        <f t="shared" si="123"/>
        <v>3.8340361948778871E-3</v>
      </c>
      <c r="T1949" s="4">
        <f t="shared" si="123"/>
        <v>6.4059277454179588E-4</v>
      </c>
      <c r="U1949" s="35"/>
      <c r="V1949" s="35"/>
      <c r="W1949" s="35"/>
      <c r="X1949" s="35"/>
    </row>
    <row r="1950" spans="4:24" x14ac:dyDescent="0.3">
      <c r="D1950" s="23">
        <v>42411</v>
      </c>
      <c r="E1950" s="5">
        <v>158.32025100000001</v>
      </c>
      <c r="F1950" s="28">
        <v>65.825389999999999</v>
      </c>
      <c r="G1950" s="28">
        <v>119.06</v>
      </c>
      <c r="H1950" s="28">
        <v>90.672730000000001</v>
      </c>
      <c r="I1950" s="28">
        <v>80.257429999999999</v>
      </c>
      <c r="J1950" s="29"/>
      <c r="K1950" s="29"/>
      <c r="L1950" s="29"/>
      <c r="M1950" s="29"/>
      <c r="N1950" s="29"/>
      <c r="P1950" s="4">
        <f t="shared" si="123"/>
        <v>-1.3093482395753281E-2</v>
      </c>
      <c r="Q1950" s="4">
        <f t="shared" si="123"/>
        <v>6.0800497151608762E-4</v>
      </c>
      <c r="R1950" s="4">
        <f t="shared" si="123"/>
        <v>3.9402150744287975E-2</v>
      </c>
      <c r="S1950" s="4">
        <f t="shared" si="123"/>
        <v>-1.4487795251774424E-3</v>
      </c>
      <c r="T1950" s="4">
        <f t="shared" si="123"/>
        <v>-1.2454910613707106E-2</v>
      </c>
      <c r="U1950" s="35"/>
      <c r="V1950" s="35"/>
      <c r="W1950" s="35"/>
      <c r="X1950" s="35"/>
    </row>
    <row r="1951" spans="4:24" x14ac:dyDescent="0.3">
      <c r="D1951" s="23">
        <v>42412</v>
      </c>
      <c r="E1951" s="5">
        <v>161.58433500000001</v>
      </c>
      <c r="F1951" s="28">
        <v>65.609350000000006</v>
      </c>
      <c r="G1951" s="28">
        <v>118.36</v>
      </c>
      <c r="H1951" s="28">
        <v>92.053210000000007</v>
      </c>
      <c r="I1951" s="28">
        <v>81.818209999999993</v>
      </c>
      <c r="J1951" s="29"/>
      <c r="K1951" s="29"/>
      <c r="L1951" s="29"/>
      <c r="M1951" s="29"/>
      <c r="N1951" s="29"/>
      <c r="P1951" s="4">
        <f t="shared" si="123"/>
        <v>2.0407317817405162E-2</v>
      </c>
      <c r="Q1951" s="4">
        <f t="shared" si="123"/>
        <v>-3.2874138840857468E-3</v>
      </c>
      <c r="R1951" s="4">
        <f t="shared" si="123"/>
        <v>-5.8967401932351693E-3</v>
      </c>
      <c r="S1951" s="4">
        <f t="shared" si="123"/>
        <v>1.5110129031188644E-2</v>
      </c>
      <c r="T1951" s="4">
        <f t="shared" si="123"/>
        <v>1.9260491576206708E-2</v>
      </c>
      <c r="U1951" s="35"/>
      <c r="V1951" s="35"/>
      <c r="W1951" s="35"/>
      <c r="X1951" s="35"/>
    </row>
    <row r="1952" spans="4:24" x14ac:dyDescent="0.3">
      <c r="D1952" s="23">
        <v>42416</v>
      </c>
      <c r="E1952" s="5">
        <v>164.31163000000001</v>
      </c>
      <c r="F1952" s="28">
        <v>65.513369999999995</v>
      </c>
      <c r="G1952" s="28">
        <v>114.77</v>
      </c>
      <c r="H1952" s="28">
        <v>94.128690000000006</v>
      </c>
      <c r="I1952" s="28">
        <v>83.309600000000003</v>
      </c>
      <c r="J1952" s="29"/>
      <c r="K1952" s="29"/>
      <c r="L1952" s="29"/>
      <c r="M1952" s="29"/>
      <c r="N1952" s="29"/>
      <c r="P1952" s="4">
        <f t="shared" si="123"/>
        <v>1.6737603180065695E-2</v>
      </c>
      <c r="Q1952" s="4">
        <f t="shared" si="123"/>
        <v>-1.4639723328216411E-3</v>
      </c>
      <c r="R1952" s="4">
        <f t="shared" si="123"/>
        <v>-3.0800701839431902E-2</v>
      </c>
      <c r="S1952" s="4">
        <f t="shared" si="123"/>
        <v>2.2296109115840713E-2</v>
      </c>
      <c r="T1952" s="4">
        <f t="shared" si="123"/>
        <v>1.8063953660589761E-2</v>
      </c>
      <c r="U1952" s="35"/>
      <c r="V1952" s="35"/>
      <c r="W1952" s="35"/>
      <c r="X1952" s="35"/>
    </row>
    <row r="1953" spans="4:24" x14ac:dyDescent="0.3">
      <c r="D1953" s="23">
        <v>42417</v>
      </c>
      <c r="E1953" s="5">
        <v>166.995575</v>
      </c>
      <c r="F1953" s="28">
        <v>65.49736</v>
      </c>
      <c r="G1953" s="28">
        <v>115.48</v>
      </c>
      <c r="H1953" s="28">
        <v>96.260509999999996</v>
      </c>
      <c r="I1953" s="28">
        <v>84.68826</v>
      </c>
      <c r="J1953" s="29"/>
      <c r="K1953" s="29"/>
      <c r="L1953" s="29"/>
      <c r="M1953" s="29"/>
      <c r="N1953" s="29"/>
      <c r="P1953" s="4">
        <f t="shared" si="123"/>
        <v>1.6202507372525866E-2</v>
      </c>
      <c r="Q1953" s="4">
        <f t="shared" si="123"/>
        <v>-2.4440746310918352E-4</v>
      </c>
      <c r="R1953" s="4">
        <f t="shared" si="123"/>
        <v>6.1672291021573674E-3</v>
      </c>
      <c r="S1953" s="4">
        <f t="shared" si="123"/>
        <v>2.2395273472885811E-2</v>
      </c>
      <c r="T1953" s="4">
        <f t="shared" si="123"/>
        <v>1.6413196572579086E-2</v>
      </c>
      <c r="U1953" s="35"/>
      <c r="V1953" s="35"/>
      <c r="W1953" s="35"/>
      <c r="X1953" s="35"/>
    </row>
    <row r="1954" spans="4:24" x14ac:dyDescent="0.3">
      <c r="D1954" s="23">
        <v>42418</v>
      </c>
      <c r="E1954" s="5">
        <v>166.31161499999999</v>
      </c>
      <c r="F1954" s="28">
        <v>65.721369999999993</v>
      </c>
      <c r="G1954" s="28">
        <v>118.29</v>
      </c>
      <c r="H1954" s="28">
        <v>95.161720000000003</v>
      </c>
      <c r="I1954" s="28">
        <v>84.350080000000005</v>
      </c>
      <c r="J1954" s="29"/>
      <c r="K1954" s="29"/>
      <c r="L1954" s="29"/>
      <c r="M1954" s="29"/>
      <c r="N1954" s="29"/>
      <c r="P1954" s="4">
        <f t="shared" si="123"/>
        <v>-4.1040876437445379E-3</v>
      </c>
      <c r="Q1954" s="4">
        <f t="shared" si="123"/>
        <v>3.414302479769721E-3</v>
      </c>
      <c r="R1954" s="4">
        <f t="shared" si="123"/>
        <v>2.404188176291109E-2</v>
      </c>
      <c r="S1954" s="4">
        <f t="shared" si="123"/>
        <v>-1.1480401919006792E-2</v>
      </c>
      <c r="T1954" s="4">
        <f t="shared" si="123"/>
        <v>-4.0012277828023017E-3</v>
      </c>
      <c r="U1954" s="35"/>
      <c r="V1954" s="35"/>
      <c r="W1954" s="35"/>
      <c r="X1954" s="35"/>
    </row>
    <row r="1955" spans="4:24" x14ac:dyDescent="0.3">
      <c r="D1955" s="23">
        <v>42419</v>
      </c>
      <c r="E1955" s="5">
        <v>166.23365799999999</v>
      </c>
      <c r="F1955" s="28">
        <v>65.633390000000006</v>
      </c>
      <c r="G1955" s="28">
        <v>117.58</v>
      </c>
      <c r="H1955" s="28">
        <v>95.443460000000002</v>
      </c>
      <c r="I1955" s="28">
        <v>84.367450000000005</v>
      </c>
      <c r="J1955" s="29"/>
      <c r="K1955" s="29"/>
      <c r="L1955" s="29"/>
      <c r="M1955" s="29"/>
      <c r="N1955" s="29"/>
      <c r="P1955" s="4">
        <f t="shared" si="123"/>
        <v>-4.688504559080202E-4</v>
      </c>
      <c r="Q1955" s="4">
        <f t="shared" si="123"/>
        <v>-1.3395786061571272E-3</v>
      </c>
      <c r="R1955" s="4">
        <f t="shared" si="123"/>
        <v>-6.0202835835366343E-3</v>
      </c>
      <c r="S1955" s="4">
        <f t="shared" si="123"/>
        <v>2.9562701831046178E-3</v>
      </c>
      <c r="T1955" s="4">
        <f t="shared" si="123"/>
        <v>2.059062868140397E-4</v>
      </c>
      <c r="U1955" s="35"/>
      <c r="V1955" s="35"/>
      <c r="W1955" s="35"/>
      <c r="X1955" s="35"/>
    </row>
    <row r="1956" spans="4:24" x14ac:dyDescent="0.3">
      <c r="D1956" s="23">
        <v>42422</v>
      </c>
      <c r="E1956" s="5">
        <v>168.64061000000001</v>
      </c>
      <c r="F1956" s="28">
        <v>65.649349999999998</v>
      </c>
      <c r="G1956" s="28">
        <v>115.49</v>
      </c>
      <c r="H1956" s="28">
        <v>96.993020000000001</v>
      </c>
      <c r="I1956" s="28">
        <v>85.598690000000005</v>
      </c>
      <c r="J1956" s="29"/>
      <c r="K1956" s="29"/>
      <c r="L1956" s="29"/>
      <c r="M1956" s="29"/>
      <c r="N1956" s="29"/>
      <c r="P1956" s="4">
        <f t="shared" si="123"/>
        <v>1.4375505559068366E-2</v>
      </c>
      <c r="Q1956" s="4">
        <f t="shared" si="123"/>
        <v>2.4313935066583222E-4</v>
      </c>
      <c r="R1956" s="4">
        <f t="shared" si="123"/>
        <v>-1.7935006847112796E-2</v>
      </c>
      <c r="S1956" s="4">
        <f t="shared" si="123"/>
        <v>1.6104986875472852E-2</v>
      </c>
      <c r="T1956" s="4">
        <f t="shared" si="123"/>
        <v>1.4488315584769372E-2</v>
      </c>
      <c r="U1956" s="35"/>
      <c r="V1956" s="35"/>
      <c r="W1956" s="35"/>
      <c r="X1956" s="35"/>
    </row>
    <row r="1957" spans="4:24" x14ac:dyDescent="0.3">
      <c r="D1957" s="23">
        <v>42423</v>
      </c>
      <c r="E1957" s="5">
        <v>166.51075700000001</v>
      </c>
      <c r="F1957" s="28">
        <v>65.689359999999994</v>
      </c>
      <c r="G1957" s="28">
        <v>117.22</v>
      </c>
      <c r="H1957" s="28">
        <v>95.396519999999995</v>
      </c>
      <c r="I1957" s="28">
        <v>84.566900000000004</v>
      </c>
      <c r="J1957" s="29"/>
      <c r="K1957" s="29"/>
      <c r="L1957" s="29"/>
      <c r="M1957" s="29"/>
      <c r="N1957" s="29"/>
      <c r="P1957" s="4">
        <f t="shared" ref="P1957:T1972" si="124">LN(E1957/E1956)</f>
        <v>-1.2709968578942807E-2</v>
      </c>
      <c r="Q1957" s="4">
        <f t="shared" si="124"/>
        <v>6.0926441622041869E-4</v>
      </c>
      <c r="R1957" s="4">
        <f t="shared" si="124"/>
        <v>1.486856492128716E-2</v>
      </c>
      <c r="S1957" s="4">
        <f t="shared" si="124"/>
        <v>-1.6596917349858843E-2</v>
      </c>
      <c r="T1957" s="4">
        <f t="shared" si="124"/>
        <v>-1.2127042194587852E-2</v>
      </c>
      <c r="U1957" s="35"/>
      <c r="V1957" s="35"/>
      <c r="W1957" s="35"/>
      <c r="X1957" s="35"/>
    </row>
    <row r="1958" spans="4:24" x14ac:dyDescent="0.3">
      <c r="D1958" s="23">
        <v>42424</v>
      </c>
      <c r="E1958" s="5">
        <v>167.27262899999999</v>
      </c>
      <c r="F1958" s="28">
        <v>65.737359999999995</v>
      </c>
      <c r="G1958" s="28">
        <v>117.61</v>
      </c>
      <c r="H1958" s="28">
        <v>96.307469999999995</v>
      </c>
      <c r="I1958" s="28">
        <v>85.000399999999999</v>
      </c>
      <c r="J1958" s="29"/>
      <c r="K1958" s="29"/>
      <c r="L1958" s="29"/>
      <c r="M1958" s="29"/>
      <c r="N1958" s="29"/>
      <c r="P1958" s="4">
        <f t="shared" si="124"/>
        <v>4.5650763642999075E-3</v>
      </c>
      <c r="Q1958" s="4">
        <f t="shared" si="124"/>
        <v>7.3044510483403493E-4</v>
      </c>
      <c r="R1958" s="4">
        <f t="shared" si="124"/>
        <v>3.3215548146619698E-3</v>
      </c>
      <c r="S1958" s="4">
        <f t="shared" si="124"/>
        <v>9.5037860876522468E-3</v>
      </c>
      <c r="T1958" s="4">
        <f t="shared" si="124"/>
        <v>5.1130252639093824E-3</v>
      </c>
      <c r="U1958" s="35"/>
      <c r="V1958" s="35"/>
      <c r="W1958" s="35"/>
      <c r="X1958" s="35"/>
    </row>
    <row r="1959" spans="4:24" x14ac:dyDescent="0.3">
      <c r="D1959" s="23">
        <v>42425</v>
      </c>
      <c r="E1959" s="5">
        <v>169.29858400000001</v>
      </c>
      <c r="F1959" s="28">
        <v>65.833370000000002</v>
      </c>
      <c r="G1959" s="28">
        <v>117.92</v>
      </c>
      <c r="H1959" s="28">
        <v>97.255960000000002</v>
      </c>
      <c r="I1959" s="28">
        <v>86.006209999999996</v>
      </c>
      <c r="J1959" s="29"/>
      <c r="K1959" s="29"/>
      <c r="L1959" s="29"/>
      <c r="M1959" s="29"/>
      <c r="N1959" s="29"/>
      <c r="P1959" s="4">
        <f t="shared" si="124"/>
        <v>1.2038934948472425E-2</v>
      </c>
      <c r="Q1959" s="4">
        <f t="shared" si="124"/>
        <v>1.4594434041914873E-3</v>
      </c>
      <c r="R1959" s="4">
        <f t="shared" si="124"/>
        <v>2.6323625780813715E-3</v>
      </c>
      <c r="S1959" s="4">
        <f t="shared" si="124"/>
        <v>9.8003800785957038E-3</v>
      </c>
      <c r="T1959" s="4">
        <f t="shared" si="124"/>
        <v>1.1763540587270367E-2</v>
      </c>
      <c r="U1959" s="35"/>
      <c r="V1959" s="35"/>
      <c r="W1959" s="35"/>
      <c r="X1959" s="35"/>
    </row>
    <row r="1960" spans="4:24" x14ac:dyDescent="0.3">
      <c r="D1960" s="23">
        <v>42426</v>
      </c>
      <c r="E1960" s="5">
        <v>168.90898100000001</v>
      </c>
      <c r="F1960" s="28">
        <v>65.769390000000001</v>
      </c>
      <c r="G1960" s="28">
        <v>117.11</v>
      </c>
      <c r="H1960" s="28">
        <v>97.133899999999997</v>
      </c>
      <c r="I1960" s="28">
        <v>85.936869999999999</v>
      </c>
      <c r="J1960" s="29"/>
      <c r="K1960" s="29"/>
      <c r="L1960" s="29"/>
      <c r="M1960" s="29"/>
      <c r="N1960" s="29"/>
      <c r="P1960" s="4">
        <f t="shared" si="124"/>
        <v>-2.3039293774360682E-3</v>
      </c>
      <c r="Q1960" s="4">
        <f t="shared" si="124"/>
        <v>-9.7232011001282279E-4</v>
      </c>
      <c r="R1960" s="4">
        <f t="shared" si="124"/>
        <v>-6.892764386980596E-3</v>
      </c>
      <c r="S1960" s="4">
        <f t="shared" si="124"/>
        <v>-1.2558269864667759E-3</v>
      </c>
      <c r="T1960" s="4">
        <f t="shared" si="124"/>
        <v>-8.0654602393884429E-4</v>
      </c>
      <c r="U1960" s="35"/>
      <c r="V1960" s="35"/>
      <c r="W1960" s="35"/>
      <c r="X1960" s="35"/>
    </row>
    <row r="1961" spans="4:24" x14ac:dyDescent="0.3">
      <c r="D1961" s="23">
        <v>42429</v>
      </c>
      <c r="E1961" s="5">
        <v>167.58431999999999</v>
      </c>
      <c r="F1961" s="28">
        <v>65.809380000000004</v>
      </c>
      <c r="G1961" s="28">
        <v>118.64</v>
      </c>
      <c r="H1961" s="28">
        <v>96.260509999999996</v>
      </c>
      <c r="I1961" s="28">
        <v>85.251869999999997</v>
      </c>
      <c r="J1961" s="29"/>
      <c r="K1961" s="29"/>
      <c r="L1961" s="29"/>
      <c r="M1961" s="29"/>
      <c r="N1961" s="29"/>
      <c r="P1961" s="4">
        <f t="shared" si="124"/>
        <v>-7.8733682901043628E-3</v>
      </c>
      <c r="Q1961" s="4">
        <f t="shared" si="124"/>
        <v>6.0784883809596396E-4</v>
      </c>
      <c r="R1961" s="4">
        <f t="shared" si="124"/>
        <v>1.298003377563081E-2</v>
      </c>
      <c r="S1961" s="4">
        <f t="shared" si="124"/>
        <v>-9.0322769694927921E-3</v>
      </c>
      <c r="T1961" s="4">
        <f t="shared" si="124"/>
        <v>-8.0029055180103875E-3</v>
      </c>
      <c r="U1961" s="35"/>
      <c r="V1961" s="35"/>
      <c r="W1961" s="35"/>
      <c r="X1961" s="35"/>
    </row>
    <row r="1962" spans="4:24" x14ac:dyDescent="0.3">
      <c r="D1962" s="23">
        <v>42430</v>
      </c>
      <c r="E1962" s="5">
        <v>171.52375799999999</v>
      </c>
      <c r="F1962" s="28">
        <v>65.588899999999995</v>
      </c>
      <c r="G1962" s="28">
        <v>117.77</v>
      </c>
      <c r="H1962" s="28">
        <v>99.350229999999996</v>
      </c>
      <c r="I1962" s="28">
        <v>87.280850000000001</v>
      </c>
      <c r="J1962" s="29"/>
      <c r="K1962" s="29"/>
      <c r="L1962" s="29"/>
      <c r="M1962" s="29"/>
      <c r="N1962" s="29"/>
      <c r="P1962" s="4">
        <f t="shared" si="124"/>
        <v>2.3235160038340003E-2</v>
      </c>
      <c r="Q1962" s="4">
        <f t="shared" si="124"/>
        <v>-3.355907047223283E-3</v>
      </c>
      <c r="R1962" s="4">
        <f t="shared" si="124"/>
        <v>-7.3601279762196305E-3</v>
      </c>
      <c r="S1962" s="4">
        <f t="shared" si="124"/>
        <v>3.1593122031187207E-2</v>
      </c>
      <c r="T1962" s="4">
        <f t="shared" si="124"/>
        <v>2.3521028842245047E-2</v>
      </c>
      <c r="U1962" s="35"/>
      <c r="V1962" s="35"/>
      <c r="W1962" s="35"/>
      <c r="X1962" s="35"/>
    </row>
    <row r="1963" spans="4:24" x14ac:dyDescent="0.3">
      <c r="D1963" s="23">
        <v>42431</v>
      </c>
      <c r="E1963" s="5">
        <v>172.29428100000001</v>
      </c>
      <c r="F1963" s="28">
        <v>65.548789999999997</v>
      </c>
      <c r="G1963" s="28">
        <v>118.68</v>
      </c>
      <c r="H1963" s="28">
        <v>99.387789999999995</v>
      </c>
      <c r="I1963" s="28">
        <v>87.766400000000004</v>
      </c>
      <c r="J1963" s="29"/>
      <c r="K1963" s="29"/>
      <c r="L1963" s="29"/>
      <c r="M1963" s="29"/>
      <c r="N1963" s="29"/>
      <c r="P1963" s="4">
        <f t="shared" si="124"/>
        <v>4.4821632524630556E-3</v>
      </c>
      <c r="Q1963" s="4">
        <f t="shared" si="124"/>
        <v>-6.1172346791798973E-4</v>
      </c>
      <c r="R1963" s="4">
        <f t="shared" si="124"/>
        <v>7.6972255691639627E-3</v>
      </c>
      <c r="S1963" s="4">
        <f t="shared" si="124"/>
        <v>3.7798505235379416E-4</v>
      </c>
      <c r="T1963" s="4">
        <f t="shared" si="124"/>
        <v>5.5476592210894843E-3</v>
      </c>
      <c r="U1963" s="35"/>
      <c r="V1963" s="35"/>
      <c r="W1963" s="35"/>
      <c r="X1963" s="35"/>
    </row>
    <row r="1964" spans="4:24" x14ac:dyDescent="0.3">
      <c r="D1964" s="23">
        <v>42432</v>
      </c>
      <c r="E1964" s="5">
        <v>172.96961999999999</v>
      </c>
      <c r="F1964" s="28">
        <v>65.580920000000006</v>
      </c>
      <c r="G1964" s="28">
        <v>120.73</v>
      </c>
      <c r="H1964" s="28">
        <v>99.199960000000004</v>
      </c>
      <c r="I1964" s="28">
        <v>88.199939999999998</v>
      </c>
      <c r="J1964" s="29"/>
      <c r="K1964" s="29"/>
      <c r="L1964" s="29"/>
      <c r="M1964" s="29"/>
      <c r="N1964" s="29"/>
      <c r="P1964" s="4">
        <f t="shared" si="124"/>
        <v>3.9120212644358507E-3</v>
      </c>
      <c r="Q1964" s="4">
        <f t="shared" si="124"/>
        <v>4.9004913749921936E-4</v>
      </c>
      <c r="R1964" s="4">
        <f t="shared" si="124"/>
        <v>1.7125851921674935E-2</v>
      </c>
      <c r="S1964" s="4">
        <f t="shared" si="124"/>
        <v>-1.8916580303712056E-3</v>
      </c>
      <c r="T1964" s="4">
        <f t="shared" si="124"/>
        <v>4.9275432701530713E-3</v>
      </c>
      <c r="U1964" s="35"/>
      <c r="V1964" s="35"/>
      <c r="W1964" s="35"/>
      <c r="X1964" s="35"/>
    </row>
    <row r="1965" spans="4:24" x14ac:dyDescent="0.3">
      <c r="D1965" s="23">
        <v>42433</v>
      </c>
      <c r="E1965" s="5">
        <v>173.53234900000001</v>
      </c>
      <c r="F1965" s="28">
        <v>65.548789999999997</v>
      </c>
      <c r="G1965" s="28">
        <v>120.54</v>
      </c>
      <c r="H1965" s="28">
        <v>99.237549999999999</v>
      </c>
      <c r="I1965" s="28">
        <v>88.503429999999994</v>
      </c>
      <c r="J1965" s="29"/>
      <c r="K1965" s="29"/>
      <c r="L1965" s="29"/>
      <c r="M1965" s="29"/>
      <c r="N1965" s="29"/>
      <c r="P1965" s="4">
        <f t="shared" si="124"/>
        <v>3.2480594344176579E-3</v>
      </c>
      <c r="Q1965" s="4">
        <f t="shared" si="124"/>
        <v>-4.9004913749916613E-4</v>
      </c>
      <c r="R1965" s="4">
        <f t="shared" si="124"/>
        <v>-1.5749992893979675E-3</v>
      </c>
      <c r="S1965" s="4">
        <f t="shared" si="124"/>
        <v>3.7885982795908963E-4</v>
      </c>
      <c r="T1965" s="4">
        <f t="shared" si="124"/>
        <v>3.4350255845896792E-3</v>
      </c>
      <c r="U1965" s="35"/>
      <c r="V1965" s="35"/>
      <c r="W1965" s="35"/>
      <c r="X1965" s="35"/>
    </row>
    <row r="1966" spans="4:24" x14ac:dyDescent="0.3">
      <c r="D1966" s="23">
        <v>42436</v>
      </c>
      <c r="E1966" s="5">
        <v>173.670929</v>
      </c>
      <c r="F1966" s="28">
        <v>65.532809999999998</v>
      </c>
      <c r="G1966" s="28">
        <v>121.14</v>
      </c>
      <c r="H1966" s="28">
        <v>98.627099999999999</v>
      </c>
      <c r="I1966" s="28">
        <v>88.685519999999997</v>
      </c>
      <c r="J1966" s="29"/>
      <c r="K1966" s="29"/>
      <c r="L1966" s="29"/>
      <c r="M1966" s="29"/>
      <c r="N1966" s="29"/>
      <c r="P1966" s="4">
        <f t="shared" si="124"/>
        <v>7.9826439518180939E-4</v>
      </c>
      <c r="Q1966" s="4">
        <f t="shared" si="124"/>
        <v>-2.4381759269287271E-4</v>
      </c>
      <c r="R1966" s="4">
        <f t="shared" si="124"/>
        <v>4.9652534979031356E-3</v>
      </c>
      <c r="S1966" s="4">
        <f t="shared" si="124"/>
        <v>-6.1703991778827069E-3</v>
      </c>
      <c r="T1966" s="4">
        <f t="shared" si="124"/>
        <v>2.0553207646513681E-3</v>
      </c>
      <c r="U1966" s="35"/>
      <c r="V1966" s="35"/>
      <c r="W1966" s="35"/>
      <c r="X1966" s="35"/>
    </row>
    <row r="1967" spans="4:24" x14ac:dyDescent="0.3">
      <c r="D1967" s="23">
        <v>42437</v>
      </c>
      <c r="E1967" s="5">
        <v>171.77477999999999</v>
      </c>
      <c r="F1967" s="28">
        <v>65.749229999999997</v>
      </c>
      <c r="G1967" s="28">
        <v>120.58</v>
      </c>
      <c r="H1967" s="28">
        <v>97.810069999999996</v>
      </c>
      <c r="I1967" s="28">
        <v>87.584339999999997</v>
      </c>
      <c r="J1967" s="29"/>
      <c r="K1967" s="29"/>
      <c r="L1967" s="29"/>
      <c r="M1967" s="29"/>
      <c r="N1967" s="29"/>
      <c r="P1967" s="4">
        <f t="shared" si="124"/>
        <v>-1.0978095799099901E-2</v>
      </c>
      <c r="Q1967" s="4">
        <f t="shared" si="124"/>
        <v>3.2970267074972351E-3</v>
      </c>
      <c r="R1967" s="4">
        <f t="shared" si="124"/>
        <v>-4.6334684915416051E-3</v>
      </c>
      <c r="S1967" s="4">
        <f t="shared" si="124"/>
        <v>-8.3185347396263713E-3</v>
      </c>
      <c r="T1967" s="4">
        <f t="shared" si="124"/>
        <v>-1.2494414251335297E-2</v>
      </c>
      <c r="U1967" s="35"/>
      <c r="V1967" s="35"/>
      <c r="W1967" s="35"/>
      <c r="X1967" s="35"/>
    </row>
    <row r="1968" spans="4:24" x14ac:dyDescent="0.3">
      <c r="D1968" s="23">
        <v>42438</v>
      </c>
      <c r="E1968" s="5">
        <v>172.623322</v>
      </c>
      <c r="F1968" s="28">
        <v>65.637029999999996</v>
      </c>
      <c r="G1968" s="28">
        <v>119.58</v>
      </c>
      <c r="H1968" s="28">
        <v>98.439279999999997</v>
      </c>
      <c r="I1968" s="28">
        <v>88.009190000000004</v>
      </c>
      <c r="J1968" s="29"/>
      <c r="K1968" s="29"/>
      <c r="L1968" s="29"/>
      <c r="M1968" s="29"/>
      <c r="N1968" s="29"/>
      <c r="P1968" s="4">
        <f t="shared" si="124"/>
        <v>4.927691018656353E-3</v>
      </c>
      <c r="Q1968" s="4">
        <f t="shared" si="124"/>
        <v>-1.7079415651918817E-3</v>
      </c>
      <c r="R1968" s="4">
        <f t="shared" si="124"/>
        <v>-8.3278296085011472E-3</v>
      </c>
      <c r="S1968" s="4">
        <f t="shared" si="124"/>
        <v>6.4123744207580068E-3</v>
      </c>
      <c r="T1968" s="4">
        <f t="shared" si="124"/>
        <v>4.8390260054542809E-3</v>
      </c>
      <c r="U1968" s="35"/>
      <c r="V1968" s="35"/>
      <c r="W1968" s="35"/>
      <c r="X1968" s="35"/>
    </row>
    <row r="1969" spans="4:24" x14ac:dyDescent="0.3">
      <c r="D1969" s="23">
        <v>42439</v>
      </c>
      <c r="E1969" s="5">
        <v>172.761841</v>
      </c>
      <c r="F1969" s="28">
        <v>65.604950000000002</v>
      </c>
      <c r="G1969" s="28">
        <v>121.5</v>
      </c>
      <c r="H1969" s="28">
        <v>98.289029999999997</v>
      </c>
      <c r="I1969" s="28">
        <v>87.983199999999997</v>
      </c>
      <c r="J1969" s="29"/>
      <c r="K1969" s="29"/>
      <c r="L1969" s="29"/>
      <c r="M1969" s="29"/>
      <c r="N1969" s="29"/>
      <c r="P1969" s="4">
        <f t="shared" si="124"/>
        <v>8.0211324785104592E-4</v>
      </c>
      <c r="Q1969" s="4">
        <f t="shared" si="124"/>
        <v>-4.8886797713505509E-4</v>
      </c>
      <c r="R1969" s="4">
        <f t="shared" si="124"/>
        <v>1.592865932784477E-2</v>
      </c>
      <c r="S1969" s="4">
        <f t="shared" si="124"/>
        <v>-1.5274876220289465E-3</v>
      </c>
      <c r="T1969" s="4">
        <f t="shared" si="124"/>
        <v>-2.9535368192837866E-4</v>
      </c>
      <c r="U1969" s="35"/>
      <c r="V1969" s="35"/>
      <c r="W1969" s="35"/>
      <c r="X1969" s="35"/>
    </row>
    <row r="1970" spans="4:24" x14ac:dyDescent="0.3">
      <c r="D1970" s="23">
        <v>42440</v>
      </c>
      <c r="E1970" s="5">
        <v>175.54968299999999</v>
      </c>
      <c r="F1970" s="28">
        <v>65.51679</v>
      </c>
      <c r="G1970" s="28">
        <v>119.41</v>
      </c>
      <c r="H1970" s="28">
        <v>100.0076</v>
      </c>
      <c r="I1970" s="28">
        <v>89.47457</v>
      </c>
      <c r="J1970" s="29"/>
      <c r="K1970" s="29"/>
      <c r="L1970" s="29"/>
      <c r="M1970" s="29"/>
      <c r="N1970" s="29"/>
      <c r="P1970" s="4">
        <f t="shared" si="124"/>
        <v>1.6008092421797872E-2</v>
      </c>
      <c r="Q1970" s="4">
        <f t="shared" si="124"/>
        <v>-1.3447047497153965E-3</v>
      </c>
      <c r="R1970" s="4">
        <f t="shared" si="124"/>
        <v>-1.735131323530989E-2</v>
      </c>
      <c r="S1970" s="4">
        <f t="shared" si="124"/>
        <v>1.7333759326119001E-2</v>
      </c>
      <c r="T1970" s="4">
        <f t="shared" si="124"/>
        <v>1.6808563667025024E-2</v>
      </c>
      <c r="U1970" s="35"/>
      <c r="V1970" s="35"/>
      <c r="W1970" s="35"/>
      <c r="X1970" s="35"/>
    </row>
    <row r="1971" spans="4:24" x14ac:dyDescent="0.3">
      <c r="D1971" s="23">
        <v>42443</v>
      </c>
      <c r="E1971" s="5">
        <v>175.32453899999999</v>
      </c>
      <c r="F1971" s="28">
        <v>65.661100000000005</v>
      </c>
      <c r="G1971" s="28">
        <v>117.87</v>
      </c>
      <c r="H1971" s="28">
        <v>100.1767</v>
      </c>
      <c r="I1971" s="28">
        <v>89.370509999999996</v>
      </c>
      <c r="J1971" s="29"/>
      <c r="K1971" s="29"/>
      <c r="L1971" s="29"/>
      <c r="M1971" s="29"/>
      <c r="N1971" s="29"/>
      <c r="P1971" s="4">
        <f t="shared" si="124"/>
        <v>-1.2833318424851823E-3</v>
      </c>
      <c r="Q1971" s="4">
        <f t="shared" si="124"/>
        <v>2.200219232320764E-3</v>
      </c>
      <c r="R1971" s="4">
        <f t="shared" si="124"/>
        <v>-1.298062730681508E-2</v>
      </c>
      <c r="S1971" s="4">
        <f t="shared" si="124"/>
        <v>1.6894435799481532E-3</v>
      </c>
      <c r="T1971" s="4">
        <f t="shared" si="124"/>
        <v>-1.1636888388870592E-3</v>
      </c>
      <c r="U1971" s="35"/>
      <c r="V1971" s="35"/>
      <c r="W1971" s="35"/>
      <c r="X1971" s="35"/>
    </row>
    <row r="1972" spans="4:24" x14ac:dyDescent="0.3">
      <c r="D1972" s="23">
        <v>42444</v>
      </c>
      <c r="E1972" s="5">
        <v>175.03886399999999</v>
      </c>
      <c r="F1972" s="28">
        <v>65.596969999999999</v>
      </c>
      <c r="G1972" s="28">
        <v>117.96</v>
      </c>
      <c r="H1972" s="28">
        <v>100.1391</v>
      </c>
      <c r="I1972" s="28">
        <v>89.065629999999999</v>
      </c>
      <c r="J1972" s="29"/>
      <c r="K1972" s="29"/>
      <c r="L1972" s="29"/>
      <c r="M1972" s="29"/>
      <c r="N1972" s="29"/>
      <c r="P1972" s="4">
        <f t="shared" si="124"/>
        <v>-1.63073574957792E-3</v>
      </c>
      <c r="Q1972" s="4">
        <f t="shared" si="124"/>
        <v>-9.7715904405468006E-4</v>
      </c>
      <c r="R1972" s="4">
        <f t="shared" si="124"/>
        <v>7.6326170859734876E-4</v>
      </c>
      <c r="S1972" s="4">
        <f t="shared" si="124"/>
        <v>-3.7540723638952971E-4</v>
      </c>
      <c r="T1972" s="4">
        <f t="shared" si="124"/>
        <v>-3.4172482848875189E-3</v>
      </c>
      <c r="U1972" s="35"/>
      <c r="V1972" s="35"/>
      <c r="W1972" s="35"/>
      <c r="X1972" s="35"/>
    </row>
    <row r="1973" spans="4:24" x14ac:dyDescent="0.3">
      <c r="D1973" s="23">
        <v>42445</v>
      </c>
      <c r="E1973" s="5">
        <v>176.05190999999999</v>
      </c>
      <c r="F1973" s="28">
        <v>65.85351</v>
      </c>
      <c r="G1973" s="28">
        <v>120.59</v>
      </c>
      <c r="H1973" s="28">
        <v>101.0313</v>
      </c>
      <c r="I1973" s="28">
        <v>89.623130000000003</v>
      </c>
      <c r="J1973" s="29"/>
      <c r="K1973" s="29"/>
      <c r="L1973" s="29"/>
      <c r="M1973" s="29"/>
      <c r="N1973" s="29"/>
      <c r="P1973" s="4">
        <f t="shared" ref="P1973:T1988" si="125">LN(E1973/E1972)</f>
        <v>5.7708654653791519E-3</v>
      </c>
      <c r="Q1973" s="4">
        <f t="shared" si="125"/>
        <v>3.9032238711061047E-3</v>
      </c>
      <c r="R1973" s="4">
        <f t="shared" si="125"/>
        <v>2.2050778168425669E-2</v>
      </c>
      <c r="S1973" s="4">
        <f t="shared" si="125"/>
        <v>8.8701503781689565E-3</v>
      </c>
      <c r="T1973" s="4">
        <f t="shared" si="125"/>
        <v>6.2399202829389131E-3</v>
      </c>
      <c r="U1973" s="35"/>
      <c r="V1973" s="35"/>
      <c r="W1973" s="35"/>
      <c r="X1973" s="35"/>
    </row>
    <row r="1974" spans="4:24" x14ac:dyDescent="0.3">
      <c r="D1974" s="23">
        <v>42446</v>
      </c>
      <c r="E1974" s="5">
        <v>177.168701</v>
      </c>
      <c r="F1974" s="28">
        <v>65.997749999999996</v>
      </c>
      <c r="G1974" s="28">
        <v>120.13</v>
      </c>
      <c r="H1974" s="28">
        <v>100.97490000000001</v>
      </c>
      <c r="I1974" s="28">
        <v>90.311359999999993</v>
      </c>
      <c r="J1974" s="29"/>
      <c r="K1974" s="29"/>
      <c r="L1974" s="29"/>
      <c r="M1974" s="29"/>
      <c r="N1974" s="29"/>
      <c r="P1974" s="4">
        <f t="shared" si="125"/>
        <v>6.3234969116132888E-3</v>
      </c>
      <c r="Q1974" s="4">
        <f t="shared" si="125"/>
        <v>2.1879208062130949E-3</v>
      </c>
      <c r="R1974" s="4">
        <f t="shared" si="125"/>
        <v>-3.8218723822175458E-3</v>
      </c>
      <c r="S1974" s="4">
        <f t="shared" si="125"/>
        <v>-5.5839871712352017E-4</v>
      </c>
      <c r="T1974" s="4">
        <f t="shared" si="125"/>
        <v>7.6498214016854117E-3</v>
      </c>
      <c r="U1974" s="35"/>
      <c r="V1974" s="35"/>
      <c r="W1974" s="35"/>
      <c r="X1974" s="35"/>
    </row>
    <row r="1975" spans="4:24" x14ac:dyDescent="0.3">
      <c r="D1975" s="23">
        <v>42447</v>
      </c>
      <c r="E1975" s="5">
        <v>177.86499000000001</v>
      </c>
      <c r="F1975" s="28">
        <v>66.053910000000002</v>
      </c>
      <c r="G1975" s="28">
        <v>119.8</v>
      </c>
      <c r="H1975" s="28">
        <v>101.1332</v>
      </c>
      <c r="I1975" s="28">
        <v>90.712069999999997</v>
      </c>
      <c r="J1975" s="29"/>
      <c r="K1975" s="29"/>
      <c r="L1975" s="29"/>
      <c r="M1975" s="29"/>
      <c r="N1975" s="29"/>
      <c r="P1975" s="4">
        <f t="shared" si="125"/>
        <v>3.9223877077489162E-3</v>
      </c>
      <c r="Q1975" s="4">
        <f t="shared" si="125"/>
        <v>8.5057625759339455E-4</v>
      </c>
      <c r="R1975" s="4">
        <f t="shared" si="125"/>
        <v>-2.7508040519347082E-3</v>
      </c>
      <c r="S1975" s="4">
        <f t="shared" si="125"/>
        <v>1.5664887490492634E-3</v>
      </c>
      <c r="T1975" s="4">
        <f t="shared" si="125"/>
        <v>4.4271689525156952E-3</v>
      </c>
      <c r="U1975" s="35"/>
      <c r="V1975" s="35"/>
      <c r="W1975" s="35"/>
      <c r="X1975" s="35"/>
    </row>
    <row r="1976" spans="4:24" x14ac:dyDescent="0.3">
      <c r="D1976" s="23">
        <v>42450</v>
      </c>
      <c r="E1976" s="5">
        <v>178.11732499999999</v>
      </c>
      <c r="F1976" s="28">
        <v>65.933620000000005</v>
      </c>
      <c r="G1976" s="28">
        <v>118.96</v>
      </c>
      <c r="H1976" s="28">
        <v>101.5288</v>
      </c>
      <c r="I1976" s="28">
        <v>90.799189999999996</v>
      </c>
      <c r="J1976" s="29"/>
      <c r="K1976" s="29"/>
      <c r="L1976" s="29"/>
      <c r="M1976" s="29"/>
      <c r="N1976" s="29"/>
      <c r="P1976" s="4">
        <f t="shared" si="125"/>
        <v>1.4176830231716672E-3</v>
      </c>
      <c r="Q1976" s="4">
        <f t="shared" si="125"/>
        <v>-1.8227484566823409E-3</v>
      </c>
      <c r="R1976" s="4">
        <f t="shared" si="125"/>
        <v>-7.0363835294493344E-3</v>
      </c>
      <c r="S1976" s="4">
        <f t="shared" si="125"/>
        <v>3.9040422226448777E-3</v>
      </c>
      <c r="T1976" s="4">
        <f t="shared" si="125"/>
        <v>9.5994052038406001E-4</v>
      </c>
      <c r="U1976" s="35"/>
      <c r="V1976" s="35"/>
      <c r="W1976" s="35"/>
      <c r="X1976" s="35"/>
    </row>
    <row r="1977" spans="4:24" x14ac:dyDescent="0.3">
      <c r="D1977" s="23">
        <v>42451</v>
      </c>
      <c r="E1977" s="5">
        <v>178.021591</v>
      </c>
      <c r="F1977" s="28">
        <v>65.917619999999999</v>
      </c>
      <c r="G1977" s="28">
        <v>119.31</v>
      </c>
      <c r="H1977" s="28">
        <v>101.8396</v>
      </c>
      <c r="I1977" s="28">
        <v>90.773039999999995</v>
      </c>
      <c r="J1977" s="29"/>
      <c r="K1977" s="29"/>
      <c r="L1977" s="29"/>
      <c r="M1977" s="29"/>
      <c r="N1977" s="29"/>
      <c r="P1977" s="4">
        <f t="shared" si="125"/>
        <v>-5.3762168639774404E-4</v>
      </c>
      <c r="Q1977" s="4">
        <f t="shared" si="125"/>
        <v>-2.4269775663152796E-4</v>
      </c>
      <c r="R1977" s="4">
        <f t="shared" si="125"/>
        <v>2.937845735809427E-3</v>
      </c>
      <c r="S1977" s="4">
        <f t="shared" si="125"/>
        <v>3.0565244351297397E-3</v>
      </c>
      <c r="T1977" s="4">
        <f t="shared" si="125"/>
        <v>-2.8803964329565565E-4</v>
      </c>
      <c r="U1977" s="35"/>
      <c r="V1977" s="35"/>
      <c r="W1977" s="35"/>
      <c r="X1977" s="35"/>
    </row>
    <row r="1978" spans="4:24" x14ac:dyDescent="0.3">
      <c r="D1978" s="23">
        <v>42452</v>
      </c>
      <c r="E1978" s="5">
        <v>176.84674100000001</v>
      </c>
      <c r="F1978" s="28">
        <v>66.061940000000007</v>
      </c>
      <c r="G1978" s="28">
        <v>116.61</v>
      </c>
      <c r="H1978" s="28">
        <v>101.0013</v>
      </c>
      <c r="I1978" s="28">
        <v>90.032589999999999</v>
      </c>
      <c r="J1978" s="29"/>
      <c r="K1978" s="29"/>
      <c r="L1978" s="29"/>
      <c r="M1978" s="29"/>
      <c r="N1978" s="29"/>
      <c r="P1978" s="4">
        <f t="shared" si="125"/>
        <v>-6.621353253592391E-3</v>
      </c>
      <c r="Q1978" s="4">
        <f t="shared" si="125"/>
        <v>2.1870061928302852E-3</v>
      </c>
      <c r="R1978" s="4">
        <f t="shared" si="125"/>
        <v>-2.2890114355467478E-2</v>
      </c>
      <c r="S1978" s="4">
        <f t="shared" si="125"/>
        <v>-8.265638466111544E-3</v>
      </c>
      <c r="T1978" s="4">
        <f t="shared" si="125"/>
        <v>-8.1906093243457115E-3</v>
      </c>
      <c r="U1978" s="35"/>
      <c r="V1978" s="35"/>
      <c r="W1978" s="35"/>
      <c r="X1978" s="35"/>
    </row>
    <row r="1979" spans="4:24" x14ac:dyDescent="0.3">
      <c r="D1979" s="23">
        <v>42453</v>
      </c>
      <c r="E1979" s="5">
        <v>176.76838699999999</v>
      </c>
      <c r="F1979" s="28">
        <v>65.981780000000001</v>
      </c>
      <c r="G1979" s="28">
        <v>116.33</v>
      </c>
      <c r="H1979" s="28">
        <v>101.0296</v>
      </c>
      <c r="I1979" s="28">
        <v>90.006450000000001</v>
      </c>
      <c r="J1979" s="29"/>
      <c r="K1979" s="29"/>
      <c r="L1979" s="29"/>
      <c r="M1979" s="29"/>
      <c r="N1979" s="29"/>
      <c r="P1979" s="4">
        <f t="shared" si="125"/>
        <v>-4.4315978066608878E-4</v>
      </c>
      <c r="Q1979" s="4">
        <f t="shared" si="125"/>
        <v>-1.2141434647143961E-3</v>
      </c>
      <c r="R1979" s="4">
        <f t="shared" si="125"/>
        <v>-2.4040537035664353E-3</v>
      </c>
      <c r="S1979" s="4">
        <f t="shared" si="125"/>
        <v>2.8015516621567521E-4</v>
      </c>
      <c r="T1979" s="4">
        <f t="shared" si="125"/>
        <v>-2.9038146597180594E-4</v>
      </c>
      <c r="U1979" s="35"/>
      <c r="V1979" s="35"/>
      <c r="W1979" s="35"/>
      <c r="X1979" s="35"/>
    </row>
    <row r="1980" spans="4:24" x14ac:dyDescent="0.3">
      <c r="D1980" s="23">
        <v>42457</v>
      </c>
      <c r="E1980" s="5">
        <v>176.87287900000001</v>
      </c>
      <c r="F1980" s="28">
        <v>66.013819999999996</v>
      </c>
      <c r="G1980" s="28">
        <v>116.6</v>
      </c>
      <c r="H1980" s="28">
        <v>100.8883</v>
      </c>
      <c r="I1980" s="28">
        <v>90.067440000000005</v>
      </c>
      <c r="J1980" s="29"/>
      <c r="K1980" s="29"/>
      <c r="L1980" s="29"/>
      <c r="M1980" s="29"/>
      <c r="N1980" s="29"/>
      <c r="P1980" s="4">
        <f t="shared" si="125"/>
        <v>5.909491515107316E-4</v>
      </c>
      <c r="Q1980" s="4">
        <f t="shared" si="125"/>
        <v>4.8547073734677511E-4</v>
      </c>
      <c r="R1980" s="4">
        <f t="shared" si="125"/>
        <v>2.3182940877170188E-3</v>
      </c>
      <c r="S1980" s="4">
        <f t="shared" si="125"/>
        <v>-1.3995789681363008E-3</v>
      </c>
      <c r="T1980" s="4">
        <f t="shared" si="125"/>
        <v>6.7738862454898589E-4</v>
      </c>
      <c r="U1980" s="35"/>
      <c r="V1980" s="35"/>
      <c r="W1980" s="35"/>
      <c r="X1980" s="35"/>
    </row>
    <row r="1981" spans="4:24" x14ac:dyDescent="0.3">
      <c r="D1981" s="23">
        <v>42458</v>
      </c>
      <c r="E1981" s="5">
        <v>178.50891100000001</v>
      </c>
      <c r="F1981" s="28">
        <v>66.286420000000007</v>
      </c>
      <c r="G1981" s="28">
        <v>118.76</v>
      </c>
      <c r="H1981" s="28">
        <v>102.50839999999999</v>
      </c>
      <c r="I1981" s="28">
        <v>91.069239999999994</v>
      </c>
      <c r="J1981" s="29"/>
      <c r="K1981" s="29"/>
      <c r="L1981" s="29"/>
      <c r="M1981" s="29"/>
      <c r="N1981" s="29"/>
      <c r="P1981" s="4">
        <f t="shared" si="125"/>
        <v>9.2072447361125249E-3</v>
      </c>
      <c r="Q1981" s="4">
        <f t="shared" si="125"/>
        <v>4.1209356200236731E-3</v>
      </c>
      <c r="R1981" s="4">
        <f t="shared" si="125"/>
        <v>1.8355375979167105E-2</v>
      </c>
      <c r="S1981" s="4">
        <f t="shared" si="125"/>
        <v>1.5930782196523927E-2</v>
      </c>
      <c r="T1981" s="4">
        <f t="shared" si="125"/>
        <v>1.1061373262412967E-2</v>
      </c>
      <c r="U1981" s="35"/>
      <c r="V1981" s="35"/>
      <c r="W1981" s="35"/>
      <c r="X1981" s="35"/>
    </row>
    <row r="1982" spans="4:24" x14ac:dyDescent="0.3">
      <c r="D1982" s="23">
        <v>42459</v>
      </c>
      <c r="E1982" s="5">
        <v>179.29217499999999</v>
      </c>
      <c r="F1982" s="28">
        <v>66.262370000000004</v>
      </c>
      <c r="G1982" s="28">
        <v>117.1</v>
      </c>
      <c r="H1982" s="28">
        <v>103.0076</v>
      </c>
      <c r="I1982" s="28">
        <v>91.41771</v>
      </c>
      <c r="J1982" s="29"/>
      <c r="K1982" s="29"/>
      <c r="L1982" s="29"/>
      <c r="M1982" s="29"/>
      <c r="N1982" s="29"/>
      <c r="P1982" s="4">
        <f t="shared" si="125"/>
        <v>4.3782161755874611E-3</v>
      </c>
      <c r="Q1982" s="4">
        <f t="shared" si="125"/>
        <v>-3.6288524797432284E-4</v>
      </c>
      <c r="R1982" s="4">
        <f t="shared" si="125"/>
        <v>-1.4076379291887488E-2</v>
      </c>
      <c r="S1982" s="4">
        <f t="shared" si="125"/>
        <v>4.8580254751623584E-3</v>
      </c>
      <c r="T1982" s="4">
        <f t="shared" si="125"/>
        <v>3.8191270505357404E-3</v>
      </c>
      <c r="U1982" s="35"/>
      <c r="V1982" s="35"/>
      <c r="W1982" s="35"/>
      <c r="X1982" s="35"/>
    </row>
    <row r="1983" spans="4:24" x14ac:dyDescent="0.3">
      <c r="D1983" s="23">
        <v>42460</v>
      </c>
      <c r="E1983" s="5">
        <v>178.857056</v>
      </c>
      <c r="F1983" s="28">
        <v>66.390619999999998</v>
      </c>
      <c r="G1983" s="28">
        <v>117.64</v>
      </c>
      <c r="H1983" s="28">
        <v>102.8569</v>
      </c>
      <c r="I1983" s="28">
        <v>91.313180000000003</v>
      </c>
      <c r="J1983" s="29"/>
      <c r="K1983" s="29"/>
      <c r="L1983" s="29"/>
      <c r="M1983" s="29"/>
      <c r="N1983" s="29"/>
      <c r="P1983" s="4">
        <f t="shared" si="125"/>
        <v>-2.4298207362592411E-3</v>
      </c>
      <c r="Q1983" s="4">
        <f t="shared" si="125"/>
        <v>1.9336170252809363E-3</v>
      </c>
      <c r="R1983" s="4">
        <f t="shared" si="125"/>
        <v>4.6008430821227785E-3</v>
      </c>
      <c r="S1983" s="4">
        <f t="shared" si="125"/>
        <v>-1.4640700744304757E-3</v>
      </c>
      <c r="T1983" s="4">
        <f t="shared" si="125"/>
        <v>-1.1440869291657471E-3</v>
      </c>
      <c r="U1983" s="35"/>
      <c r="V1983" s="35"/>
      <c r="W1983" s="35"/>
      <c r="X1983" s="35"/>
    </row>
    <row r="1984" spans="4:24" x14ac:dyDescent="0.3">
      <c r="D1984" s="23">
        <v>42461</v>
      </c>
      <c r="E1984" s="5">
        <v>180.075424</v>
      </c>
      <c r="F1984" s="28">
        <v>66.465379999999996</v>
      </c>
      <c r="G1984" s="28">
        <v>116.93</v>
      </c>
      <c r="H1984" s="28">
        <v>103.9495</v>
      </c>
      <c r="I1984" s="28">
        <v>91.888130000000004</v>
      </c>
      <c r="J1984" s="29"/>
      <c r="K1984" s="29"/>
      <c r="L1984" s="29"/>
      <c r="M1984" s="29"/>
      <c r="N1984" s="29"/>
      <c r="P1984" s="4">
        <f t="shared" si="125"/>
        <v>6.7888683655280366E-3</v>
      </c>
      <c r="Q1984" s="4">
        <f t="shared" si="125"/>
        <v>1.1254291547367664E-3</v>
      </c>
      <c r="R1984" s="4">
        <f t="shared" si="125"/>
        <v>-6.0536485335671531E-3</v>
      </c>
      <c r="S1984" s="4">
        <f t="shared" si="125"/>
        <v>1.056650244675462E-2</v>
      </c>
      <c r="T1984" s="4">
        <f t="shared" si="125"/>
        <v>6.2767224494108863E-3</v>
      </c>
      <c r="U1984" s="35"/>
      <c r="V1984" s="35"/>
      <c r="W1984" s="35"/>
      <c r="X1984" s="35"/>
    </row>
    <row r="1985" spans="4:24" x14ac:dyDescent="0.3">
      <c r="D1985" s="23">
        <v>42464</v>
      </c>
      <c r="E1985" s="5">
        <v>179.49232499999999</v>
      </c>
      <c r="F1985" s="28">
        <v>66.465379999999996</v>
      </c>
      <c r="G1985" s="28">
        <v>116.15</v>
      </c>
      <c r="H1985" s="28">
        <v>103.5539</v>
      </c>
      <c r="I1985" s="28">
        <v>91.504810000000006</v>
      </c>
      <c r="J1985" s="29"/>
      <c r="K1985" s="29"/>
      <c r="L1985" s="29"/>
      <c r="M1985" s="29"/>
      <c r="N1985" s="29"/>
      <c r="P1985" s="4">
        <f t="shared" si="125"/>
        <v>-3.2433359931059022E-3</v>
      </c>
      <c r="Q1985" s="4">
        <f t="shared" si="125"/>
        <v>0</v>
      </c>
      <c r="R1985" s="4">
        <f t="shared" si="125"/>
        <v>-6.6930059358089513E-3</v>
      </c>
      <c r="S1985" s="4">
        <f t="shared" si="125"/>
        <v>-3.8129541905309642E-3</v>
      </c>
      <c r="T1985" s="4">
        <f t="shared" si="125"/>
        <v>-4.1803196809201224E-3</v>
      </c>
      <c r="U1985" s="35"/>
      <c r="V1985" s="35"/>
      <c r="W1985" s="35"/>
      <c r="X1985" s="35"/>
    </row>
    <row r="1986" spans="4:24" x14ac:dyDescent="0.3">
      <c r="D1986" s="23">
        <v>42465</v>
      </c>
      <c r="E1986" s="5">
        <v>177.699646</v>
      </c>
      <c r="F1986" s="28">
        <v>66.585880000000003</v>
      </c>
      <c r="G1986" s="28">
        <v>117.66</v>
      </c>
      <c r="H1986" s="28">
        <v>102.55549999999999</v>
      </c>
      <c r="I1986" s="28">
        <v>90.616230000000002</v>
      </c>
      <c r="J1986" s="29"/>
      <c r="K1986" s="29"/>
      <c r="L1986" s="29"/>
      <c r="M1986" s="29"/>
      <c r="N1986" s="29"/>
      <c r="P1986" s="4">
        <f t="shared" si="125"/>
        <v>-1.003770631696344E-2</v>
      </c>
      <c r="Q1986" s="4">
        <f t="shared" si="125"/>
        <v>1.8113324585722584E-3</v>
      </c>
      <c r="R1986" s="4">
        <f t="shared" si="125"/>
        <v>1.2916650219891765E-2</v>
      </c>
      <c r="S1986" s="4">
        <f t="shared" si="125"/>
        <v>-9.6881346424361418E-3</v>
      </c>
      <c r="T1986" s="4">
        <f t="shared" si="125"/>
        <v>-9.7582031275280836E-3</v>
      </c>
      <c r="U1986" s="35"/>
      <c r="V1986" s="35"/>
      <c r="W1986" s="35"/>
      <c r="X1986" s="35"/>
    </row>
    <row r="1987" spans="4:24" x14ac:dyDescent="0.3">
      <c r="D1987" s="23">
        <v>42466</v>
      </c>
      <c r="E1987" s="5">
        <v>179.640289</v>
      </c>
      <c r="F1987" s="28">
        <v>66.553719999999998</v>
      </c>
      <c r="G1987" s="28">
        <v>116.94</v>
      </c>
      <c r="H1987" s="28">
        <v>104.2415</v>
      </c>
      <c r="I1987" s="28">
        <v>91.609369999999998</v>
      </c>
      <c r="J1987" s="29"/>
      <c r="K1987" s="29"/>
      <c r="L1987" s="29"/>
      <c r="M1987" s="29"/>
      <c r="N1987" s="29"/>
      <c r="P1987" s="4">
        <f t="shared" si="125"/>
        <v>1.0861713954276746E-2</v>
      </c>
      <c r="Q1987" s="4">
        <f t="shared" si="125"/>
        <v>-4.831019565251276E-4</v>
      </c>
      <c r="R1987" s="4">
        <f t="shared" si="125"/>
        <v>-6.1381266887854296E-3</v>
      </c>
      <c r="S1987" s="4">
        <f t="shared" si="125"/>
        <v>1.6306207127911643E-2</v>
      </c>
      <c r="T1987" s="4">
        <f t="shared" si="125"/>
        <v>1.0900222946681339E-2</v>
      </c>
      <c r="U1987" s="35"/>
      <c r="V1987" s="35"/>
      <c r="W1987" s="35"/>
      <c r="X1987" s="35"/>
    </row>
    <row r="1988" spans="4:24" x14ac:dyDescent="0.3">
      <c r="D1988" s="23">
        <v>42467</v>
      </c>
      <c r="E1988" s="5">
        <v>177.49075300000001</v>
      </c>
      <c r="F1988" s="28">
        <v>66.770669999999996</v>
      </c>
      <c r="G1988" s="28">
        <v>118.61</v>
      </c>
      <c r="H1988" s="28">
        <v>102.74379999999999</v>
      </c>
      <c r="I1988" s="28">
        <v>90.511740000000003</v>
      </c>
      <c r="J1988" s="29"/>
      <c r="K1988" s="29"/>
      <c r="L1988" s="29"/>
      <c r="M1988" s="29"/>
      <c r="N1988" s="29"/>
      <c r="P1988" s="4">
        <f t="shared" si="125"/>
        <v>-1.2037945207554327E-2</v>
      </c>
      <c r="Q1988" s="4">
        <f t="shared" si="125"/>
        <v>3.2544711659578114E-3</v>
      </c>
      <c r="R1988" s="4">
        <f t="shared" si="125"/>
        <v>1.4179817293659988E-2</v>
      </c>
      <c r="S1988" s="4">
        <f t="shared" si="125"/>
        <v>-1.4471811659417064E-2</v>
      </c>
      <c r="T1988" s="4">
        <f t="shared" si="125"/>
        <v>-1.2053992975587326E-2</v>
      </c>
      <c r="U1988" s="35"/>
      <c r="V1988" s="35"/>
      <c r="W1988" s="35"/>
      <c r="X1988" s="35"/>
    </row>
    <row r="1989" spans="4:24" x14ac:dyDescent="0.3">
      <c r="D1989" s="23">
        <v>42468</v>
      </c>
      <c r="E1989" s="5">
        <v>177.96937600000001</v>
      </c>
      <c r="F1989" s="28">
        <v>66.714389999999995</v>
      </c>
      <c r="G1989" s="28">
        <v>118.43</v>
      </c>
      <c r="H1989" s="28">
        <v>102.66849999999999</v>
      </c>
      <c r="I1989" s="28">
        <v>90.773039999999995</v>
      </c>
      <c r="J1989" s="29"/>
      <c r="K1989" s="29"/>
      <c r="L1989" s="29"/>
      <c r="M1989" s="29"/>
      <c r="N1989" s="29"/>
      <c r="P1989" s="4">
        <f t="shared" ref="P1989:T2004" si="126">LN(E1989/E1988)</f>
        <v>2.6929787630452684E-3</v>
      </c>
      <c r="Q1989" s="4">
        <f t="shared" si="126"/>
        <v>-8.4324048451332994E-4</v>
      </c>
      <c r="R1989" s="4">
        <f t="shared" si="126"/>
        <v>-1.5187313077806271E-3</v>
      </c>
      <c r="S1989" s="4">
        <f t="shared" si="126"/>
        <v>-7.331596342863288E-4</v>
      </c>
      <c r="T1989" s="4">
        <f t="shared" si="126"/>
        <v>2.8827591699286722E-3</v>
      </c>
      <c r="U1989" s="35"/>
      <c r="V1989" s="35"/>
      <c r="W1989" s="35"/>
      <c r="X1989" s="35"/>
    </row>
    <row r="1990" spans="4:24" x14ac:dyDescent="0.3">
      <c r="D1990" s="23">
        <v>42471</v>
      </c>
      <c r="E1990" s="5">
        <v>177.55166600000001</v>
      </c>
      <c r="F1990" s="28">
        <v>66.706400000000002</v>
      </c>
      <c r="G1990" s="28">
        <v>120.03</v>
      </c>
      <c r="H1990" s="28">
        <v>102.29170000000001</v>
      </c>
      <c r="I1990" s="28">
        <v>90.520430000000005</v>
      </c>
      <c r="J1990" s="29"/>
      <c r="K1990" s="29"/>
      <c r="L1990" s="29"/>
      <c r="M1990" s="29"/>
      <c r="N1990" s="29"/>
      <c r="P1990" s="4">
        <f t="shared" si="126"/>
        <v>-2.3498479294439736E-3</v>
      </c>
      <c r="Q1990" s="4">
        <f t="shared" si="126"/>
        <v>-1.1977143906199213E-4</v>
      </c>
      <c r="R1990" s="4">
        <f t="shared" si="126"/>
        <v>1.3419642803849533E-2</v>
      </c>
      <c r="S1990" s="4">
        <f t="shared" si="126"/>
        <v>-3.6768155426822428E-3</v>
      </c>
      <c r="T1990" s="4">
        <f t="shared" si="126"/>
        <v>-2.7867541338439583E-3</v>
      </c>
      <c r="U1990" s="35"/>
      <c r="V1990" s="35"/>
      <c r="W1990" s="35"/>
      <c r="X1990" s="35"/>
    </row>
    <row r="1991" spans="4:24" x14ac:dyDescent="0.3">
      <c r="D1991" s="23">
        <v>42472</v>
      </c>
      <c r="E1991" s="5">
        <v>179.20515399999999</v>
      </c>
      <c r="F1991" s="28">
        <v>66.601939999999999</v>
      </c>
      <c r="G1991" s="28">
        <v>120.05</v>
      </c>
      <c r="H1991" s="28">
        <v>103.14879999999999</v>
      </c>
      <c r="I1991" s="28">
        <v>91.400289999999998</v>
      </c>
      <c r="J1991" s="29"/>
      <c r="K1991" s="29"/>
      <c r="L1991" s="29"/>
      <c r="M1991" s="29"/>
      <c r="N1991" s="29"/>
      <c r="P1991" s="4">
        <f t="shared" si="126"/>
        <v>9.2696186705581544E-3</v>
      </c>
      <c r="Q1991" s="4">
        <f t="shared" si="126"/>
        <v>-1.5671940912373209E-3</v>
      </c>
      <c r="R1991" s="4">
        <f t="shared" si="126"/>
        <v>1.6661113000879146E-4</v>
      </c>
      <c r="S1991" s="4">
        <f t="shared" si="126"/>
        <v>8.3440701600045013E-3</v>
      </c>
      <c r="T1991" s="4">
        <f t="shared" si="126"/>
        <v>9.6730802361191127E-3</v>
      </c>
      <c r="U1991" s="35"/>
      <c r="V1991" s="35"/>
      <c r="W1991" s="35"/>
      <c r="X1991" s="35"/>
    </row>
    <row r="1992" spans="4:24" x14ac:dyDescent="0.3">
      <c r="D1992" s="23">
        <v>42473</v>
      </c>
      <c r="E1992" s="5">
        <v>181.01535000000001</v>
      </c>
      <c r="F1992" s="28">
        <v>66.642110000000002</v>
      </c>
      <c r="G1992" s="28">
        <v>118.77</v>
      </c>
      <c r="H1992" s="28">
        <v>104.4675</v>
      </c>
      <c r="I1992" s="28">
        <v>92.471789999999999</v>
      </c>
      <c r="J1992" s="29"/>
      <c r="K1992" s="29"/>
      <c r="L1992" s="29"/>
      <c r="M1992" s="29"/>
      <c r="N1992" s="29"/>
      <c r="P1992" s="4">
        <f t="shared" si="126"/>
        <v>1.0050573011831135E-2</v>
      </c>
      <c r="Q1992" s="4">
        <f t="shared" si="126"/>
        <v>6.0295377117388174E-4</v>
      </c>
      <c r="R1992" s="4">
        <f t="shared" si="126"/>
        <v>-1.0719472881113246E-2</v>
      </c>
      <c r="S1992" s="4">
        <f t="shared" si="126"/>
        <v>1.2703412341951948E-2</v>
      </c>
      <c r="T1992" s="4">
        <f t="shared" si="126"/>
        <v>1.165497371010055E-2</v>
      </c>
      <c r="U1992" s="35"/>
      <c r="V1992" s="35"/>
      <c r="W1992" s="35"/>
      <c r="X1992" s="35"/>
    </row>
    <row r="1993" spans="4:24" x14ac:dyDescent="0.3">
      <c r="D1993" s="23">
        <v>42474</v>
      </c>
      <c r="E1993" s="5">
        <v>181.02401699999999</v>
      </c>
      <c r="F1993" s="28">
        <v>66.585880000000003</v>
      </c>
      <c r="G1993" s="28">
        <v>117.11</v>
      </c>
      <c r="H1993" s="28">
        <v>104.477</v>
      </c>
      <c r="I1993" s="28">
        <v>92.436949999999996</v>
      </c>
      <c r="J1993" s="29"/>
      <c r="K1993" s="29"/>
      <c r="L1993" s="29"/>
      <c r="M1993" s="29"/>
      <c r="N1993" s="29"/>
      <c r="P1993" s="4">
        <f t="shared" si="126"/>
        <v>4.7878771159332617E-5</v>
      </c>
      <c r="Q1993" s="4">
        <f t="shared" si="126"/>
        <v>-8.4411696579390829E-4</v>
      </c>
      <c r="R1993" s="4">
        <f t="shared" si="126"/>
        <v>-1.4075185732102952E-2</v>
      </c>
      <c r="S1993" s="4">
        <f t="shared" si="126"/>
        <v>9.0933238315013209E-5</v>
      </c>
      <c r="T1993" s="4">
        <f t="shared" si="126"/>
        <v>-3.7683454456822384E-4</v>
      </c>
      <c r="U1993" s="35"/>
      <c r="V1993" s="35"/>
      <c r="W1993" s="35"/>
      <c r="X1993" s="35"/>
    </row>
    <row r="1994" spans="4:24" x14ac:dyDescent="0.3">
      <c r="D1994" s="23">
        <v>42475</v>
      </c>
      <c r="E1994" s="5">
        <v>180.823868</v>
      </c>
      <c r="F1994" s="28">
        <v>66.738529999999997</v>
      </c>
      <c r="G1994" s="28">
        <v>117.92</v>
      </c>
      <c r="H1994" s="28">
        <v>104.2132</v>
      </c>
      <c r="I1994" s="28">
        <v>92.393389999999997</v>
      </c>
      <c r="J1994" s="29"/>
      <c r="K1994" s="29"/>
      <c r="L1994" s="29"/>
      <c r="M1994" s="29"/>
      <c r="N1994" s="29"/>
      <c r="P1994" s="4">
        <f t="shared" si="126"/>
        <v>-1.1062605515135631E-3</v>
      </c>
      <c r="Q1994" s="4">
        <f t="shared" si="126"/>
        <v>2.2899042523980406E-3</v>
      </c>
      <c r="R1994" s="4">
        <f t="shared" si="126"/>
        <v>6.8927643869806888E-3</v>
      </c>
      <c r="S1994" s="4">
        <f t="shared" si="126"/>
        <v>-2.5281507278011005E-3</v>
      </c>
      <c r="T1994" s="4">
        <f t="shared" si="126"/>
        <v>-4.7135119490102458E-4</v>
      </c>
      <c r="U1994" s="35"/>
      <c r="V1994" s="35"/>
      <c r="W1994" s="35"/>
      <c r="X1994" s="35"/>
    </row>
    <row r="1995" spans="4:24" x14ac:dyDescent="0.3">
      <c r="D1995" s="23">
        <v>42478</v>
      </c>
      <c r="E1995" s="5">
        <v>182.094437</v>
      </c>
      <c r="F1995" s="28">
        <v>66.714389999999995</v>
      </c>
      <c r="G1995" s="28">
        <v>117.74</v>
      </c>
      <c r="H1995" s="28">
        <v>104.7689</v>
      </c>
      <c r="I1995" s="28">
        <v>93.011899999999997</v>
      </c>
      <c r="J1995" s="29"/>
      <c r="K1995" s="29"/>
      <c r="L1995" s="29"/>
      <c r="M1995" s="29"/>
      <c r="N1995" s="29"/>
      <c r="P1995" s="4">
        <f t="shared" si="126"/>
        <v>7.0019845986813434E-3</v>
      </c>
      <c r="Q1995" s="4">
        <f t="shared" si="126"/>
        <v>-3.6177552747885026E-4</v>
      </c>
      <c r="R1995" s="4">
        <f t="shared" si="126"/>
        <v>-1.5276248409111794E-3</v>
      </c>
      <c r="S1995" s="4">
        <f t="shared" si="126"/>
        <v>5.3181713623846856E-3</v>
      </c>
      <c r="T1995" s="4">
        <f t="shared" si="126"/>
        <v>6.6720026644830795E-3</v>
      </c>
      <c r="U1995" s="35"/>
      <c r="V1995" s="35"/>
      <c r="W1995" s="35"/>
      <c r="X1995" s="35"/>
    </row>
    <row r="1996" spans="4:24" x14ac:dyDescent="0.3">
      <c r="D1996" s="23">
        <v>42479</v>
      </c>
      <c r="E1996" s="5">
        <v>182.66880800000001</v>
      </c>
      <c r="F1996" s="28">
        <v>66.754549999999995</v>
      </c>
      <c r="G1996" s="28">
        <v>119.58</v>
      </c>
      <c r="H1996" s="28">
        <v>104.1284</v>
      </c>
      <c r="I1996" s="28">
        <v>93.273240000000001</v>
      </c>
      <c r="J1996" s="29"/>
      <c r="K1996" s="29"/>
      <c r="L1996" s="29"/>
      <c r="M1996" s="29"/>
      <c r="N1996" s="29"/>
      <c r="P1996" s="4">
        <f t="shared" si="126"/>
        <v>3.1492837208255838E-3</v>
      </c>
      <c r="Q1996" s="4">
        <f t="shared" si="126"/>
        <v>6.0178796972523783E-4</v>
      </c>
      <c r="R1996" s="4">
        <f t="shared" si="126"/>
        <v>1.5506799852643078E-2</v>
      </c>
      <c r="S1996" s="4">
        <f t="shared" si="126"/>
        <v>-6.1322191059259654E-3</v>
      </c>
      <c r="T1996" s="4">
        <f t="shared" si="126"/>
        <v>2.8058080365528683E-3</v>
      </c>
      <c r="U1996" s="35"/>
      <c r="V1996" s="35"/>
      <c r="W1996" s="35"/>
      <c r="X1996" s="35"/>
    </row>
    <row r="1997" spans="4:24" x14ac:dyDescent="0.3">
      <c r="D1997" s="23">
        <v>42480</v>
      </c>
      <c r="E1997" s="5">
        <v>182.84288000000001</v>
      </c>
      <c r="F1997" s="28">
        <v>66.569820000000007</v>
      </c>
      <c r="G1997" s="28">
        <v>118.97</v>
      </c>
      <c r="H1997" s="28">
        <v>104.2132</v>
      </c>
      <c r="I1997" s="28">
        <v>93.369060000000005</v>
      </c>
      <c r="J1997" s="29"/>
      <c r="K1997" s="29"/>
      <c r="L1997" s="29"/>
      <c r="M1997" s="29"/>
      <c r="N1997" s="29"/>
      <c r="P1997" s="4">
        <f t="shared" si="126"/>
        <v>9.5248397725761279E-4</v>
      </c>
      <c r="Q1997" s="4">
        <f t="shared" si="126"/>
        <v>-2.7711380629805858E-3</v>
      </c>
      <c r="R1997" s="4">
        <f t="shared" si="126"/>
        <v>-5.1142429643236424E-3</v>
      </c>
      <c r="S1997" s="4">
        <f t="shared" si="126"/>
        <v>8.1404774354142183E-4</v>
      </c>
      <c r="T1997" s="4">
        <f t="shared" si="126"/>
        <v>1.0267769784058445E-3</v>
      </c>
      <c r="U1997" s="35"/>
      <c r="V1997" s="35"/>
      <c r="W1997" s="35"/>
      <c r="X1997" s="35"/>
    </row>
    <row r="1998" spans="4:24" x14ac:dyDescent="0.3">
      <c r="D1998" s="23">
        <v>42481</v>
      </c>
      <c r="E1998" s="5">
        <v>181.85945100000001</v>
      </c>
      <c r="F1998" s="28">
        <v>66.48948</v>
      </c>
      <c r="G1998" s="28">
        <v>119.42</v>
      </c>
      <c r="H1998" s="28">
        <v>104.2226</v>
      </c>
      <c r="I1998" s="28">
        <v>92.907359999999997</v>
      </c>
      <c r="J1998" s="29"/>
      <c r="K1998" s="29"/>
      <c r="L1998" s="29"/>
      <c r="M1998" s="29"/>
      <c r="N1998" s="29"/>
      <c r="P1998" s="4">
        <f t="shared" si="126"/>
        <v>-5.3930633286558153E-3</v>
      </c>
      <c r="Q1998" s="4">
        <f t="shared" si="126"/>
        <v>-1.2075820294112382E-3</v>
      </c>
      <c r="R1998" s="4">
        <f t="shared" si="126"/>
        <v>3.7753306304117509E-3</v>
      </c>
      <c r="S1998" s="4">
        <f t="shared" si="126"/>
        <v>9.0195638238350719E-5</v>
      </c>
      <c r="T1998" s="4">
        <f t="shared" si="126"/>
        <v>-4.9571593169149874E-3</v>
      </c>
      <c r="U1998" s="35"/>
      <c r="V1998" s="35"/>
      <c r="W1998" s="35"/>
      <c r="X1998" s="35"/>
    </row>
    <row r="1999" spans="4:24" x14ac:dyDescent="0.3">
      <c r="D1999" s="23">
        <v>42482</v>
      </c>
      <c r="E1999" s="5">
        <v>181.85945100000001</v>
      </c>
      <c r="F1999" s="28">
        <v>66.465379999999996</v>
      </c>
      <c r="G1999" s="28">
        <v>117.89</v>
      </c>
      <c r="H1999" s="28">
        <v>102.64960000000001</v>
      </c>
      <c r="I1999" s="28">
        <v>93.038030000000006</v>
      </c>
      <c r="J1999" s="29"/>
      <c r="K1999" s="29"/>
      <c r="L1999" s="29"/>
      <c r="M1999" s="29"/>
      <c r="N1999" s="29"/>
      <c r="P1999" s="4">
        <f t="shared" si="126"/>
        <v>0</v>
      </c>
      <c r="Q1999" s="4">
        <f t="shared" si="126"/>
        <v>-3.6252906082491189E-4</v>
      </c>
      <c r="R1999" s="4">
        <f t="shared" si="126"/>
        <v>-1.2894704814810292E-2</v>
      </c>
      <c r="S1999" s="4">
        <f t="shared" si="126"/>
        <v>-1.5207749676044329E-2</v>
      </c>
      <c r="T1999" s="4">
        <f t="shared" si="126"/>
        <v>1.4054666427575201E-3</v>
      </c>
      <c r="U1999" s="35"/>
      <c r="V1999" s="35"/>
      <c r="W1999" s="35"/>
      <c r="X1999" s="35"/>
    </row>
    <row r="2000" spans="4:24" x14ac:dyDescent="0.3">
      <c r="D2000" s="23">
        <v>42485</v>
      </c>
      <c r="E2000" s="5">
        <v>181.54615799999999</v>
      </c>
      <c r="F2000" s="28">
        <v>66.385019999999997</v>
      </c>
      <c r="G2000" s="28">
        <v>118.23</v>
      </c>
      <c r="H2000" s="28">
        <v>102.64960000000001</v>
      </c>
      <c r="I2000" s="28">
        <v>92.811539999999994</v>
      </c>
      <c r="J2000" s="29"/>
      <c r="K2000" s="29"/>
      <c r="L2000" s="29"/>
      <c r="M2000" s="29"/>
      <c r="N2000" s="29"/>
      <c r="P2000" s="4">
        <f t="shared" si="126"/>
        <v>-1.7242060653796137E-3</v>
      </c>
      <c r="Q2000" s="4">
        <f t="shared" si="126"/>
        <v>-1.2097819773377184E-3</v>
      </c>
      <c r="R2000" s="4">
        <f t="shared" si="126"/>
        <v>2.8798935709860411E-3</v>
      </c>
      <c r="S2000" s="4">
        <f t="shared" si="126"/>
        <v>0</v>
      </c>
      <c r="T2000" s="4">
        <f t="shared" si="126"/>
        <v>-2.4373487883257786E-3</v>
      </c>
      <c r="U2000" s="35"/>
      <c r="V2000" s="35"/>
      <c r="W2000" s="35"/>
      <c r="X2000" s="35"/>
    </row>
    <row r="2001" spans="4:24" x14ac:dyDescent="0.3">
      <c r="D2001" s="23">
        <v>42486</v>
      </c>
      <c r="E2001" s="5">
        <v>181.81594799999999</v>
      </c>
      <c r="F2001" s="28">
        <v>66.288610000000006</v>
      </c>
      <c r="G2001" s="28">
        <v>118.7</v>
      </c>
      <c r="H2001" s="28">
        <v>102.1504</v>
      </c>
      <c r="I2001" s="28">
        <v>93.064160000000001</v>
      </c>
      <c r="J2001" s="29"/>
      <c r="K2001" s="29"/>
      <c r="L2001" s="29"/>
      <c r="M2001" s="29"/>
      <c r="N2001" s="29"/>
      <c r="P2001" s="4">
        <f t="shared" si="126"/>
        <v>1.4849652460823977E-3</v>
      </c>
      <c r="Q2001" s="4">
        <f t="shared" si="126"/>
        <v>-1.4533410591050741E-3</v>
      </c>
      <c r="R2001" s="4">
        <f t="shared" si="126"/>
        <v>3.9674217406002847E-3</v>
      </c>
      <c r="S2001" s="4">
        <f t="shared" si="126"/>
        <v>-4.8750096548196243E-3</v>
      </c>
      <c r="T2001" s="4">
        <f t="shared" si="126"/>
        <v>2.718162250775682E-3</v>
      </c>
      <c r="U2001" s="35"/>
      <c r="V2001" s="35"/>
      <c r="W2001" s="35"/>
      <c r="X2001" s="35"/>
    </row>
    <row r="2002" spans="4:24" x14ac:dyDescent="0.3">
      <c r="D2002" s="23">
        <v>42487</v>
      </c>
      <c r="E2002" s="5">
        <v>182.19021599999999</v>
      </c>
      <c r="F2002" s="28">
        <v>66.48948</v>
      </c>
      <c r="G2002" s="28">
        <v>119.04</v>
      </c>
      <c r="H2002" s="28">
        <v>101.331</v>
      </c>
      <c r="I2002" s="28">
        <v>93.290660000000003</v>
      </c>
      <c r="J2002" s="29"/>
      <c r="K2002" s="29"/>
      <c r="L2002" s="29"/>
      <c r="M2002" s="29"/>
      <c r="N2002" s="29"/>
      <c r="P2002" s="4">
        <f t="shared" si="126"/>
        <v>2.0563834841506078E-3</v>
      </c>
      <c r="Q2002" s="4">
        <f t="shared" si="126"/>
        <v>3.025652097267842E-3</v>
      </c>
      <c r="R2002" s="4">
        <f t="shared" si="126"/>
        <v>2.8602694691594937E-3</v>
      </c>
      <c r="S2002" s="4">
        <f t="shared" si="126"/>
        <v>-8.05385090883462E-3</v>
      </c>
      <c r="T2002" s="4">
        <f t="shared" si="126"/>
        <v>2.4308479011466489E-3</v>
      </c>
      <c r="U2002" s="35"/>
      <c r="V2002" s="35"/>
      <c r="W2002" s="35"/>
      <c r="X2002" s="35"/>
    </row>
    <row r="2003" spans="4:24" x14ac:dyDescent="0.3">
      <c r="D2003" s="23">
        <v>42488</v>
      </c>
      <c r="E2003" s="5">
        <v>180.53666699999999</v>
      </c>
      <c r="F2003" s="28">
        <v>66.609960000000001</v>
      </c>
      <c r="G2003" s="28">
        <v>121.29</v>
      </c>
      <c r="H2003" s="28">
        <v>100.1065</v>
      </c>
      <c r="I2003" s="28">
        <v>92.454350000000005</v>
      </c>
      <c r="J2003" s="29"/>
      <c r="K2003" s="29"/>
      <c r="L2003" s="29"/>
      <c r="M2003" s="29"/>
      <c r="N2003" s="29"/>
      <c r="P2003" s="4">
        <f t="shared" si="126"/>
        <v>-9.1173857356098564E-3</v>
      </c>
      <c r="Q2003" s="4">
        <f t="shared" si="126"/>
        <v>1.8103762556134872E-3</v>
      </c>
      <c r="R2003" s="4">
        <f t="shared" si="126"/>
        <v>1.8724801236007366E-2</v>
      </c>
      <c r="S2003" s="4">
        <f t="shared" si="126"/>
        <v>-1.2157766879293012E-2</v>
      </c>
      <c r="T2003" s="4">
        <f t="shared" si="126"/>
        <v>-9.0049864741125786E-3</v>
      </c>
      <c r="U2003" s="35"/>
      <c r="V2003" s="35"/>
      <c r="W2003" s="35"/>
      <c r="X2003" s="35"/>
    </row>
    <row r="2004" spans="4:24" x14ac:dyDescent="0.3">
      <c r="D2004" s="23">
        <v>42489</v>
      </c>
      <c r="E2004" s="5">
        <v>179.561981</v>
      </c>
      <c r="F2004" s="28">
        <v>66.658199999999994</v>
      </c>
      <c r="G2004" s="28">
        <v>123.65</v>
      </c>
      <c r="H2004" s="28">
        <v>99.57902</v>
      </c>
      <c r="I2004" s="28">
        <v>91.914259999999999</v>
      </c>
      <c r="J2004" s="29"/>
      <c r="K2004" s="29"/>
      <c r="L2004" s="29"/>
      <c r="M2004" s="29"/>
      <c r="N2004" s="29"/>
      <c r="P2004" s="4">
        <f t="shared" si="126"/>
        <v>-5.4134520399580516E-3</v>
      </c>
      <c r="Q2004" s="4">
        <f t="shared" si="126"/>
        <v>7.2395390027007978E-4</v>
      </c>
      <c r="R2004" s="4">
        <f t="shared" si="126"/>
        <v>1.9270621646635937E-2</v>
      </c>
      <c r="S2004" s="4">
        <f t="shared" si="126"/>
        <v>-5.2831194459105994E-3</v>
      </c>
      <c r="T2004" s="4">
        <f t="shared" si="126"/>
        <v>-5.8588232011727659E-3</v>
      </c>
      <c r="U2004" s="35"/>
      <c r="V2004" s="35"/>
      <c r="W2004" s="35"/>
      <c r="X2004" s="35"/>
    </row>
    <row r="2005" spans="4:24" x14ac:dyDescent="0.3">
      <c r="D2005" s="23">
        <v>42492</v>
      </c>
      <c r="E2005" s="5">
        <v>180.989182</v>
      </c>
      <c r="F2005" s="28">
        <v>66.540629999999993</v>
      </c>
      <c r="G2005" s="28">
        <v>123.24</v>
      </c>
      <c r="H2005" s="28">
        <v>100.5209</v>
      </c>
      <c r="I2005" s="28">
        <v>92.628590000000003</v>
      </c>
      <c r="J2005" s="29"/>
      <c r="K2005" s="29"/>
      <c r="L2005" s="29"/>
      <c r="M2005" s="29"/>
      <c r="N2005" s="29"/>
      <c r="P2005" s="4">
        <f t="shared" ref="P2005:T2020" si="127">LN(E2005/E2004)</f>
        <v>7.9168151470282583E-3</v>
      </c>
      <c r="Q2005" s="4">
        <f t="shared" si="127"/>
        <v>-1.7653312800551802E-3</v>
      </c>
      <c r="R2005" s="4">
        <f t="shared" si="127"/>
        <v>-3.3213202389581553E-3</v>
      </c>
      <c r="S2005" s="4">
        <f t="shared" si="127"/>
        <v>9.414166245401449E-3</v>
      </c>
      <c r="T2005" s="4">
        <f t="shared" si="127"/>
        <v>7.7416553138916194E-3</v>
      </c>
      <c r="U2005" s="35"/>
      <c r="V2005" s="35"/>
      <c r="W2005" s="35"/>
      <c r="X2005" s="35"/>
    </row>
    <row r="2006" spans="4:24" x14ac:dyDescent="0.3">
      <c r="D2006" s="23">
        <v>42493</v>
      </c>
      <c r="E2006" s="5">
        <v>179.41403199999999</v>
      </c>
      <c r="F2006" s="28">
        <v>66.725790000000003</v>
      </c>
      <c r="G2006" s="28">
        <v>122.96</v>
      </c>
      <c r="H2006" s="28">
        <v>99.588440000000006</v>
      </c>
      <c r="I2006" s="28">
        <v>91.696489999999997</v>
      </c>
      <c r="J2006" s="29"/>
      <c r="K2006" s="29"/>
      <c r="L2006" s="29"/>
      <c r="M2006" s="29"/>
      <c r="N2006" s="29"/>
      <c r="P2006" s="4">
        <f t="shared" si="127"/>
        <v>-8.7410986814097803E-3</v>
      </c>
      <c r="Q2006" s="4">
        <f t="shared" si="127"/>
        <v>2.7787963261257688E-3</v>
      </c>
      <c r="R2006" s="4">
        <f t="shared" si="127"/>
        <v>-2.2745744981267232E-3</v>
      </c>
      <c r="S2006" s="4">
        <f t="shared" si="127"/>
        <v>-9.3195724798632307E-3</v>
      </c>
      <c r="T2006" s="4">
        <f t="shared" si="127"/>
        <v>-1.0113739760059106E-2</v>
      </c>
      <c r="U2006" s="35"/>
      <c r="V2006" s="35"/>
      <c r="W2006" s="35"/>
      <c r="X2006" s="35"/>
    </row>
    <row r="2007" spans="4:24" x14ac:dyDescent="0.3">
      <c r="D2007" s="23">
        <v>42494</v>
      </c>
      <c r="E2007" s="5">
        <v>178.413208</v>
      </c>
      <c r="F2007" s="28">
        <v>66.749930000000006</v>
      </c>
      <c r="G2007" s="28">
        <v>122.21</v>
      </c>
      <c r="H2007" s="28">
        <v>98.947919999999996</v>
      </c>
      <c r="I2007" s="28">
        <v>91.156369999999995</v>
      </c>
      <c r="J2007" s="29"/>
      <c r="K2007" s="29"/>
      <c r="L2007" s="29"/>
      <c r="M2007" s="29"/>
      <c r="N2007" s="29"/>
      <c r="P2007" s="4">
        <f t="shared" si="127"/>
        <v>-5.5939095626109849E-3</v>
      </c>
      <c r="Q2007" s="4">
        <f t="shared" si="127"/>
        <v>3.617137298559528E-4</v>
      </c>
      <c r="R2007" s="4">
        <f t="shared" si="127"/>
        <v>-6.1182227804312444E-3</v>
      </c>
      <c r="S2007" s="4">
        <f t="shared" si="127"/>
        <v>-6.4524424874452388E-3</v>
      </c>
      <c r="T2007" s="4">
        <f t="shared" si="127"/>
        <v>-5.9077180515422802E-3</v>
      </c>
      <c r="U2007" s="35"/>
      <c r="V2007" s="35"/>
      <c r="W2007" s="35"/>
      <c r="X2007" s="35"/>
    </row>
    <row r="2008" spans="4:24" x14ac:dyDescent="0.3">
      <c r="D2008" s="23">
        <v>42495</v>
      </c>
      <c r="E2008" s="5">
        <v>178.37840299999999</v>
      </c>
      <c r="F2008" s="28">
        <v>66.870689999999996</v>
      </c>
      <c r="G2008" s="28">
        <v>122.07</v>
      </c>
      <c r="H2008" s="28">
        <v>98.919650000000004</v>
      </c>
      <c r="I2008" s="28">
        <v>91.121510000000001</v>
      </c>
      <c r="J2008" s="29"/>
      <c r="K2008" s="29"/>
      <c r="L2008" s="29"/>
      <c r="M2008" s="29"/>
      <c r="N2008" s="29"/>
      <c r="P2008" s="4">
        <f t="shared" si="127"/>
        <v>-1.9509987924240697E-4</v>
      </c>
      <c r="Q2008" s="4">
        <f t="shared" si="127"/>
        <v>1.8075059504690139E-3</v>
      </c>
      <c r="R2008" s="4">
        <f t="shared" si="127"/>
        <v>-1.1462257682008537E-3</v>
      </c>
      <c r="S2008" s="4">
        <f t="shared" si="127"/>
        <v>-2.8574667584328409E-4</v>
      </c>
      <c r="T2008" s="4">
        <f t="shared" si="127"/>
        <v>-3.8249293249405919E-4</v>
      </c>
      <c r="U2008" s="35"/>
      <c r="V2008" s="35"/>
      <c r="W2008" s="35"/>
      <c r="X2008" s="35"/>
    </row>
    <row r="2009" spans="4:24" x14ac:dyDescent="0.3">
      <c r="D2009" s="23">
        <v>42496</v>
      </c>
      <c r="E2009" s="5">
        <v>179.03109699999999</v>
      </c>
      <c r="F2009" s="28">
        <v>66.838520000000003</v>
      </c>
      <c r="G2009" s="28">
        <v>123.18</v>
      </c>
      <c r="H2009" s="28">
        <v>99.447149999999993</v>
      </c>
      <c r="I2009" s="28">
        <v>91.452569999999994</v>
      </c>
      <c r="J2009" s="29"/>
      <c r="K2009" s="29"/>
      <c r="L2009" s="29"/>
      <c r="M2009" s="29"/>
      <c r="N2009" s="29"/>
      <c r="P2009" s="4">
        <f t="shared" si="127"/>
        <v>3.6523636084935794E-3</v>
      </c>
      <c r="Q2009" s="4">
        <f t="shared" si="127"/>
        <v>-4.8119348877660674E-4</v>
      </c>
      <c r="R2009" s="4">
        <f t="shared" si="127"/>
        <v>9.0520495771890374E-3</v>
      </c>
      <c r="S2009" s="4">
        <f t="shared" si="127"/>
        <v>5.3184428381920692E-3</v>
      </c>
      <c r="T2009" s="4">
        <f t="shared" si="127"/>
        <v>3.6265866747929487E-3</v>
      </c>
      <c r="U2009" s="35"/>
      <c r="V2009" s="35"/>
      <c r="W2009" s="35"/>
      <c r="X2009" s="35"/>
    </row>
    <row r="2010" spans="4:24" x14ac:dyDescent="0.3">
      <c r="D2010" s="23">
        <v>42499</v>
      </c>
      <c r="E2010" s="5">
        <v>179.179047</v>
      </c>
      <c r="F2010" s="28">
        <v>66.886750000000006</v>
      </c>
      <c r="G2010" s="28">
        <v>120.65</v>
      </c>
      <c r="H2010" s="28">
        <v>99.729709999999997</v>
      </c>
      <c r="I2010" s="28">
        <v>91.548360000000002</v>
      </c>
      <c r="J2010" s="29"/>
      <c r="K2010" s="29"/>
      <c r="L2010" s="29"/>
      <c r="M2010" s="29"/>
      <c r="N2010" s="29"/>
      <c r="P2010" s="4">
        <f t="shared" si="127"/>
        <v>8.2605147224943483E-4</v>
      </c>
      <c r="Q2010" s="4">
        <f t="shared" si="127"/>
        <v>7.2132966478579232E-4</v>
      </c>
      <c r="R2010" s="4">
        <f t="shared" si="127"/>
        <v>-2.0752908187856522E-2</v>
      </c>
      <c r="S2010" s="4">
        <f t="shared" si="127"/>
        <v>2.8372792858996892E-3</v>
      </c>
      <c r="T2010" s="4">
        <f t="shared" si="127"/>
        <v>1.0468800213035833E-3</v>
      </c>
      <c r="U2010" s="35"/>
      <c r="V2010" s="35"/>
      <c r="W2010" s="35"/>
      <c r="X2010" s="35"/>
    </row>
    <row r="2011" spans="4:24" x14ac:dyDescent="0.3">
      <c r="D2011" s="23">
        <v>42500</v>
      </c>
      <c r="E2011" s="5">
        <v>181.406937</v>
      </c>
      <c r="F2011" s="28">
        <v>66.886750000000006</v>
      </c>
      <c r="G2011" s="28">
        <v>120.98</v>
      </c>
      <c r="H2011" s="28">
        <v>101.0955</v>
      </c>
      <c r="I2011" s="28">
        <v>92.637309999999999</v>
      </c>
      <c r="J2011" s="29"/>
      <c r="K2011" s="29"/>
      <c r="L2011" s="29"/>
      <c r="M2011" s="29"/>
      <c r="N2011" s="29"/>
      <c r="P2011" s="4">
        <f t="shared" si="127"/>
        <v>1.2357209923868642E-2</v>
      </c>
      <c r="Q2011" s="4">
        <f t="shared" si="127"/>
        <v>0</v>
      </c>
      <c r="R2011" s="4">
        <f t="shared" si="127"/>
        <v>2.7314506077274225E-3</v>
      </c>
      <c r="S2011" s="4">
        <f t="shared" si="127"/>
        <v>1.3601988091701992E-2</v>
      </c>
      <c r="T2011" s="4">
        <f t="shared" si="127"/>
        <v>1.1824619018400314E-2</v>
      </c>
      <c r="U2011" s="35"/>
      <c r="V2011" s="35"/>
      <c r="W2011" s="35"/>
      <c r="X2011" s="35"/>
    </row>
    <row r="2012" spans="4:24" x14ac:dyDescent="0.3">
      <c r="D2012" s="23">
        <v>42501</v>
      </c>
      <c r="E2012" s="5">
        <v>179.70988500000001</v>
      </c>
      <c r="F2012" s="28">
        <v>66.902900000000002</v>
      </c>
      <c r="G2012" s="28">
        <v>122.12</v>
      </c>
      <c r="H2012" s="28">
        <v>100.1818</v>
      </c>
      <c r="I2012" s="28">
        <v>91.792299999999997</v>
      </c>
      <c r="J2012" s="29"/>
      <c r="K2012" s="29"/>
      <c r="L2012" s="29"/>
      <c r="M2012" s="29"/>
      <c r="N2012" s="29"/>
      <c r="P2012" s="4">
        <f t="shared" si="127"/>
        <v>-9.3989777813425091E-3</v>
      </c>
      <c r="Q2012" s="4">
        <f t="shared" si="127"/>
        <v>2.4142375854090733E-4</v>
      </c>
      <c r="R2012" s="4">
        <f t="shared" si="127"/>
        <v>9.3789251879090058E-3</v>
      </c>
      <c r="S2012" s="4">
        <f t="shared" si="127"/>
        <v>-9.0790792237829751E-3</v>
      </c>
      <c r="T2012" s="4">
        <f t="shared" si="127"/>
        <v>-9.1635601572652332E-3</v>
      </c>
      <c r="U2012" s="35"/>
      <c r="V2012" s="35"/>
      <c r="W2012" s="35"/>
      <c r="X2012" s="35"/>
    </row>
    <row r="2013" spans="4:24" x14ac:dyDescent="0.3">
      <c r="D2013" s="23">
        <v>42502</v>
      </c>
      <c r="E2013" s="5">
        <v>179.76217700000001</v>
      </c>
      <c r="F2013" s="28">
        <v>66.910929999999993</v>
      </c>
      <c r="G2013" s="28">
        <v>121.16</v>
      </c>
      <c r="H2013" s="28">
        <v>99.739109999999997</v>
      </c>
      <c r="I2013" s="28">
        <v>91.757459999999995</v>
      </c>
      <c r="J2013" s="29"/>
      <c r="K2013" s="29"/>
      <c r="L2013" s="29"/>
      <c r="M2013" s="29"/>
      <c r="N2013" s="29"/>
      <c r="P2013" s="4">
        <f t="shared" si="127"/>
        <v>2.9093777178621356E-4</v>
      </c>
      <c r="Q2013" s="4">
        <f t="shared" si="127"/>
        <v>1.200174901148397E-4</v>
      </c>
      <c r="R2013" s="4">
        <f t="shared" si="127"/>
        <v>-7.8921817076405953E-3</v>
      </c>
      <c r="S2013" s="4">
        <f t="shared" si="127"/>
        <v>-4.4286585484257963E-3</v>
      </c>
      <c r="T2013" s="4">
        <f t="shared" si="127"/>
        <v>-3.7962458156756175E-4</v>
      </c>
      <c r="U2013" s="35"/>
      <c r="V2013" s="35"/>
      <c r="W2013" s="35"/>
      <c r="X2013" s="35"/>
    </row>
    <row r="2014" spans="4:24" x14ac:dyDescent="0.3">
      <c r="D2014" s="23">
        <v>42503</v>
      </c>
      <c r="E2014" s="5">
        <v>178.195663</v>
      </c>
      <c r="F2014" s="28">
        <v>66.983410000000006</v>
      </c>
      <c r="G2014" s="28">
        <v>121.71</v>
      </c>
      <c r="H2014" s="28">
        <v>99.371780000000001</v>
      </c>
      <c r="I2014" s="28">
        <v>90.964709999999997</v>
      </c>
      <c r="J2014" s="29"/>
      <c r="K2014" s="29"/>
      <c r="L2014" s="29"/>
      <c r="M2014" s="29"/>
      <c r="N2014" s="29"/>
      <c r="P2014" s="4">
        <f t="shared" si="127"/>
        <v>-8.7525614777732644E-3</v>
      </c>
      <c r="Q2014" s="4">
        <f t="shared" si="127"/>
        <v>1.0826448239651444E-3</v>
      </c>
      <c r="R2014" s="4">
        <f t="shared" si="127"/>
        <v>4.5291797274290236E-3</v>
      </c>
      <c r="S2014" s="4">
        <f t="shared" si="127"/>
        <v>-3.6897069440438002E-3</v>
      </c>
      <c r="T2014" s="4">
        <f t="shared" si="127"/>
        <v>-8.6771624269493895E-3</v>
      </c>
      <c r="U2014" s="35"/>
      <c r="V2014" s="35"/>
      <c r="W2014" s="35"/>
      <c r="X2014" s="35"/>
    </row>
    <row r="2015" spans="4:24" x14ac:dyDescent="0.3">
      <c r="D2015" s="23">
        <v>42506</v>
      </c>
      <c r="E2015" s="5">
        <v>179.953598</v>
      </c>
      <c r="F2015" s="28">
        <v>66.838520000000003</v>
      </c>
      <c r="G2015" s="28">
        <v>121.8</v>
      </c>
      <c r="H2015" s="28">
        <v>100.6151</v>
      </c>
      <c r="I2015" s="28">
        <v>91.870710000000003</v>
      </c>
      <c r="J2015" s="29"/>
      <c r="K2015" s="29"/>
      <c r="L2015" s="29"/>
      <c r="M2015" s="29"/>
      <c r="N2015" s="29"/>
      <c r="P2015" s="4">
        <f t="shared" si="127"/>
        <v>9.8168518501860758E-3</v>
      </c>
      <c r="Q2015" s="4">
        <f t="shared" si="127"/>
        <v>-2.1654157374067125E-3</v>
      </c>
      <c r="R2015" s="4">
        <f t="shared" si="127"/>
        <v>7.3918938933103617E-4</v>
      </c>
      <c r="S2015" s="4">
        <f t="shared" si="127"/>
        <v>1.2434175871629009E-2</v>
      </c>
      <c r="T2015" s="4">
        <f t="shared" si="127"/>
        <v>9.9106334609275204E-3</v>
      </c>
      <c r="U2015" s="35"/>
      <c r="V2015" s="35"/>
      <c r="W2015" s="35"/>
      <c r="X2015" s="35"/>
    </row>
    <row r="2016" spans="4:24" x14ac:dyDescent="0.3">
      <c r="D2016" s="23">
        <v>42507</v>
      </c>
      <c r="E2016" s="5">
        <v>178.27401699999999</v>
      </c>
      <c r="F2016" s="28">
        <v>66.790189999999996</v>
      </c>
      <c r="G2016" s="28">
        <v>122.22</v>
      </c>
      <c r="H2016" s="28">
        <v>99.352959999999996</v>
      </c>
      <c r="I2016" s="28">
        <v>91.043130000000005</v>
      </c>
      <c r="J2016" s="29"/>
      <c r="K2016" s="29"/>
      <c r="L2016" s="29"/>
      <c r="M2016" s="29"/>
      <c r="N2016" s="29"/>
      <c r="P2016" s="4">
        <f t="shared" si="127"/>
        <v>-9.3772408220512311E-3</v>
      </c>
      <c r="Q2016" s="4">
        <f t="shared" si="127"/>
        <v>-7.2334758162856958E-4</v>
      </c>
      <c r="R2016" s="4">
        <f t="shared" si="127"/>
        <v>3.4423441909729197E-3</v>
      </c>
      <c r="S2016" s="4">
        <f t="shared" si="127"/>
        <v>-1.2623583592643314E-2</v>
      </c>
      <c r="T2016" s="4">
        <f t="shared" si="127"/>
        <v>-9.0489122861400623E-3</v>
      </c>
      <c r="U2016" s="35"/>
      <c r="V2016" s="35"/>
      <c r="W2016" s="35"/>
      <c r="X2016" s="35"/>
    </row>
    <row r="2017" spans="4:24" x14ac:dyDescent="0.3">
      <c r="D2017" s="23">
        <v>42508</v>
      </c>
      <c r="E2017" s="5">
        <v>178.32621800000001</v>
      </c>
      <c r="F2017" s="28">
        <v>66.476259999999996</v>
      </c>
      <c r="G2017" s="28">
        <v>120.1</v>
      </c>
      <c r="H2017" s="28">
        <v>99.710890000000006</v>
      </c>
      <c r="I2017" s="28">
        <v>91.034390000000002</v>
      </c>
      <c r="J2017" s="29"/>
      <c r="K2017" s="29"/>
      <c r="L2017" s="29"/>
      <c r="M2017" s="29"/>
      <c r="N2017" s="29"/>
      <c r="P2017" s="4">
        <f t="shared" si="127"/>
        <v>2.9277042048434415E-4</v>
      </c>
      <c r="Q2017" s="4">
        <f t="shared" si="127"/>
        <v>-4.7113220271143052E-3</v>
      </c>
      <c r="R2017" s="4">
        <f t="shared" si="127"/>
        <v>-1.7497970380831646E-2</v>
      </c>
      <c r="S2017" s="4">
        <f t="shared" si="127"/>
        <v>3.5961364731471449E-3</v>
      </c>
      <c r="T2017" s="4">
        <f t="shared" si="127"/>
        <v>-9.6003065141830673E-5</v>
      </c>
      <c r="U2017" s="35"/>
      <c r="V2017" s="35"/>
      <c r="W2017" s="35"/>
      <c r="X2017" s="35"/>
    </row>
    <row r="2018" spans="4:24" x14ac:dyDescent="0.3">
      <c r="D2018" s="23">
        <v>42509</v>
      </c>
      <c r="E2018" s="5">
        <v>177.708282</v>
      </c>
      <c r="F2018" s="28">
        <v>66.548680000000004</v>
      </c>
      <c r="G2018" s="28">
        <v>119.87</v>
      </c>
      <c r="H2018" s="28">
        <v>99.192809999999994</v>
      </c>
      <c r="I2018" s="28">
        <v>90.677250000000001</v>
      </c>
      <c r="J2018" s="29"/>
      <c r="K2018" s="29"/>
      <c r="L2018" s="29"/>
      <c r="M2018" s="29"/>
      <c r="N2018" s="29"/>
      <c r="P2018" s="4">
        <f t="shared" si="127"/>
        <v>-3.471217651532417E-3</v>
      </c>
      <c r="Q2018" s="4">
        <f t="shared" si="127"/>
        <v>1.0888184900464005E-3</v>
      </c>
      <c r="R2018" s="4">
        <f t="shared" si="127"/>
        <v>-1.916906866929298E-3</v>
      </c>
      <c r="S2018" s="4">
        <f t="shared" si="127"/>
        <v>-5.2093668606059042E-3</v>
      </c>
      <c r="T2018" s="4">
        <f t="shared" si="127"/>
        <v>-3.9308484570866609E-3</v>
      </c>
      <c r="U2018" s="35"/>
      <c r="V2018" s="35"/>
      <c r="W2018" s="35"/>
      <c r="X2018" s="35"/>
    </row>
    <row r="2019" spans="4:24" x14ac:dyDescent="0.3">
      <c r="D2019" s="23">
        <v>42510</v>
      </c>
      <c r="E2019" s="5">
        <v>178.83093299999999</v>
      </c>
      <c r="F2019" s="28">
        <v>66.548680000000004</v>
      </c>
      <c r="G2019" s="28">
        <v>119.71</v>
      </c>
      <c r="H2019" s="28">
        <v>100.2854</v>
      </c>
      <c r="I2019" s="28">
        <v>91.37415</v>
      </c>
      <c r="J2019" s="29"/>
      <c r="K2019" s="29"/>
      <c r="L2019" s="29"/>
      <c r="M2019" s="29"/>
      <c r="N2019" s="29"/>
      <c r="P2019" s="4">
        <f t="shared" si="127"/>
        <v>6.2975104168084472E-3</v>
      </c>
      <c r="Q2019" s="4">
        <f t="shared" si="127"/>
        <v>0</v>
      </c>
      <c r="R2019" s="4">
        <f t="shared" si="127"/>
        <v>-1.3356709557300242E-3</v>
      </c>
      <c r="S2019" s="4">
        <f t="shared" si="127"/>
        <v>1.0954589237126184E-2</v>
      </c>
      <c r="T2019" s="4">
        <f t="shared" si="127"/>
        <v>7.6561169442062134E-3</v>
      </c>
      <c r="U2019" s="35"/>
      <c r="V2019" s="35"/>
      <c r="W2019" s="35"/>
      <c r="X2019" s="35"/>
    </row>
    <row r="2020" spans="4:24" x14ac:dyDescent="0.3">
      <c r="D2020" s="23">
        <v>42513</v>
      </c>
      <c r="E2020" s="5">
        <v>178.587265</v>
      </c>
      <c r="F2020" s="28">
        <v>66.564769999999996</v>
      </c>
      <c r="G2020" s="28">
        <v>119.37</v>
      </c>
      <c r="H2020" s="28">
        <v>100.1536</v>
      </c>
      <c r="I2020" s="28">
        <v>91.260900000000007</v>
      </c>
      <c r="J2020" s="29"/>
      <c r="K2020" s="29"/>
      <c r="L2020" s="29"/>
      <c r="M2020" s="29"/>
      <c r="N2020" s="29"/>
      <c r="P2020" s="4">
        <f t="shared" si="127"/>
        <v>-1.3634898229235657E-3</v>
      </c>
      <c r="Q2020" s="4">
        <f t="shared" si="127"/>
        <v>2.4174867495884797E-4</v>
      </c>
      <c r="R2020" s="4">
        <f t="shared" si="127"/>
        <v>-2.8442381563314129E-3</v>
      </c>
      <c r="S2020" s="4">
        <f t="shared" si="127"/>
        <v>-1.3151135157921873E-3</v>
      </c>
      <c r="T2020" s="4">
        <f t="shared" si="127"/>
        <v>-1.2401783175273844E-3</v>
      </c>
      <c r="U2020" s="35"/>
      <c r="V2020" s="35"/>
      <c r="W2020" s="35"/>
      <c r="X2020" s="35"/>
    </row>
    <row r="2021" spans="4:24" x14ac:dyDescent="0.3">
      <c r="D2021" s="23">
        <v>42514</v>
      </c>
      <c r="E2021" s="5">
        <v>180.90214499999999</v>
      </c>
      <c r="F2021" s="28">
        <v>66.532579999999996</v>
      </c>
      <c r="G2021" s="28">
        <v>117.3</v>
      </c>
      <c r="H2021" s="28">
        <v>102.1598</v>
      </c>
      <c r="I2021" s="28">
        <v>92.48048</v>
      </c>
      <c r="J2021" s="29"/>
      <c r="K2021" s="29"/>
      <c r="L2021" s="29"/>
      <c r="M2021" s="29"/>
      <c r="N2021" s="29"/>
      <c r="P2021" s="4">
        <f t="shared" ref="P2021:T2036" si="128">LN(E2021/E2020)</f>
        <v>1.2878888401878976E-2</v>
      </c>
      <c r="Q2021" s="4">
        <f t="shared" si="128"/>
        <v>-4.8370610876364114E-4</v>
      </c>
      <c r="R2021" s="4">
        <f t="shared" si="128"/>
        <v>-1.749315744751723E-2</v>
      </c>
      <c r="S2021" s="4">
        <f t="shared" si="128"/>
        <v>1.9833246462315816E-2</v>
      </c>
      <c r="T2021" s="4">
        <f t="shared" si="128"/>
        <v>1.3275157838449519E-2</v>
      </c>
      <c r="U2021" s="35"/>
      <c r="V2021" s="35"/>
      <c r="W2021" s="35"/>
      <c r="X2021" s="35"/>
    </row>
    <row r="2022" spans="4:24" x14ac:dyDescent="0.3">
      <c r="D2022" s="23">
        <v>42515</v>
      </c>
      <c r="E2022" s="5">
        <v>182.12919600000001</v>
      </c>
      <c r="F2022" s="28">
        <v>66.508449999999996</v>
      </c>
      <c r="G2022" s="28">
        <v>116.98</v>
      </c>
      <c r="H2022" s="28">
        <v>102.89449999999999</v>
      </c>
      <c r="I2022" s="28">
        <v>93.15128</v>
      </c>
      <c r="J2022" s="29"/>
      <c r="K2022" s="29"/>
      <c r="L2022" s="29"/>
      <c r="M2022" s="29"/>
      <c r="N2022" s="29"/>
      <c r="P2022" s="4">
        <f t="shared" si="128"/>
        <v>6.7600536607358179E-3</v>
      </c>
      <c r="Q2022" s="4">
        <f t="shared" si="128"/>
        <v>-3.6274524129277096E-4</v>
      </c>
      <c r="R2022" s="4">
        <f t="shared" si="128"/>
        <v>-2.731775644550048E-3</v>
      </c>
      <c r="S2022" s="4">
        <f t="shared" si="128"/>
        <v>7.1659374511184671E-3</v>
      </c>
      <c r="T2022" s="4">
        <f t="shared" si="128"/>
        <v>7.2272430086798723E-3</v>
      </c>
      <c r="U2022" s="35"/>
      <c r="V2022" s="35"/>
      <c r="W2022" s="35"/>
      <c r="X2022" s="35"/>
    </row>
    <row r="2023" spans="4:24" x14ac:dyDescent="0.3">
      <c r="D2023" s="23">
        <v>42516</v>
      </c>
      <c r="E2023" s="5">
        <v>182.181442</v>
      </c>
      <c r="F2023" s="28">
        <v>66.621120000000005</v>
      </c>
      <c r="G2023" s="28">
        <v>116.58</v>
      </c>
      <c r="H2023" s="28">
        <v>103.19589999999999</v>
      </c>
      <c r="I2023" s="28">
        <v>93.133870000000002</v>
      </c>
      <c r="J2023" s="29"/>
      <c r="K2023" s="29"/>
      <c r="L2023" s="29"/>
      <c r="M2023" s="29"/>
      <c r="N2023" s="29"/>
      <c r="P2023" s="4">
        <f t="shared" si="128"/>
        <v>2.8682116253869397E-4</v>
      </c>
      <c r="Q2023" s="4">
        <f t="shared" si="128"/>
        <v>1.6926371338863381E-3</v>
      </c>
      <c r="R2023" s="4">
        <f t="shared" si="128"/>
        <v>-3.425247397476044E-3</v>
      </c>
      <c r="S2023" s="4">
        <f t="shared" si="128"/>
        <v>2.9249321159916623E-3</v>
      </c>
      <c r="T2023" s="4">
        <f t="shared" si="128"/>
        <v>-1.8691774465852347E-4</v>
      </c>
      <c r="U2023" s="35"/>
      <c r="V2023" s="35"/>
      <c r="W2023" s="35"/>
      <c r="X2023" s="35"/>
    </row>
    <row r="2024" spans="4:24" x14ac:dyDescent="0.3">
      <c r="D2024" s="23">
        <v>42517</v>
      </c>
      <c r="E2024" s="5">
        <v>182.96469099999999</v>
      </c>
      <c r="F2024" s="28">
        <v>66.596990000000005</v>
      </c>
      <c r="G2024" s="28">
        <v>115.62</v>
      </c>
      <c r="H2024" s="28">
        <v>103.7329</v>
      </c>
      <c r="I2024" s="28">
        <v>93.552019999999999</v>
      </c>
      <c r="J2024" s="29"/>
      <c r="K2024" s="29"/>
      <c r="L2024" s="29"/>
      <c r="M2024" s="29"/>
      <c r="N2024" s="29"/>
      <c r="P2024" s="4">
        <f t="shared" si="128"/>
        <v>4.2900643358863219E-3</v>
      </c>
      <c r="Q2024" s="4">
        <f t="shared" si="128"/>
        <v>-3.6226306264055234E-4</v>
      </c>
      <c r="R2024" s="4">
        <f t="shared" si="128"/>
        <v>-8.268780963073678E-3</v>
      </c>
      <c r="S2024" s="4">
        <f t="shared" si="128"/>
        <v>5.1902026734227278E-3</v>
      </c>
      <c r="T2024" s="4">
        <f t="shared" si="128"/>
        <v>4.4797247321009762E-3</v>
      </c>
      <c r="U2024" s="35"/>
      <c r="V2024" s="35"/>
      <c r="W2024" s="35"/>
      <c r="X2024" s="35"/>
    </row>
    <row r="2025" spans="4:24" x14ac:dyDescent="0.3">
      <c r="D2025" s="23">
        <v>42521</v>
      </c>
      <c r="E2025" s="5">
        <v>182.61660800000001</v>
      </c>
      <c r="F2025" s="28">
        <v>66.653350000000003</v>
      </c>
      <c r="G2025" s="28">
        <v>116.06</v>
      </c>
      <c r="H2025" s="28">
        <v>103.9306</v>
      </c>
      <c r="I2025" s="28">
        <v>93.508449999999996</v>
      </c>
      <c r="J2025" s="29"/>
      <c r="K2025" s="29"/>
      <c r="L2025" s="29"/>
      <c r="M2025" s="29"/>
      <c r="N2025" s="29"/>
      <c r="P2025" s="4">
        <f t="shared" si="128"/>
        <v>-1.904271942457027E-3</v>
      </c>
      <c r="Q2025" s="4">
        <f t="shared" si="128"/>
        <v>8.4592659742403482E-4</v>
      </c>
      <c r="R2025" s="4">
        <f t="shared" si="128"/>
        <v>3.7983471081321006E-3</v>
      </c>
      <c r="S2025" s="4">
        <f t="shared" si="128"/>
        <v>1.9040424506770852E-3</v>
      </c>
      <c r="T2025" s="4">
        <f t="shared" si="128"/>
        <v>-4.6583867546051445E-4</v>
      </c>
      <c r="U2025" s="35"/>
      <c r="V2025" s="35"/>
      <c r="W2025" s="35"/>
      <c r="X2025" s="35"/>
    </row>
    <row r="2026" spans="4:24" x14ac:dyDescent="0.3">
      <c r="D2026" s="23">
        <v>42522</v>
      </c>
      <c r="E2026" s="5">
        <v>182.99082899999999</v>
      </c>
      <c r="F2026" s="28">
        <v>66.676739999999995</v>
      </c>
      <c r="G2026" s="28">
        <v>115.94</v>
      </c>
      <c r="H2026" s="28">
        <v>103.9401</v>
      </c>
      <c r="I2026" s="28">
        <v>93.761070000000004</v>
      </c>
      <c r="J2026" s="29"/>
      <c r="K2026" s="29"/>
      <c r="L2026" s="29"/>
      <c r="M2026" s="29"/>
      <c r="N2026" s="29"/>
      <c r="P2026" s="4">
        <f t="shared" si="128"/>
        <v>2.047119904113515E-3</v>
      </c>
      <c r="Q2026" s="4">
        <f t="shared" si="128"/>
        <v>3.5085853823290427E-4</v>
      </c>
      <c r="R2026" s="4">
        <f t="shared" si="128"/>
        <v>-1.0344828508754896E-3</v>
      </c>
      <c r="S2026" s="4">
        <f t="shared" si="128"/>
        <v>9.1402973161875469E-5</v>
      </c>
      <c r="T2026" s="4">
        <f t="shared" si="128"/>
        <v>2.6979313369474762E-3</v>
      </c>
      <c r="U2026" s="35"/>
      <c r="V2026" s="35"/>
      <c r="W2026" s="35"/>
      <c r="X2026" s="35"/>
    </row>
    <row r="2027" spans="4:24" x14ac:dyDescent="0.3">
      <c r="D2027" s="23">
        <v>42523</v>
      </c>
      <c r="E2027" s="5">
        <v>183.547775</v>
      </c>
      <c r="F2027" s="28">
        <v>66.805779999999999</v>
      </c>
      <c r="G2027" s="28">
        <v>115.67</v>
      </c>
      <c r="H2027" s="28">
        <v>104.1567</v>
      </c>
      <c r="I2027" s="28">
        <v>94.074700000000007</v>
      </c>
      <c r="J2027" s="29"/>
      <c r="K2027" s="29"/>
      <c r="L2027" s="29"/>
      <c r="M2027" s="29"/>
      <c r="N2027" s="29"/>
      <c r="P2027" s="4">
        <f t="shared" si="128"/>
        <v>3.0389510002426286E-3</v>
      </c>
      <c r="Q2027" s="4">
        <f t="shared" si="128"/>
        <v>1.9334372799958185E-3</v>
      </c>
      <c r="R2027" s="4">
        <f t="shared" si="128"/>
        <v>-2.3315066042766414E-3</v>
      </c>
      <c r="S2027" s="4">
        <f t="shared" si="128"/>
        <v>2.0817242573747687E-3</v>
      </c>
      <c r="T2027" s="4">
        <f t="shared" si="128"/>
        <v>3.3394096497997841E-3</v>
      </c>
      <c r="U2027" s="35"/>
      <c r="V2027" s="35"/>
      <c r="W2027" s="35"/>
      <c r="X2027" s="35"/>
    </row>
    <row r="2028" spans="4:24" x14ac:dyDescent="0.3">
      <c r="D2028" s="23">
        <v>42524</v>
      </c>
      <c r="E2028" s="5">
        <v>182.999527</v>
      </c>
      <c r="F2028" s="28">
        <v>67.225200000000001</v>
      </c>
      <c r="G2028" s="28">
        <v>118.88</v>
      </c>
      <c r="H2028" s="28">
        <v>103.6669</v>
      </c>
      <c r="I2028" s="28">
        <v>93.813339999999997</v>
      </c>
      <c r="J2028" s="29"/>
      <c r="K2028" s="29"/>
      <c r="L2028" s="29"/>
      <c r="M2028" s="29"/>
      <c r="N2028" s="29"/>
      <c r="P2028" s="4">
        <f t="shared" si="128"/>
        <v>-2.9914196931518141E-3</v>
      </c>
      <c r="Q2028" s="4">
        <f t="shared" si="128"/>
        <v>6.2585734887095805E-3</v>
      </c>
      <c r="R2028" s="4">
        <f t="shared" si="128"/>
        <v>2.7373271662138831E-2</v>
      </c>
      <c r="S2028" s="4">
        <f t="shared" si="128"/>
        <v>-4.7136216182734475E-3</v>
      </c>
      <c r="T2028" s="4">
        <f t="shared" si="128"/>
        <v>-2.782084145185759E-3</v>
      </c>
      <c r="U2028" s="35"/>
      <c r="V2028" s="35"/>
      <c r="W2028" s="35"/>
      <c r="X2028" s="35"/>
    </row>
    <row r="2029" spans="4:24" x14ac:dyDescent="0.3">
      <c r="D2029" s="23">
        <v>42527</v>
      </c>
      <c r="E2029" s="5">
        <v>183.93069499999999</v>
      </c>
      <c r="F2029" s="28">
        <v>67.120419999999996</v>
      </c>
      <c r="G2029" s="28">
        <v>118.92</v>
      </c>
      <c r="H2029" s="28">
        <v>104.0437</v>
      </c>
      <c r="I2029" s="28">
        <v>94.301190000000005</v>
      </c>
      <c r="J2029" s="29"/>
      <c r="K2029" s="29"/>
      <c r="L2029" s="29"/>
      <c r="M2029" s="29"/>
      <c r="N2029" s="29"/>
      <c r="P2029" s="4">
        <f t="shared" si="128"/>
        <v>5.0754609083684806E-3</v>
      </c>
      <c r="Q2029" s="4">
        <f t="shared" si="128"/>
        <v>-1.5598576454597317E-3</v>
      </c>
      <c r="R2029" s="4">
        <f t="shared" si="128"/>
        <v>3.3641716044787546E-4</v>
      </c>
      <c r="S2029" s="4">
        <f t="shared" si="128"/>
        <v>3.6281288805494632E-3</v>
      </c>
      <c r="T2029" s="4">
        <f t="shared" si="128"/>
        <v>5.1867454756553298E-3</v>
      </c>
      <c r="U2029" s="35"/>
      <c r="V2029" s="35"/>
      <c r="W2029" s="35"/>
      <c r="X2029" s="35"/>
    </row>
    <row r="2030" spans="4:24" x14ac:dyDescent="0.3">
      <c r="D2030" s="23">
        <v>42528</v>
      </c>
      <c r="E2030" s="5">
        <v>184.21786499999999</v>
      </c>
      <c r="F2030" s="28">
        <v>67.128460000000004</v>
      </c>
      <c r="G2030" s="28">
        <v>118.82</v>
      </c>
      <c r="H2030" s="28">
        <v>103.7799</v>
      </c>
      <c r="I2030" s="28">
        <v>94.48415</v>
      </c>
      <c r="J2030" s="29"/>
      <c r="K2030" s="29"/>
      <c r="L2030" s="29"/>
      <c r="M2030" s="29"/>
      <c r="N2030" s="29"/>
      <c r="P2030" s="4">
        <f t="shared" si="128"/>
        <v>1.5600770419628414E-3</v>
      </c>
      <c r="Q2030" s="4">
        <f t="shared" si="128"/>
        <v>1.1977753571760732E-4</v>
      </c>
      <c r="R2030" s="4">
        <f t="shared" si="128"/>
        <v>-8.4125520230158483E-4</v>
      </c>
      <c r="S2030" s="4">
        <f t="shared" si="128"/>
        <v>-2.5386928306671791E-3</v>
      </c>
      <c r="T2030" s="4">
        <f t="shared" si="128"/>
        <v>1.9382867046884129E-3</v>
      </c>
      <c r="U2030" s="35"/>
      <c r="V2030" s="35"/>
      <c r="W2030" s="35"/>
      <c r="X2030" s="35"/>
    </row>
    <row r="2031" spans="4:24" x14ac:dyDescent="0.3">
      <c r="D2031" s="23">
        <v>42529</v>
      </c>
      <c r="E2031" s="5">
        <v>184.818344</v>
      </c>
      <c r="F2031" s="28">
        <v>67.209140000000005</v>
      </c>
      <c r="G2031" s="28">
        <v>120.58</v>
      </c>
      <c r="H2031" s="28">
        <v>103.9589</v>
      </c>
      <c r="I2031" s="28">
        <v>94.815160000000006</v>
      </c>
      <c r="J2031" s="29"/>
      <c r="K2031" s="29"/>
      <c r="L2031" s="29"/>
      <c r="M2031" s="29"/>
      <c r="N2031" s="29"/>
      <c r="P2031" s="4">
        <f t="shared" si="128"/>
        <v>3.254312261537932E-3</v>
      </c>
      <c r="Q2031" s="4">
        <f t="shared" si="128"/>
        <v>1.2011530606504512E-3</v>
      </c>
      <c r="R2031" s="4">
        <f t="shared" si="128"/>
        <v>1.4703690133664129E-2</v>
      </c>
      <c r="S2031" s="4">
        <f t="shared" si="128"/>
        <v>1.7233183622886918E-3</v>
      </c>
      <c r="T2031" s="4">
        <f t="shared" si="128"/>
        <v>3.4972165230684488E-3</v>
      </c>
      <c r="U2031" s="35"/>
      <c r="V2031" s="35"/>
      <c r="W2031" s="35"/>
      <c r="X2031" s="35"/>
    </row>
    <row r="2032" spans="4:24" x14ac:dyDescent="0.3">
      <c r="D2032" s="23">
        <v>42530</v>
      </c>
      <c r="E2032" s="5">
        <v>184.565979</v>
      </c>
      <c r="F2032" s="28">
        <v>67.27364</v>
      </c>
      <c r="G2032" s="28">
        <v>121.25</v>
      </c>
      <c r="H2032" s="28">
        <v>103.7894</v>
      </c>
      <c r="I2032" s="28">
        <v>94.623540000000006</v>
      </c>
      <c r="J2032" s="29"/>
      <c r="K2032" s="29"/>
      <c r="L2032" s="29"/>
      <c r="M2032" s="29"/>
      <c r="N2032" s="29"/>
      <c r="P2032" s="4">
        <f t="shared" si="128"/>
        <v>-1.3664090409453247E-3</v>
      </c>
      <c r="Q2032" s="4">
        <f t="shared" si="128"/>
        <v>9.5923069028857537E-4</v>
      </c>
      <c r="R2032" s="4">
        <f t="shared" si="128"/>
        <v>5.5410967563330766E-3</v>
      </c>
      <c r="S2032" s="4">
        <f t="shared" si="128"/>
        <v>-1.6317826678806792E-3</v>
      </c>
      <c r="T2032" s="4">
        <f t="shared" si="128"/>
        <v>-2.0230297753604672E-3</v>
      </c>
      <c r="U2032" s="35"/>
      <c r="V2032" s="35"/>
      <c r="W2032" s="35"/>
      <c r="X2032" s="35"/>
    </row>
    <row r="2033" spans="4:24" x14ac:dyDescent="0.3">
      <c r="D2033" s="23">
        <v>42531</v>
      </c>
      <c r="E2033" s="5">
        <v>182.816757</v>
      </c>
      <c r="F2033" s="28">
        <v>67.338160000000002</v>
      </c>
      <c r="G2033" s="28">
        <v>121.74</v>
      </c>
      <c r="H2033" s="28">
        <v>102.61199999999999</v>
      </c>
      <c r="I2033" s="28">
        <v>93.647840000000002</v>
      </c>
      <c r="J2033" s="29"/>
      <c r="K2033" s="29"/>
      <c r="L2033" s="29"/>
      <c r="M2033" s="29"/>
      <c r="N2033" s="29"/>
      <c r="P2033" s="4">
        <f t="shared" si="128"/>
        <v>-9.5226860006472885E-3</v>
      </c>
      <c r="Q2033" s="4">
        <f t="shared" si="128"/>
        <v>9.5860845692251914E-4</v>
      </c>
      <c r="R2033" s="4">
        <f t="shared" si="128"/>
        <v>4.0330932481857217E-3</v>
      </c>
      <c r="S2033" s="4">
        <f t="shared" si="128"/>
        <v>-1.1408961094921642E-2</v>
      </c>
      <c r="T2033" s="4">
        <f t="shared" si="128"/>
        <v>-1.036491829042854E-2</v>
      </c>
      <c r="U2033" s="35"/>
      <c r="V2033" s="35"/>
      <c r="W2033" s="35"/>
      <c r="X2033" s="35"/>
    </row>
    <row r="2034" spans="4:24" x14ac:dyDescent="0.3">
      <c r="D2034" s="23">
        <v>42534</v>
      </c>
      <c r="E2034" s="5">
        <v>181.406937</v>
      </c>
      <c r="F2034" s="28">
        <v>67.354290000000006</v>
      </c>
      <c r="G2034" s="28">
        <v>122.64</v>
      </c>
      <c r="H2034" s="28">
        <v>101.7548</v>
      </c>
      <c r="I2034" s="28">
        <v>92.872500000000002</v>
      </c>
      <c r="J2034" s="29"/>
      <c r="K2034" s="29"/>
      <c r="L2034" s="29"/>
      <c r="M2034" s="29"/>
      <c r="N2034" s="29"/>
      <c r="P2034" s="4">
        <f t="shared" si="128"/>
        <v>-7.7415449037058241E-3</v>
      </c>
      <c r="Q2034" s="4">
        <f t="shared" si="128"/>
        <v>2.3950860017940727E-4</v>
      </c>
      <c r="R2034" s="4">
        <f t="shared" si="128"/>
        <v>7.3656114977803016E-3</v>
      </c>
      <c r="S2034" s="4">
        <f t="shared" si="128"/>
        <v>-8.3888873046188781E-3</v>
      </c>
      <c r="T2034" s="4">
        <f t="shared" si="128"/>
        <v>-8.3137792466368415E-3</v>
      </c>
      <c r="U2034" s="35"/>
      <c r="V2034" s="35"/>
      <c r="W2034" s="35"/>
      <c r="X2034" s="35"/>
    </row>
    <row r="2035" spans="4:24" x14ac:dyDescent="0.3">
      <c r="D2035" s="23">
        <v>42535</v>
      </c>
      <c r="E2035" s="5">
        <v>181.05017100000001</v>
      </c>
      <c r="F2035" s="28">
        <v>67.346239999999995</v>
      </c>
      <c r="G2035" s="28">
        <v>122.77</v>
      </c>
      <c r="H2035" s="28">
        <v>101.7548</v>
      </c>
      <c r="I2035" s="28">
        <v>92.705410000000001</v>
      </c>
      <c r="J2035" s="29"/>
      <c r="K2035" s="29"/>
      <c r="L2035" s="29"/>
      <c r="M2035" s="29"/>
      <c r="N2035" s="29"/>
      <c r="P2035" s="4">
        <f t="shared" si="128"/>
        <v>-1.9685977035212446E-3</v>
      </c>
      <c r="Q2035" s="4">
        <f t="shared" si="128"/>
        <v>-1.1952439993513436E-4</v>
      </c>
      <c r="R2035" s="4">
        <f t="shared" si="128"/>
        <v>1.0594516291897588E-3</v>
      </c>
      <c r="S2035" s="4">
        <f t="shared" si="128"/>
        <v>0</v>
      </c>
      <c r="T2035" s="4">
        <f t="shared" si="128"/>
        <v>-1.8007536042633986E-3</v>
      </c>
      <c r="U2035" s="35"/>
      <c r="V2035" s="35"/>
      <c r="W2035" s="35"/>
      <c r="X2035" s="35"/>
    </row>
    <row r="2036" spans="4:24" x14ac:dyDescent="0.3">
      <c r="D2036" s="23">
        <v>42536</v>
      </c>
      <c r="E2036" s="5">
        <v>180.79771400000001</v>
      </c>
      <c r="F2036" s="28">
        <v>67.499489999999994</v>
      </c>
      <c r="G2036" s="28">
        <v>123.68</v>
      </c>
      <c r="H2036" s="28">
        <v>101.4628</v>
      </c>
      <c r="I2036" s="28">
        <v>92.609120000000004</v>
      </c>
      <c r="J2036" s="29"/>
      <c r="K2036" s="29"/>
      <c r="L2036" s="29"/>
      <c r="M2036" s="29"/>
      <c r="N2036" s="29"/>
      <c r="P2036" s="4">
        <f t="shared" si="128"/>
        <v>-1.3953766288435207E-3</v>
      </c>
      <c r="Q2036" s="4">
        <f t="shared" si="128"/>
        <v>2.2729687618445829E-3</v>
      </c>
      <c r="R2036" s="4">
        <f t="shared" si="128"/>
        <v>7.3848986463634671E-3</v>
      </c>
      <c r="S2036" s="4">
        <f t="shared" si="128"/>
        <v>-2.8737688168539639E-3</v>
      </c>
      <c r="T2036" s="4">
        <f t="shared" si="128"/>
        <v>-1.039206247515365E-3</v>
      </c>
      <c r="U2036" s="35"/>
      <c r="V2036" s="35"/>
      <c r="W2036" s="35"/>
      <c r="X2036" s="35"/>
    </row>
    <row r="2037" spans="4:24" x14ac:dyDescent="0.3">
      <c r="D2037" s="23">
        <v>42537</v>
      </c>
      <c r="E2037" s="5">
        <v>181.33729600000001</v>
      </c>
      <c r="F2037" s="28">
        <v>67.572069999999997</v>
      </c>
      <c r="G2037" s="28">
        <v>122.38</v>
      </c>
      <c r="H2037" s="28">
        <v>101.7642</v>
      </c>
      <c r="I2037" s="28">
        <v>92.880380000000002</v>
      </c>
      <c r="J2037" s="29"/>
      <c r="K2037" s="29"/>
      <c r="L2037" s="29"/>
      <c r="M2037" s="29"/>
      <c r="N2037" s="29"/>
      <c r="P2037" s="4">
        <f t="shared" ref="P2037:T2052" si="129">LN(E2037/E2036)</f>
        <v>2.9800068174045706E-3</v>
      </c>
      <c r="Q2037" s="4">
        <f t="shared" si="129"/>
        <v>1.0746896976028279E-3</v>
      </c>
      <c r="R2037" s="4">
        <f t="shared" si="129"/>
        <v>-1.0566626804717509E-2</v>
      </c>
      <c r="S2037" s="4">
        <f t="shared" si="129"/>
        <v>2.9661434846410817E-3</v>
      </c>
      <c r="T2037" s="4">
        <f t="shared" si="129"/>
        <v>2.9248037584221338E-3</v>
      </c>
      <c r="U2037" s="35"/>
      <c r="V2037" s="35"/>
      <c r="W2037" s="35"/>
      <c r="X2037" s="35"/>
    </row>
    <row r="2038" spans="4:24" x14ac:dyDescent="0.3">
      <c r="D2038" s="23">
        <v>42538</v>
      </c>
      <c r="E2038" s="5">
        <v>180.66197199999999</v>
      </c>
      <c r="F2038" s="28">
        <v>67.475319999999996</v>
      </c>
      <c r="G2038" s="28">
        <v>123.95</v>
      </c>
      <c r="H2038" s="28">
        <v>100.5714</v>
      </c>
      <c r="I2038" s="28">
        <v>92.574150000000003</v>
      </c>
      <c r="J2038" s="29"/>
      <c r="K2038" s="29"/>
      <c r="L2038" s="29"/>
      <c r="M2038" s="29"/>
      <c r="N2038" s="29"/>
      <c r="P2038" s="4">
        <f t="shared" si="129"/>
        <v>-3.7310836961755058E-3</v>
      </c>
      <c r="Q2038" s="4">
        <f t="shared" si="129"/>
        <v>-1.4328306019441561E-3</v>
      </c>
      <c r="R2038" s="4">
        <f t="shared" si="129"/>
        <v>1.2747300446805157E-2</v>
      </c>
      <c r="S2038" s="4">
        <f t="shared" si="129"/>
        <v>-1.1790449313207134E-2</v>
      </c>
      <c r="T2038" s="4">
        <f t="shared" si="129"/>
        <v>-3.3024836688771574E-3</v>
      </c>
      <c r="U2038" s="35"/>
      <c r="V2038" s="35"/>
      <c r="W2038" s="35"/>
      <c r="X2038" s="35"/>
    </row>
    <row r="2039" spans="4:24" x14ac:dyDescent="0.3">
      <c r="D2039" s="23">
        <v>42541</v>
      </c>
      <c r="E2039" s="5">
        <v>181.82545500000001</v>
      </c>
      <c r="F2039" s="28">
        <v>67.322019999999995</v>
      </c>
      <c r="G2039" s="28">
        <v>123.21</v>
      </c>
      <c r="H2039" s="28">
        <v>101.2042</v>
      </c>
      <c r="I2039" s="28">
        <v>93.204120000000003</v>
      </c>
      <c r="J2039" s="29"/>
      <c r="K2039" s="29"/>
      <c r="L2039" s="29"/>
      <c r="M2039" s="29"/>
      <c r="N2039" s="29"/>
      <c r="P2039" s="4">
        <f t="shared" si="129"/>
        <v>6.4194612495713111E-3</v>
      </c>
      <c r="Q2039" s="4">
        <f t="shared" si="129"/>
        <v>-2.2745265758373615E-3</v>
      </c>
      <c r="R2039" s="4">
        <f t="shared" si="129"/>
        <v>-5.9880418446226691E-3</v>
      </c>
      <c r="S2039" s="4">
        <f t="shared" si="129"/>
        <v>6.2723349566869337E-3</v>
      </c>
      <c r="T2039" s="4">
        <f t="shared" si="129"/>
        <v>6.7819817100798797E-3</v>
      </c>
      <c r="U2039" s="35"/>
      <c r="V2039" s="35"/>
      <c r="W2039" s="35"/>
      <c r="X2039" s="35"/>
    </row>
    <row r="2040" spans="4:24" x14ac:dyDescent="0.3">
      <c r="D2040" s="23">
        <v>42542</v>
      </c>
      <c r="E2040" s="5">
        <v>182.34158300000001</v>
      </c>
      <c r="F2040" s="28">
        <v>67.233339999999998</v>
      </c>
      <c r="G2040" s="28">
        <v>120.84</v>
      </c>
      <c r="H2040" s="28">
        <v>101.5253</v>
      </c>
      <c r="I2040" s="28">
        <v>93.405370000000005</v>
      </c>
      <c r="J2040" s="29"/>
      <c r="K2040" s="29"/>
      <c r="L2040" s="29"/>
      <c r="M2040" s="29"/>
      <c r="N2040" s="29"/>
      <c r="P2040" s="4">
        <f t="shared" si="129"/>
        <v>2.834569259293191E-3</v>
      </c>
      <c r="Q2040" s="4">
        <f t="shared" si="129"/>
        <v>-1.3181193649910215E-3</v>
      </c>
      <c r="R2040" s="4">
        <f t="shared" si="129"/>
        <v>-1.942286011810555E-2</v>
      </c>
      <c r="S2040" s="4">
        <f t="shared" si="129"/>
        <v>3.1677705367367183E-3</v>
      </c>
      <c r="T2040" s="4">
        <f t="shared" si="129"/>
        <v>2.1569115056516036E-3</v>
      </c>
      <c r="U2040" s="35"/>
      <c r="V2040" s="35"/>
      <c r="W2040" s="35"/>
      <c r="X2040" s="35"/>
    </row>
    <row r="2041" spans="4:24" x14ac:dyDescent="0.3">
      <c r="D2041" s="23">
        <v>42543</v>
      </c>
      <c r="E2041" s="5">
        <v>182.04414399999999</v>
      </c>
      <c r="F2041" s="28">
        <v>67.25752</v>
      </c>
      <c r="G2041" s="28">
        <v>120.9</v>
      </c>
      <c r="H2041" s="28">
        <v>101.27979999999999</v>
      </c>
      <c r="I2041" s="28">
        <v>93.195400000000006</v>
      </c>
      <c r="J2041" s="29"/>
      <c r="K2041" s="29"/>
      <c r="L2041" s="29"/>
      <c r="M2041" s="29"/>
      <c r="N2041" s="29"/>
      <c r="P2041" s="4">
        <f t="shared" si="129"/>
        <v>-1.6325505859440845E-3</v>
      </c>
      <c r="Q2041" s="4">
        <f t="shared" si="129"/>
        <v>3.5957834250635487E-4</v>
      </c>
      <c r="R2041" s="4">
        <f t="shared" si="129"/>
        <v>4.9640110227575876E-4</v>
      </c>
      <c r="S2041" s="4">
        <f t="shared" si="129"/>
        <v>-2.4210448348257864E-3</v>
      </c>
      <c r="T2041" s="4">
        <f t="shared" si="129"/>
        <v>-2.2504739784128891E-3</v>
      </c>
      <c r="U2041" s="35"/>
      <c r="V2041" s="35"/>
      <c r="W2041" s="35"/>
      <c r="X2041" s="35"/>
    </row>
    <row r="2042" spans="4:24" x14ac:dyDescent="0.3">
      <c r="D2042" s="23">
        <v>42544</v>
      </c>
      <c r="E2042" s="5">
        <v>184.41482500000001</v>
      </c>
      <c r="F2042" s="28">
        <v>67.136529999999993</v>
      </c>
      <c r="G2042" s="28">
        <v>120.11</v>
      </c>
      <c r="H2042" s="28">
        <v>102.7247</v>
      </c>
      <c r="I2042" s="28">
        <v>94.481650000000002</v>
      </c>
      <c r="J2042" s="29"/>
      <c r="K2042" s="29"/>
      <c r="L2042" s="29"/>
      <c r="M2042" s="29"/>
      <c r="N2042" s="29"/>
      <c r="P2042" s="4">
        <f t="shared" si="129"/>
        <v>1.2938496652460593E-2</v>
      </c>
      <c r="Q2042" s="4">
        <f t="shared" si="129"/>
        <v>-1.8005266257907248E-3</v>
      </c>
      <c r="R2042" s="4">
        <f t="shared" si="129"/>
        <v>-6.5557680543481571E-3</v>
      </c>
      <c r="S2042" s="4">
        <f t="shared" si="129"/>
        <v>1.4165610676238234E-2</v>
      </c>
      <c r="T2042" s="4">
        <f t="shared" si="129"/>
        <v>1.3707271499849447E-2</v>
      </c>
      <c r="U2042" s="35"/>
      <c r="V2042" s="35"/>
      <c r="W2042" s="35"/>
      <c r="X2042" s="35"/>
    </row>
    <row r="2043" spans="4:24" x14ac:dyDescent="0.3">
      <c r="D2043" s="23">
        <v>42545</v>
      </c>
      <c r="E2043" s="5">
        <v>177.79264800000001</v>
      </c>
      <c r="F2043" s="28">
        <v>67.515619999999998</v>
      </c>
      <c r="G2043" s="28">
        <v>126</v>
      </c>
      <c r="H2043" s="28">
        <v>98.493700000000004</v>
      </c>
      <c r="I2043" s="28">
        <v>91.042919999999995</v>
      </c>
      <c r="J2043" s="29"/>
      <c r="K2043" s="29"/>
      <c r="L2043" s="29"/>
      <c r="M2043" s="29"/>
      <c r="N2043" s="29"/>
      <c r="P2043" s="4">
        <f t="shared" si="129"/>
        <v>-3.6569731375837654E-2</v>
      </c>
      <c r="Q2043" s="4">
        <f t="shared" si="129"/>
        <v>5.630671349395956E-3</v>
      </c>
      <c r="R2043" s="4">
        <f t="shared" si="129"/>
        <v>4.7873917385078998E-2</v>
      </c>
      <c r="S2043" s="4">
        <f t="shared" si="129"/>
        <v>-4.2060007604924399E-2</v>
      </c>
      <c r="T2043" s="4">
        <f t="shared" si="129"/>
        <v>-3.7074592072785413E-2</v>
      </c>
      <c r="U2043" s="35"/>
      <c r="V2043" s="35"/>
      <c r="W2043" s="35"/>
      <c r="X2043" s="35"/>
    </row>
    <row r="2044" spans="4:24" x14ac:dyDescent="0.3">
      <c r="D2044" s="23">
        <v>42548</v>
      </c>
      <c r="E2044" s="5">
        <v>174.60844399999999</v>
      </c>
      <c r="F2044" s="28">
        <v>67.854439999999997</v>
      </c>
      <c r="G2044" s="28">
        <v>126.68</v>
      </c>
      <c r="H2044" s="28">
        <v>96.538759999999996</v>
      </c>
      <c r="I2044" s="28">
        <v>89.231669999999994</v>
      </c>
      <c r="J2044" s="29"/>
      <c r="K2044" s="29"/>
      <c r="L2044" s="29"/>
      <c r="M2044" s="29"/>
      <c r="N2044" s="29"/>
      <c r="P2044" s="4">
        <f t="shared" si="129"/>
        <v>-1.8071968187288262E-2</v>
      </c>
      <c r="Q2044" s="4">
        <f t="shared" si="129"/>
        <v>5.0058440917547199E-3</v>
      </c>
      <c r="R2044" s="4">
        <f t="shared" si="129"/>
        <v>5.3823147189611632E-3</v>
      </c>
      <c r="S2044" s="4">
        <f t="shared" si="129"/>
        <v>-2.00480010086567E-2</v>
      </c>
      <c r="T2044" s="4">
        <f t="shared" si="129"/>
        <v>-2.009502226186792E-2</v>
      </c>
      <c r="U2044" s="35"/>
      <c r="V2044" s="35"/>
      <c r="W2044" s="35"/>
      <c r="X2044" s="35"/>
    </row>
    <row r="2045" spans="4:24" x14ac:dyDescent="0.3">
      <c r="D2045" s="23">
        <v>42549</v>
      </c>
      <c r="E2045" s="5">
        <v>177.757645</v>
      </c>
      <c r="F2045" s="28">
        <v>67.935090000000002</v>
      </c>
      <c r="G2045" s="28">
        <v>125.32</v>
      </c>
      <c r="H2045" s="28">
        <v>98.654269999999997</v>
      </c>
      <c r="I2045" s="28">
        <v>90.867909999999995</v>
      </c>
      <c r="J2045" s="29"/>
      <c r="K2045" s="29"/>
      <c r="L2045" s="29"/>
      <c r="M2045" s="29"/>
      <c r="N2045" s="29"/>
      <c r="P2045" s="4">
        <f t="shared" si="129"/>
        <v>1.7875073397424689E-2</v>
      </c>
      <c r="Q2045" s="4">
        <f t="shared" si="129"/>
        <v>1.1878678640879475E-3</v>
      </c>
      <c r="R2045" s="4">
        <f t="shared" si="129"/>
        <v>-1.0793755586448229E-2</v>
      </c>
      <c r="S2045" s="4">
        <f t="shared" si="129"/>
        <v>2.1676930137420499E-2</v>
      </c>
      <c r="T2045" s="4">
        <f t="shared" si="129"/>
        <v>1.8170892137294069E-2</v>
      </c>
      <c r="U2045" s="35"/>
      <c r="V2045" s="35"/>
      <c r="W2045" s="35"/>
      <c r="X2045" s="35"/>
    </row>
    <row r="2046" spans="4:24" x14ac:dyDescent="0.3">
      <c r="D2046" s="23">
        <v>42550</v>
      </c>
      <c r="E2046" s="5">
        <v>180.78447</v>
      </c>
      <c r="F2046" s="28">
        <v>67.910870000000003</v>
      </c>
      <c r="G2046" s="28">
        <v>125.84</v>
      </c>
      <c r="H2046" s="28">
        <v>100.4014</v>
      </c>
      <c r="I2046" s="28">
        <v>92.495379999999997</v>
      </c>
      <c r="J2046" s="29"/>
      <c r="K2046" s="29"/>
      <c r="L2046" s="29"/>
      <c r="M2046" s="29"/>
      <c r="N2046" s="29"/>
      <c r="P2046" s="4">
        <f t="shared" si="129"/>
        <v>1.6884470647361205E-2</v>
      </c>
      <c r="Q2046" s="4">
        <f t="shared" si="129"/>
        <v>-3.5658035405141064E-4</v>
      </c>
      <c r="R2046" s="4">
        <f t="shared" si="129"/>
        <v>4.1407926660313871E-3</v>
      </c>
      <c r="S2046" s="4">
        <f t="shared" si="129"/>
        <v>1.7554635513061391E-2</v>
      </c>
      <c r="T2046" s="4">
        <f t="shared" si="129"/>
        <v>1.7751783772291828E-2</v>
      </c>
      <c r="U2046" s="35"/>
      <c r="V2046" s="35"/>
      <c r="W2046" s="35"/>
      <c r="X2046" s="35"/>
    </row>
    <row r="2047" spans="4:24" x14ac:dyDescent="0.3">
      <c r="D2047" s="23">
        <v>42551</v>
      </c>
      <c r="E2047" s="5">
        <v>183.251373</v>
      </c>
      <c r="F2047" s="28">
        <v>67.999610000000004</v>
      </c>
      <c r="G2047" s="28">
        <v>126.47</v>
      </c>
      <c r="H2047" s="28">
        <v>101.56310000000001</v>
      </c>
      <c r="I2047" s="28">
        <v>93.764129999999994</v>
      </c>
      <c r="J2047" s="29"/>
      <c r="K2047" s="29"/>
      <c r="L2047" s="29"/>
      <c r="M2047" s="29"/>
      <c r="N2047" s="29"/>
      <c r="P2047" s="4">
        <f t="shared" si="129"/>
        <v>1.3553284984178878E-2</v>
      </c>
      <c r="Q2047" s="4">
        <f t="shared" si="129"/>
        <v>1.3058597484237829E-3</v>
      </c>
      <c r="R2047" s="4">
        <f t="shared" si="129"/>
        <v>4.9938671418626821E-3</v>
      </c>
      <c r="S2047" s="4">
        <f t="shared" si="129"/>
        <v>1.1504128815397502E-2</v>
      </c>
      <c r="T2047" s="4">
        <f t="shared" si="129"/>
        <v>1.3623676168308738E-2</v>
      </c>
      <c r="U2047" s="35"/>
      <c r="V2047" s="35"/>
      <c r="W2047" s="35"/>
      <c r="X2047" s="35"/>
    </row>
    <row r="2048" spans="4:24" x14ac:dyDescent="0.3">
      <c r="D2048" s="23">
        <v>42552</v>
      </c>
      <c r="E2048" s="5">
        <v>183.63626099999999</v>
      </c>
      <c r="F2048" s="28">
        <v>68.18871</v>
      </c>
      <c r="G2048" s="28">
        <v>128.41</v>
      </c>
      <c r="H2048" s="28">
        <v>102.0731</v>
      </c>
      <c r="I2048" s="28">
        <v>93.947900000000004</v>
      </c>
      <c r="J2048" s="29"/>
      <c r="K2048" s="29"/>
      <c r="L2048" s="29"/>
      <c r="M2048" s="29"/>
      <c r="N2048" s="29"/>
      <c r="P2048" s="4">
        <f t="shared" si="129"/>
        <v>2.0981254505509691E-3</v>
      </c>
      <c r="Q2048" s="4">
        <f t="shared" si="129"/>
        <v>2.7770387582044076E-3</v>
      </c>
      <c r="R2048" s="4">
        <f t="shared" si="129"/>
        <v>1.5223143951297641E-2</v>
      </c>
      <c r="S2048" s="4">
        <f t="shared" si="129"/>
        <v>5.0089430690982142E-3</v>
      </c>
      <c r="T2048" s="4">
        <f t="shared" si="129"/>
        <v>1.9579998011944643E-3</v>
      </c>
      <c r="U2048" s="35"/>
      <c r="V2048" s="35"/>
      <c r="W2048" s="35"/>
      <c r="X2048" s="35"/>
    </row>
    <row r="2049" spans="4:24" x14ac:dyDescent="0.3">
      <c r="D2049" s="23">
        <v>42556</v>
      </c>
      <c r="E2049" s="5">
        <v>182.31532300000001</v>
      </c>
      <c r="F2049" s="28">
        <v>68.423100000000005</v>
      </c>
      <c r="G2049" s="28">
        <v>129.47</v>
      </c>
      <c r="H2049" s="28">
        <v>101.44970000000001</v>
      </c>
      <c r="I2049" s="28">
        <v>93.247889999999998</v>
      </c>
      <c r="J2049" s="29"/>
      <c r="K2049" s="29"/>
      <c r="L2049" s="29"/>
      <c r="M2049" s="29"/>
      <c r="N2049" s="29"/>
      <c r="P2049" s="4">
        <f t="shared" si="129"/>
        <v>-7.2192267759918494E-3</v>
      </c>
      <c r="Q2049" s="4">
        <f t="shared" si="129"/>
        <v>3.4314782886778511E-3</v>
      </c>
      <c r="R2049" s="4">
        <f t="shared" si="129"/>
        <v>8.2209242273732653E-3</v>
      </c>
      <c r="S2049" s="4">
        <f t="shared" si="129"/>
        <v>-6.1261141222955515E-3</v>
      </c>
      <c r="T2049" s="4">
        <f t="shared" si="129"/>
        <v>-7.4789423725183319E-3</v>
      </c>
      <c r="U2049" s="35"/>
      <c r="V2049" s="35"/>
      <c r="W2049" s="35"/>
      <c r="X2049" s="35"/>
    </row>
    <row r="2050" spans="4:24" x14ac:dyDescent="0.3">
      <c r="D2050" s="23">
        <v>42557</v>
      </c>
      <c r="E2050" s="5">
        <v>183.40885900000001</v>
      </c>
      <c r="F2050" s="28">
        <v>68.544359999999998</v>
      </c>
      <c r="G2050" s="28">
        <v>130.22999999999999</v>
      </c>
      <c r="H2050" s="28">
        <v>102.2809</v>
      </c>
      <c r="I2050" s="28">
        <v>93.816609999999997</v>
      </c>
      <c r="J2050" s="29"/>
      <c r="K2050" s="29"/>
      <c r="L2050" s="29"/>
      <c r="M2050" s="29"/>
      <c r="N2050" s="29"/>
      <c r="P2050" s="4">
        <f t="shared" si="129"/>
        <v>5.9801309989098673E-3</v>
      </c>
      <c r="Q2050" s="4">
        <f t="shared" si="129"/>
        <v>1.7706399999071584E-3</v>
      </c>
      <c r="R2050" s="4">
        <f t="shared" si="129"/>
        <v>5.8529239090560105E-3</v>
      </c>
      <c r="S2050" s="4">
        <f t="shared" si="129"/>
        <v>8.1598406128216994E-3</v>
      </c>
      <c r="T2050" s="4">
        <f t="shared" si="129"/>
        <v>6.0804883047425066E-3</v>
      </c>
      <c r="U2050" s="35"/>
      <c r="V2050" s="35"/>
      <c r="W2050" s="35"/>
      <c r="X2050" s="35"/>
    </row>
    <row r="2051" spans="4:24" x14ac:dyDescent="0.3">
      <c r="D2051" s="23">
        <v>42558</v>
      </c>
      <c r="E2051" s="5">
        <v>183.29508999999999</v>
      </c>
      <c r="F2051" s="28">
        <v>68.431229999999999</v>
      </c>
      <c r="G2051" s="28">
        <v>129.74</v>
      </c>
      <c r="H2051" s="28">
        <v>102.5831</v>
      </c>
      <c r="I2051" s="28">
        <v>93.772869999999998</v>
      </c>
      <c r="J2051" s="29"/>
      <c r="K2051" s="29"/>
      <c r="L2051" s="29"/>
      <c r="M2051" s="29"/>
      <c r="N2051" s="29"/>
      <c r="P2051" s="4">
        <f t="shared" si="129"/>
        <v>-6.2049511034981619E-4</v>
      </c>
      <c r="Q2051" s="4">
        <f t="shared" si="129"/>
        <v>-1.6518275369101067E-3</v>
      </c>
      <c r="R2051" s="4">
        <f t="shared" si="129"/>
        <v>-3.7696701947024019E-3</v>
      </c>
      <c r="S2051" s="4">
        <f t="shared" si="129"/>
        <v>2.9502520618106677E-3</v>
      </c>
      <c r="T2051" s="4">
        <f t="shared" si="129"/>
        <v>-4.6633745978375235E-4</v>
      </c>
      <c r="U2051" s="35"/>
      <c r="V2051" s="35"/>
      <c r="W2051" s="35"/>
      <c r="X2051" s="35"/>
    </row>
    <row r="2052" spans="4:24" x14ac:dyDescent="0.3">
      <c r="D2052" s="23">
        <v>42559</v>
      </c>
      <c r="E2052" s="5">
        <v>186.02446</v>
      </c>
      <c r="F2052" s="28">
        <v>68.609049999999996</v>
      </c>
      <c r="G2052" s="28">
        <v>130.52000000000001</v>
      </c>
      <c r="H2052" s="28">
        <v>104.16970000000001</v>
      </c>
      <c r="I2052" s="28">
        <v>95.234120000000004</v>
      </c>
      <c r="J2052" s="29"/>
      <c r="K2052" s="29"/>
      <c r="L2052" s="29"/>
      <c r="M2052" s="29"/>
      <c r="N2052" s="29"/>
      <c r="P2052" s="4">
        <f t="shared" si="129"/>
        <v>1.4780802645070581E-2</v>
      </c>
      <c r="Q2052" s="4">
        <f t="shared" si="129"/>
        <v>2.5951508534369592E-3</v>
      </c>
      <c r="R2052" s="4">
        <f t="shared" si="129"/>
        <v>5.9940239402106466E-3</v>
      </c>
      <c r="S2052" s="4">
        <f t="shared" si="129"/>
        <v>1.5348098264018615E-2</v>
      </c>
      <c r="T2052" s="4">
        <f t="shared" si="129"/>
        <v>1.5462699180484474E-2</v>
      </c>
      <c r="U2052" s="35"/>
      <c r="V2052" s="35"/>
      <c r="W2052" s="35"/>
      <c r="X2052" s="35"/>
    </row>
    <row r="2053" spans="4:24" x14ac:dyDescent="0.3">
      <c r="D2053" s="23">
        <v>42562</v>
      </c>
      <c r="E2053" s="5">
        <v>186.680588</v>
      </c>
      <c r="F2053" s="28">
        <v>68.40692</v>
      </c>
      <c r="G2053" s="28">
        <v>129.29</v>
      </c>
      <c r="H2053" s="28">
        <v>104.7647</v>
      </c>
      <c r="I2053" s="28">
        <v>95.627880000000005</v>
      </c>
      <c r="J2053" s="29"/>
      <c r="K2053" s="29"/>
      <c r="L2053" s="29"/>
      <c r="M2053" s="29"/>
      <c r="N2053" s="29"/>
      <c r="P2053" s="4">
        <f t="shared" ref="P2053:T2068" si="130">LN(E2053/E2052)</f>
        <v>3.5209004081990271E-3</v>
      </c>
      <c r="Q2053" s="4">
        <f t="shared" si="130"/>
        <v>-2.9504611270082821E-3</v>
      </c>
      <c r="R2053" s="4">
        <f t="shared" si="130"/>
        <v>-9.4685284586581119E-3</v>
      </c>
      <c r="S2053" s="4">
        <f t="shared" si="130"/>
        <v>5.6955830008451344E-3</v>
      </c>
      <c r="T2053" s="4">
        <f t="shared" si="130"/>
        <v>4.1261283927101671E-3</v>
      </c>
      <c r="U2053" s="35"/>
      <c r="V2053" s="35"/>
      <c r="W2053" s="35"/>
      <c r="X2053" s="35"/>
    </row>
    <row r="2054" spans="4:24" x14ac:dyDescent="0.3">
      <c r="D2054" s="23">
        <v>42563</v>
      </c>
      <c r="E2054" s="5">
        <v>188.036484</v>
      </c>
      <c r="F2054" s="28">
        <v>68.132170000000002</v>
      </c>
      <c r="G2054" s="28">
        <v>127.15</v>
      </c>
      <c r="H2054" s="28">
        <v>105.2936</v>
      </c>
      <c r="I2054" s="28">
        <v>96.424099999999996</v>
      </c>
      <c r="J2054" s="29"/>
      <c r="K2054" s="29"/>
      <c r="L2054" s="29"/>
      <c r="M2054" s="29"/>
      <c r="N2054" s="29"/>
      <c r="P2054" s="4">
        <f t="shared" si="130"/>
        <v>7.2369369801167658E-3</v>
      </c>
      <c r="Q2054" s="4">
        <f t="shared" si="130"/>
        <v>-4.0244939501712599E-3</v>
      </c>
      <c r="R2054" s="4">
        <f t="shared" si="130"/>
        <v>-1.6690451398333129E-2</v>
      </c>
      <c r="S2054" s="4">
        <f t="shared" si="130"/>
        <v>5.035755480170029E-3</v>
      </c>
      <c r="T2054" s="4">
        <f t="shared" si="130"/>
        <v>8.2917610314755981E-3</v>
      </c>
      <c r="U2054" s="35"/>
      <c r="V2054" s="35"/>
      <c r="W2054" s="35"/>
      <c r="X2054" s="35"/>
    </row>
    <row r="2055" spans="4:24" x14ac:dyDescent="0.3">
      <c r="D2055" s="23">
        <v>42564</v>
      </c>
      <c r="E2055" s="5">
        <v>188.01019299999999</v>
      </c>
      <c r="F2055" s="28">
        <v>68.253399999999999</v>
      </c>
      <c r="G2055" s="28">
        <v>128.32</v>
      </c>
      <c r="H2055" s="28">
        <v>105.0386</v>
      </c>
      <c r="I2055" s="28">
        <v>96.371610000000004</v>
      </c>
      <c r="J2055" s="29"/>
      <c r="K2055" s="29"/>
      <c r="L2055" s="29"/>
      <c r="M2055" s="29"/>
      <c r="N2055" s="29"/>
      <c r="P2055" s="4">
        <f t="shared" si="130"/>
        <v>-1.3982838647900274E-4</v>
      </c>
      <c r="Q2055" s="4">
        <f t="shared" si="130"/>
        <v>1.7777545223890397E-3</v>
      </c>
      <c r="R2055" s="4">
        <f t="shared" si="130"/>
        <v>9.159652250075697E-3</v>
      </c>
      <c r="S2055" s="4">
        <f t="shared" si="130"/>
        <v>-2.4247369155664129E-3</v>
      </c>
      <c r="T2055" s="4">
        <f t="shared" si="130"/>
        <v>-5.4451420414819635E-4</v>
      </c>
      <c r="U2055" s="35"/>
      <c r="V2055" s="35"/>
      <c r="W2055" s="35"/>
      <c r="X2055" s="35"/>
    </row>
    <row r="2056" spans="4:24" x14ac:dyDescent="0.3">
      <c r="D2056" s="23">
        <v>42565</v>
      </c>
      <c r="E2056" s="5">
        <v>189.05995200000001</v>
      </c>
      <c r="F2056" s="28">
        <v>68.148319999999998</v>
      </c>
      <c r="G2056" s="28">
        <v>127.33</v>
      </c>
      <c r="H2056" s="28">
        <v>105.7563</v>
      </c>
      <c r="I2056" s="28">
        <v>96.835369999999998</v>
      </c>
      <c r="J2056" s="29"/>
      <c r="K2056" s="29"/>
      <c r="L2056" s="29"/>
      <c r="M2056" s="29"/>
      <c r="N2056" s="29"/>
      <c r="P2056" s="4">
        <f t="shared" si="130"/>
        <v>5.5679916642430065E-3</v>
      </c>
      <c r="Q2056" s="4">
        <f t="shared" si="130"/>
        <v>-1.5407433394147988E-3</v>
      </c>
      <c r="R2056" s="4">
        <f t="shared" si="130"/>
        <v>-7.7450025328601483E-3</v>
      </c>
      <c r="S2056" s="4">
        <f t="shared" si="130"/>
        <v>6.8094889701679337E-3</v>
      </c>
      <c r="T2056" s="4">
        <f t="shared" si="130"/>
        <v>4.8006639373503902E-3</v>
      </c>
      <c r="U2056" s="35"/>
      <c r="V2056" s="35"/>
      <c r="W2056" s="35"/>
      <c r="X2056" s="35"/>
    </row>
    <row r="2057" spans="4:24" x14ac:dyDescent="0.3">
      <c r="D2057" s="23">
        <v>42566</v>
      </c>
      <c r="E2057" s="5">
        <v>188.806274</v>
      </c>
      <c r="F2057" s="28">
        <v>67.930139999999994</v>
      </c>
      <c r="G2057" s="28">
        <v>126.84</v>
      </c>
      <c r="H2057" s="28">
        <v>105.58629999999999</v>
      </c>
      <c r="I2057" s="28">
        <v>96.730350000000001</v>
      </c>
      <c r="J2057" s="29"/>
      <c r="K2057" s="29"/>
      <c r="L2057" s="29"/>
      <c r="M2057" s="29"/>
      <c r="N2057" s="29"/>
      <c r="P2057" s="4">
        <f t="shared" si="130"/>
        <v>-1.3426870180827937E-3</v>
      </c>
      <c r="Q2057" s="4">
        <f t="shared" si="130"/>
        <v>-3.2066821884758081E-3</v>
      </c>
      <c r="R2057" s="4">
        <f t="shared" si="130"/>
        <v>-3.8556919151976018E-3</v>
      </c>
      <c r="S2057" s="4">
        <f t="shared" si="130"/>
        <v>-1.6087626126014588E-3</v>
      </c>
      <c r="T2057" s="4">
        <f t="shared" si="130"/>
        <v>-1.0851095979676469E-3</v>
      </c>
      <c r="U2057" s="35"/>
      <c r="V2057" s="35"/>
      <c r="W2057" s="35"/>
      <c r="X2057" s="35"/>
    </row>
    <row r="2058" spans="4:24" x14ac:dyDescent="0.3">
      <c r="D2058" s="23">
        <v>42569</v>
      </c>
      <c r="E2058" s="5">
        <v>189.31369000000001</v>
      </c>
      <c r="F2058" s="28">
        <v>67.954359999999994</v>
      </c>
      <c r="G2058" s="28">
        <v>127.04</v>
      </c>
      <c r="H2058" s="28">
        <v>106.2852</v>
      </c>
      <c r="I2058" s="28">
        <v>97.001630000000006</v>
      </c>
      <c r="J2058" s="29"/>
      <c r="K2058" s="29"/>
      <c r="L2058" s="29"/>
      <c r="M2058" s="29"/>
      <c r="N2058" s="29"/>
      <c r="P2058" s="4">
        <f t="shared" si="130"/>
        <v>2.6838905791696076E-3</v>
      </c>
      <c r="Q2058" s="4">
        <f t="shared" si="130"/>
        <v>3.5647921957965436E-4</v>
      </c>
      <c r="R2058" s="4">
        <f t="shared" si="130"/>
        <v>1.5755478286791191E-3</v>
      </c>
      <c r="S2058" s="4">
        <f t="shared" si="130"/>
        <v>6.5974190490116985E-3</v>
      </c>
      <c r="T2058" s="4">
        <f t="shared" si="130"/>
        <v>2.8005719789646628E-3</v>
      </c>
      <c r="U2058" s="35"/>
      <c r="V2058" s="35"/>
      <c r="W2058" s="35"/>
      <c r="X2058" s="35"/>
    </row>
    <row r="2059" spans="4:24" x14ac:dyDescent="0.3">
      <c r="D2059" s="23">
        <v>42570</v>
      </c>
      <c r="E2059" s="5">
        <v>189.121216</v>
      </c>
      <c r="F2059" s="28">
        <v>68.059389999999993</v>
      </c>
      <c r="G2059" s="28">
        <v>127.21</v>
      </c>
      <c r="H2059" s="28">
        <v>105.898</v>
      </c>
      <c r="I2059" s="28">
        <v>96.809079999999994</v>
      </c>
      <c r="J2059" s="29"/>
      <c r="K2059" s="29"/>
      <c r="L2059" s="29"/>
      <c r="M2059" s="29"/>
      <c r="N2059" s="29"/>
      <c r="P2059" s="4">
        <f t="shared" si="130"/>
        <v>-1.0172106935418426E-3</v>
      </c>
      <c r="Q2059" s="4">
        <f t="shared" si="130"/>
        <v>1.5444029868493098E-3</v>
      </c>
      <c r="R2059" s="4">
        <f t="shared" si="130"/>
        <v>1.3372666692938969E-3</v>
      </c>
      <c r="S2059" s="4">
        <f t="shared" si="130"/>
        <v>-3.6496803686370078E-3</v>
      </c>
      <c r="T2059" s="4">
        <f t="shared" si="130"/>
        <v>-1.9869909495825928E-3</v>
      </c>
      <c r="U2059" s="35"/>
      <c r="V2059" s="35"/>
      <c r="W2059" s="35"/>
      <c r="X2059" s="35"/>
    </row>
    <row r="2060" spans="4:24" x14ac:dyDescent="0.3">
      <c r="D2060" s="23">
        <v>42571</v>
      </c>
      <c r="E2060" s="5">
        <v>189.90853899999999</v>
      </c>
      <c r="F2060" s="28">
        <v>67.986699999999999</v>
      </c>
      <c r="G2060" s="28">
        <v>125.39</v>
      </c>
      <c r="H2060" s="28">
        <v>107.13509999999999</v>
      </c>
      <c r="I2060" s="28">
        <v>97.325339999999997</v>
      </c>
      <c r="J2060" s="29"/>
      <c r="K2060" s="29"/>
      <c r="L2060" s="29"/>
      <c r="M2060" s="29"/>
      <c r="N2060" s="29"/>
      <c r="P2060" s="4">
        <f t="shared" si="130"/>
        <v>4.1544186016725954E-3</v>
      </c>
      <c r="Q2060" s="4">
        <f t="shared" si="130"/>
        <v>-1.0686085416669901E-3</v>
      </c>
      <c r="R2060" s="4">
        <f t="shared" si="130"/>
        <v>-1.4410383965673049E-2</v>
      </c>
      <c r="S2060" s="4">
        <f t="shared" si="130"/>
        <v>1.1614288166278788E-2</v>
      </c>
      <c r="T2060" s="4">
        <f t="shared" si="130"/>
        <v>5.3185954038751258E-3</v>
      </c>
      <c r="U2060" s="35"/>
      <c r="V2060" s="35"/>
      <c r="W2060" s="35"/>
      <c r="X2060" s="35"/>
    </row>
    <row r="2061" spans="4:24" x14ac:dyDescent="0.3">
      <c r="D2061" s="23">
        <v>42572</v>
      </c>
      <c r="E2061" s="5">
        <v>189.19122300000001</v>
      </c>
      <c r="F2061" s="28">
        <v>68.06747</v>
      </c>
      <c r="G2061" s="28">
        <v>127.3</v>
      </c>
      <c r="H2061" s="28">
        <v>106.8896</v>
      </c>
      <c r="I2061" s="28">
        <v>96.940380000000005</v>
      </c>
      <c r="J2061" s="29"/>
      <c r="K2061" s="29"/>
      <c r="L2061" s="29"/>
      <c r="M2061" s="29"/>
      <c r="N2061" s="29"/>
      <c r="P2061" s="4">
        <f t="shared" si="130"/>
        <v>-3.7843171004681101E-3</v>
      </c>
      <c r="Q2061" s="4">
        <f t="shared" si="130"/>
        <v>1.1873213366216768E-3</v>
      </c>
      <c r="R2061" s="4">
        <f t="shared" si="130"/>
        <v>1.5117625360914429E-2</v>
      </c>
      <c r="S2061" s="4">
        <f t="shared" si="130"/>
        <v>-2.2941287400261427E-3</v>
      </c>
      <c r="T2061" s="4">
        <f t="shared" si="130"/>
        <v>-3.9632365801670951E-3</v>
      </c>
      <c r="U2061" s="35"/>
      <c r="V2061" s="35"/>
      <c r="W2061" s="35"/>
      <c r="X2061" s="35"/>
    </row>
    <row r="2062" spans="4:24" x14ac:dyDescent="0.3">
      <c r="D2062" s="23">
        <v>42573</v>
      </c>
      <c r="E2062" s="5">
        <v>190.03976399999999</v>
      </c>
      <c r="F2062" s="28">
        <v>68.075580000000002</v>
      </c>
      <c r="G2062" s="28">
        <v>126.35</v>
      </c>
      <c r="H2062" s="28">
        <v>107.3335</v>
      </c>
      <c r="I2062" s="28">
        <v>97.404120000000006</v>
      </c>
      <c r="J2062" s="29"/>
      <c r="K2062" s="29"/>
      <c r="L2062" s="29"/>
      <c r="M2062" s="29"/>
      <c r="N2062" s="29"/>
      <c r="P2062" s="4">
        <f t="shared" si="130"/>
        <v>4.4750689958262847E-3</v>
      </c>
      <c r="Q2062" s="4">
        <f t="shared" si="130"/>
        <v>1.1913939065706652E-4</v>
      </c>
      <c r="R2062" s="4">
        <f t="shared" si="130"/>
        <v>-7.4906717291576257E-3</v>
      </c>
      <c r="S2062" s="4">
        <f t="shared" si="130"/>
        <v>4.1442835561140302E-3</v>
      </c>
      <c r="T2062" s="4">
        <f t="shared" si="130"/>
        <v>4.7723591885077913E-3</v>
      </c>
      <c r="U2062" s="35"/>
      <c r="V2062" s="35"/>
      <c r="W2062" s="35"/>
      <c r="X2062" s="35"/>
    </row>
    <row r="2063" spans="4:24" x14ac:dyDescent="0.3">
      <c r="D2063" s="23">
        <v>42576</v>
      </c>
      <c r="E2063" s="5">
        <v>189.52356</v>
      </c>
      <c r="F2063" s="28">
        <v>68.035169999999994</v>
      </c>
      <c r="G2063" s="28">
        <v>125.47</v>
      </c>
      <c r="H2063" s="28">
        <v>107.3429</v>
      </c>
      <c r="I2063" s="28">
        <v>97.150350000000003</v>
      </c>
      <c r="J2063" s="29"/>
      <c r="K2063" s="29"/>
      <c r="L2063" s="29"/>
      <c r="M2063" s="29"/>
      <c r="N2063" s="29"/>
      <c r="P2063" s="4">
        <f t="shared" si="130"/>
        <v>-2.7199905028479836E-3</v>
      </c>
      <c r="Q2063" s="4">
        <f t="shared" si="130"/>
        <v>-5.937811846207096E-4</v>
      </c>
      <c r="R2063" s="4">
        <f t="shared" si="130"/>
        <v>-6.9891476625948456E-3</v>
      </c>
      <c r="S2063" s="4">
        <f t="shared" si="130"/>
        <v>8.7573669075952801E-5</v>
      </c>
      <c r="T2063" s="4">
        <f t="shared" si="130"/>
        <v>-2.6087310553062331E-3</v>
      </c>
      <c r="U2063" s="35"/>
      <c r="V2063" s="35"/>
      <c r="W2063" s="35"/>
      <c r="X2063" s="35"/>
    </row>
    <row r="2064" spans="4:24" x14ac:dyDescent="0.3">
      <c r="D2064" s="23">
        <v>42577</v>
      </c>
      <c r="E2064" s="5">
        <v>189.611099</v>
      </c>
      <c r="F2064" s="28">
        <v>68.027100000000004</v>
      </c>
      <c r="G2064" s="28">
        <v>126</v>
      </c>
      <c r="H2064" s="28">
        <v>107.4657</v>
      </c>
      <c r="I2064" s="28">
        <v>97.255340000000004</v>
      </c>
      <c r="J2064" s="29"/>
      <c r="K2064" s="29"/>
      <c r="L2064" s="29"/>
      <c r="M2064" s="29"/>
      <c r="N2064" s="29"/>
      <c r="P2064" s="4">
        <f t="shared" si="130"/>
        <v>4.6178316583592763E-4</v>
      </c>
      <c r="Q2064" s="4">
        <f t="shared" si="130"/>
        <v>-1.18622157479106E-4</v>
      </c>
      <c r="R2064" s="4">
        <f t="shared" si="130"/>
        <v>4.2152207798696918E-3</v>
      </c>
      <c r="S2064" s="4">
        <f t="shared" si="130"/>
        <v>1.1433435474871234E-3</v>
      </c>
      <c r="T2064" s="4">
        <f t="shared" si="130"/>
        <v>1.0801125235291816E-3</v>
      </c>
      <c r="U2064" s="35"/>
      <c r="V2064" s="35"/>
      <c r="W2064" s="35"/>
      <c r="X2064" s="35"/>
    </row>
    <row r="2065" spans="4:24" x14ac:dyDescent="0.3">
      <c r="D2065" s="23">
        <v>42578</v>
      </c>
      <c r="E2065" s="5">
        <v>189.40988200000001</v>
      </c>
      <c r="F2065" s="28">
        <v>68.229119999999995</v>
      </c>
      <c r="G2065" s="28">
        <v>128.03</v>
      </c>
      <c r="H2065" s="28">
        <v>108.2118</v>
      </c>
      <c r="I2065" s="28">
        <v>97.14161</v>
      </c>
      <c r="J2065" s="29"/>
      <c r="K2065" s="29"/>
      <c r="L2065" s="29"/>
      <c r="M2065" s="29"/>
      <c r="N2065" s="29"/>
      <c r="P2065" s="4">
        <f t="shared" si="130"/>
        <v>-1.0617724558296309E-3</v>
      </c>
      <c r="Q2065" s="4">
        <f t="shared" si="130"/>
        <v>2.9652979956436517E-3</v>
      </c>
      <c r="R2065" s="4">
        <f t="shared" si="130"/>
        <v>1.5982704506609709E-2</v>
      </c>
      <c r="S2065" s="4">
        <f t="shared" si="130"/>
        <v>6.9186908806728809E-3</v>
      </c>
      <c r="T2065" s="4">
        <f t="shared" si="130"/>
        <v>-1.17008021962825E-3</v>
      </c>
      <c r="U2065" s="35"/>
      <c r="V2065" s="35"/>
      <c r="W2065" s="35"/>
      <c r="X2065" s="35"/>
    </row>
    <row r="2066" spans="4:24" x14ac:dyDescent="0.3">
      <c r="D2066" s="23">
        <v>42579</v>
      </c>
      <c r="E2066" s="5">
        <v>189.62858600000001</v>
      </c>
      <c r="F2066" s="28">
        <v>68.18871</v>
      </c>
      <c r="G2066" s="28">
        <v>127.66</v>
      </c>
      <c r="H2066" s="28">
        <v>108.5896</v>
      </c>
      <c r="I2066" s="28">
        <v>97.264120000000005</v>
      </c>
      <c r="J2066" s="29"/>
      <c r="K2066" s="29"/>
      <c r="L2066" s="29"/>
      <c r="M2066" s="29"/>
      <c r="N2066" s="29"/>
      <c r="P2066" s="4">
        <f t="shared" si="130"/>
        <v>1.1539938171695964E-3</v>
      </c>
      <c r="Q2066" s="4">
        <f t="shared" si="130"/>
        <v>-5.9244456801511131E-4</v>
      </c>
      <c r="R2066" s="4">
        <f t="shared" si="130"/>
        <v>-2.894131630176433E-3</v>
      </c>
      <c r="S2066" s="4">
        <f t="shared" si="130"/>
        <v>3.4852208742247289E-3</v>
      </c>
      <c r="T2066" s="4">
        <f t="shared" si="130"/>
        <v>1.2603539640234098E-3</v>
      </c>
      <c r="U2066" s="35"/>
      <c r="V2066" s="35"/>
      <c r="W2066" s="35"/>
      <c r="X2066" s="35"/>
    </row>
    <row r="2067" spans="4:24" x14ac:dyDescent="0.3">
      <c r="D2067" s="23">
        <v>42580</v>
      </c>
      <c r="E2067" s="5">
        <v>189.93478400000001</v>
      </c>
      <c r="F2067" s="28">
        <v>68.40692</v>
      </c>
      <c r="G2067" s="28">
        <v>128.97999999999999</v>
      </c>
      <c r="H2067" s="28">
        <v>108.8257</v>
      </c>
      <c r="I2067" s="28">
        <v>97.491590000000002</v>
      </c>
      <c r="J2067" s="29"/>
      <c r="K2067" s="29"/>
      <c r="L2067" s="29"/>
      <c r="M2067" s="29"/>
      <c r="N2067" s="29"/>
      <c r="P2067" s="4">
        <f t="shared" si="130"/>
        <v>1.6134226357133144E-3</v>
      </c>
      <c r="Q2067" s="4">
        <f t="shared" si="130"/>
        <v>3.1949804781034805E-3</v>
      </c>
      <c r="R2067" s="4">
        <f t="shared" si="130"/>
        <v>1.0286873754320025E-2</v>
      </c>
      <c r="S2067" s="4">
        <f t="shared" si="130"/>
        <v>2.1718811215980151E-3</v>
      </c>
      <c r="T2067" s="4">
        <f t="shared" si="130"/>
        <v>2.335953112089392E-3</v>
      </c>
      <c r="U2067" s="35"/>
      <c r="V2067" s="35"/>
      <c r="W2067" s="35"/>
      <c r="X2067" s="35"/>
    </row>
    <row r="2068" spans="4:24" x14ac:dyDescent="0.3">
      <c r="D2068" s="23">
        <v>42583</v>
      </c>
      <c r="E2068" s="5">
        <v>189.77732800000001</v>
      </c>
      <c r="F2068" s="28">
        <v>68.192329999999998</v>
      </c>
      <c r="G2068" s="28">
        <v>129.22</v>
      </c>
      <c r="H2068" s="28">
        <v>109.40179999999999</v>
      </c>
      <c r="I2068" s="28">
        <v>97.360349999999997</v>
      </c>
      <c r="J2068" s="29"/>
      <c r="K2068" s="29"/>
      <c r="L2068" s="29"/>
      <c r="M2068" s="29"/>
      <c r="N2068" s="29"/>
      <c r="P2068" s="4">
        <f t="shared" si="130"/>
        <v>-8.2934414810031541E-4</v>
      </c>
      <c r="Q2068" s="4">
        <f t="shared" si="130"/>
        <v>-3.141893920018173E-3</v>
      </c>
      <c r="R2068" s="4">
        <f t="shared" si="130"/>
        <v>1.85902454778818E-3</v>
      </c>
      <c r="S2068" s="4">
        <f t="shared" si="130"/>
        <v>5.2798234714267912E-3</v>
      </c>
      <c r="T2068" s="4">
        <f t="shared" si="130"/>
        <v>-1.347074294931585E-3</v>
      </c>
      <c r="U2068" s="35"/>
      <c r="V2068" s="35"/>
      <c r="W2068" s="35"/>
      <c r="X2068" s="35"/>
    </row>
    <row r="2069" spans="4:24" x14ac:dyDescent="0.3">
      <c r="D2069" s="23">
        <v>42584</v>
      </c>
      <c r="E2069" s="5">
        <v>188.561386</v>
      </c>
      <c r="F2069" s="28">
        <v>68.127610000000004</v>
      </c>
      <c r="G2069" s="28">
        <v>130.27000000000001</v>
      </c>
      <c r="H2069" s="28">
        <v>108.5707</v>
      </c>
      <c r="I2069" s="28">
        <v>96.625370000000004</v>
      </c>
      <c r="J2069" s="29"/>
      <c r="K2069" s="29"/>
      <c r="L2069" s="29"/>
      <c r="M2069" s="29"/>
      <c r="N2069" s="29"/>
      <c r="P2069" s="4">
        <f t="shared" ref="P2069:T2084" si="131">LN(E2069/E2068)</f>
        <v>-6.4278179397253121E-3</v>
      </c>
      <c r="Q2069" s="4">
        <f t="shared" si="131"/>
        <v>-9.495310057013336E-4</v>
      </c>
      <c r="R2069" s="4">
        <f t="shared" si="131"/>
        <v>8.0928415794533984E-3</v>
      </c>
      <c r="S2069" s="4">
        <f t="shared" si="131"/>
        <v>-7.6257695583774234E-3</v>
      </c>
      <c r="T2069" s="4">
        <f t="shared" si="131"/>
        <v>-7.5777074413208891E-3</v>
      </c>
      <c r="U2069" s="35"/>
      <c r="V2069" s="35"/>
      <c r="W2069" s="35"/>
      <c r="X2069" s="35"/>
    </row>
    <row r="2070" spans="4:24" x14ac:dyDescent="0.3">
      <c r="D2070" s="23">
        <v>42585</v>
      </c>
      <c r="E2070" s="5">
        <v>189.11241100000001</v>
      </c>
      <c r="F2070" s="28">
        <v>68.127610000000004</v>
      </c>
      <c r="G2070" s="28">
        <v>129.65</v>
      </c>
      <c r="H2070" s="28">
        <v>108.92959999999999</v>
      </c>
      <c r="I2070" s="28">
        <v>96.984089999999995</v>
      </c>
      <c r="J2070" s="29"/>
      <c r="K2070" s="29"/>
      <c r="L2070" s="29"/>
      <c r="M2070" s="29"/>
      <c r="N2070" s="29"/>
      <c r="P2070" s="4">
        <f t="shared" si="131"/>
        <v>2.9179964051594658E-3</v>
      </c>
      <c r="Q2070" s="4">
        <f t="shared" si="131"/>
        <v>0</v>
      </c>
      <c r="R2070" s="4">
        <f t="shared" si="131"/>
        <v>-4.7707077247993003E-3</v>
      </c>
      <c r="S2070" s="4">
        <f t="shared" si="131"/>
        <v>3.3002283283908519E-3</v>
      </c>
      <c r="T2070" s="4">
        <f t="shared" si="131"/>
        <v>3.7056082949788092E-3</v>
      </c>
      <c r="U2070" s="35"/>
      <c r="V2070" s="35"/>
      <c r="W2070" s="35"/>
      <c r="X2070" s="35"/>
    </row>
    <row r="2071" spans="4:24" x14ac:dyDescent="0.3">
      <c r="D2071" s="23">
        <v>42586</v>
      </c>
      <c r="E2071" s="5">
        <v>189.31369000000001</v>
      </c>
      <c r="F2071" s="28">
        <v>68.249020000000002</v>
      </c>
      <c r="G2071" s="28">
        <v>129.87</v>
      </c>
      <c r="H2071" s="28">
        <v>109.24120000000001</v>
      </c>
      <c r="I2071" s="28">
        <v>97.097859999999997</v>
      </c>
      <c r="J2071" s="29"/>
      <c r="K2071" s="29"/>
      <c r="L2071" s="29"/>
      <c r="M2071" s="29"/>
      <c r="N2071" s="29"/>
      <c r="P2071" s="4">
        <f t="shared" si="131"/>
        <v>1.0637692191358572E-3</v>
      </c>
      <c r="Q2071" s="4">
        <f t="shared" si="131"/>
        <v>1.7805108114886013E-3</v>
      </c>
      <c r="R2071" s="4">
        <f t="shared" si="131"/>
        <v>1.6954381373254102E-3</v>
      </c>
      <c r="S2071" s="4">
        <f t="shared" si="131"/>
        <v>2.8564795277310549E-3</v>
      </c>
      <c r="T2071" s="4">
        <f t="shared" si="131"/>
        <v>1.1723914875280694E-3</v>
      </c>
      <c r="U2071" s="35"/>
      <c r="V2071" s="35"/>
      <c r="W2071" s="35"/>
      <c r="X2071" s="35"/>
    </row>
    <row r="2072" spans="4:24" x14ac:dyDescent="0.3">
      <c r="D2072" s="23">
        <v>42587</v>
      </c>
      <c r="E2072" s="5">
        <v>190.86209099999999</v>
      </c>
      <c r="F2072" s="28">
        <v>68.022279999999995</v>
      </c>
      <c r="G2072" s="28">
        <v>127.55</v>
      </c>
      <c r="H2072" s="28">
        <v>110.2895</v>
      </c>
      <c r="I2072" s="28">
        <v>97.902839999999998</v>
      </c>
      <c r="J2072" s="29"/>
      <c r="K2072" s="29"/>
      <c r="L2072" s="29"/>
      <c r="M2072" s="29"/>
      <c r="N2072" s="29"/>
      <c r="P2072" s="4">
        <f t="shared" si="131"/>
        <v>8.1457559327727646E-3</v>
      </c>
      <c r="Q2072" s="4">
        <f t="shared" si="131"/>
        <v>-3.3277764172648262E-3</v>
      </c>
      <c r="R2072" s="4">
        <f t="shared" si="131"/>
        <v>-1.8025505534178546E-2</v>
      </c>
      <c r="S2072" s="4">
        <f t="shared" si="131"/>
        <v>9.5504452728410981E-3</v>
      </c>
      <c r="T2072" s="4">
        <f t="shared" si="131"/>
        <v>8.2562223892589191E-3</v>
      </c>
      <c r="U2072" s="35"/>
      <c r="V2072" s="35"/>
      <c r="W2072" s="35"/>
      <c r="X2072" s="35"/>
    </row>
    <row r="2073" spans="4:24" x14ac:dyDescent="0.3">
      <c r="D2073" s="23">
        <v>42590</v>
      </c>
      <c r="E2073" s="5">
        <v>190.74830600000001</v>
      </c>
      <c r="F2073" s="28">
        <v>68.030410000000003</v>
      </c>
      <c r="G2073" s="28">
        <v>127.44</v>
      </c>
      <c r="H2073" s="28">
        <v>110.16679999999999</v>
      </c>
      <c r="I2073" s="28">
        <v>97.841610000000003</v>
      </c>
      <c r="J2073" s="29"/>
      <c r="K2073" s="29"/>
      <c r="L2073" s="29"/>
      <c r="M2073" s="29"/>
      <c r="N2073" s="29"/>
      <c r="P2073" s="4">
        <f t="shared" si="131"/>
        <v>-5.9634121222342331E-4</v>
      </c>
      <c r="Q2073" s="4">
        <f t="shared" si="131"/>
        <v>1.1951252135739651E-4</v>
      </c>
      <c r="R2073" s="4">
        <f t="shared" si="131"/>
        <v>-8.6277898602733056E-4</v>
      </c>
      <c r="S2073" s="4">
        <f t="shared" si="131"/>
        <v>-1.11314589485304E-3</v>
      </c>
      <c r="T2073" s="4">
        <f t="shared" si="131"/>
        <v>-6.2561162778363734E-4</v>
      </c>
      <c r="U2073" s="35"/>
      <c r="V2073" s="35"/>
      <c r="W2073" s="35"/>
      <c r="X2073" s="35"/>
    </row>
    <row r="2074" spans="4:24" x14ac:dyDescent="0.3">
      <c r="D2074" s="23">
        <v>42591</v>
      </c>
      <c r="E2074" s="5">
        <v>190.86209099999999</v>
      </c>
      <c r="F2074" s="28">
        <v>68.224819999999994</v>
      </c>
      <c r="G2074" s="28">
        <v>127.96</v>
      </c>
      <c r="H2074" s="28">
        <v>110.4218</v>
      </c>
      <c r="I2074" s="28">
        <v>97.929100000000005</v>
      </c>
      <c r="J2074" s="29"/>
      <c r="K2074" s="29"/>
      <c r="L2074" s="29"/>
      <c r="M2074" s="29"/>
      <c r="N2074" s="29"/>
      <c r="P2074" s="4">
        <f t="shared" si="131"/>
        <v>5.9634121222354333E-4</v>
      </c>
      <c r="Q2074" s="4">
        <f t="shared" si="131"/>
        <v>2.8536171701517461E-3</v>
      </c>
      <c r="R2074" s="4">
        <f t="shared" si="131"/>
        <v>4.0720494795241022E-3</v>
      </c>
      <c r="S2074" s="4">
        <f t="shared" si="131"/>
        <v>2.3119972073651278E-3</v>
      </c>
      <c r="T2074" s="4">
        <f t="shared" si="131"/>
        <v>8.9380077157111184E-4</v>
      </c>
      <c r="U2074" s="35"/>
      <c r="V2074" s="35"/>
      <c r="W2074" s="35"/>
      <c r="X2074" s="35"/>
    </row>
    <row r="2075" spans="4:24" x14ac:dyDescent="0.3">
      <c r="D2075" s="23">
        <v>42592</v>
      </c>
      <c r="E2075" s="5">
        <v>190.389633</v>
      </c>
      <c r="F2075" s="28">
        <v>68.313789999999997</v>
      </c>
      <c r="G2075" s="28">
        <v>128.56</v>
      </c>
      <c r="H2075" s="28">
        <v>110.1384</v>
      </c>
      <c r="I2075" s="28">
        <v>97.640339999999995</v>
      </c>
      <c r="J2075" s="29"/>
      <c r="K2075" s="29"/>
      <c r="L2075" s="29"/>
      <c r="M2075" s="29"/>
      <c r="N2075" s="29"/>
      <c r="P2075" s="4">
        <f t="shared" si="131"/>
        <v>-2.478458257932734E-3</v>
      </c>
      <c r="Q2075" s="4">
        <f t="shared" si="131"/>
        <v>1.3032213026354215E-3</v>
      </c>
      <c r="R2075" s="4">
        <f t="shared" si="131"/>
        <v>4.6780063479399791E-3</v>
      </c>
      <c r="S2075" s="4">
        <f t="shared" si="131"/>
        <v>-2.5698213545691231E-3</v>
      </c>
      <c r="T2075" s="4">
        <f t="shared" si="131"/>
        <v>-2.9530197544164229E-3</v>
      </c>
      <c r="U2075" s="35"/>
      <c r="V2075" s="35"/>
      <c r="W2075" s="35"/>
      <c r="X2075" s="35"/>
    </row>
    <row r="2076" spans="4:24" x14ac:dyDescent="0.3">
      <c r="D2076" s="23">
        <v>42593</v>
      </c>
      <c r="E2076" s="5">
        <v>191.27319299999999</v>
      </c>
      <c r="F2076" s="28">
        <v>68.135670000000005</v>
      </c>
      <c r="G2076" s="28">
        <v>127.67</v>
      </c>
      <c r="H2076" s="28">
        <v>110.61060000000001</v>
      </c>
      <c r="I2076" s="28">
        <v>98.130350000000007</v>
      </c>
      <c r="J2076" s="29"/>
      <c r="K2076" s="29"/>
      <c r="L2076" s="29"/>
      <c r="M2076" s="29"/>
      <c r="N2076" s="29"/>
      <c r="P2076" s="4">
        <f t="shared" si="131"/>
        <v>4.6300635967189436E-3</v>
      </c>
      <c r="Q2076" s="4">
        <f t="shared" si="131"/>
        <v>-2.6107849921147975E-3</v>
      </c>
      <c r="R2076" s="4">
        <f t="shared" si="131"/>
        <v>-6.9469115969976415E-3</v>
      </c>
      <c r="S2076" s="4">
        <f t="shared" si="131"/>
        <v>4.278168600646678E-3</v>
      </c>
      <c r="T2076" s="4">
        <f t="shared" si="131"/>
        <v>5.0059692111487546E-3</v>
      </c>
      <c r="U2076" s="35"/>
      <c r="V2076" s="35"/>
      <c r="W2076" s="35"/>
      <c r="X2076" s="35"/>
    </row>
    <row r="2077" spans="4:24" x14ac:dyDescent="0.3">
      <c r="D2077" s="23">
        <v>42594</v>
      </c>
      <c r="E2077" s="5">
        <v>191.10702499999999</v>
      </c>
      <c r="F2077" s="28">
        <v>68.289519999999996</v>
      </c>
      <c r="G2077" s="28">
        <v>127.4</v>
      </c>
      <c r="H2077" s="28">
        <v>110.6862</v>
      </c>
      <c r="I2077" s="28">
        <v>98.034099999999995</v>
      </c>
      <c r="J2077" s="29"/>
      <c r="K2077" s="29"/>
      <c r="L2077" s="29"/>
      <c r="M2077" s="29"/>
      <c r="N2077" s="29"/>
      <c r="P2077" s="4">
        <f t="shared" si="131"/>
        <v>-8.6912451344417138E-4</v>
      </c>
      <c r="Q2077" s="4">
        <f t="shared" si="131"/>
        <v>2.2554495283493639E-3</v>
      </c>
      <c r="R2077" s="4">
        <f t="shared" si="131"/>
        <v>-2.1170666941964875E-3</v>
      </c>
      <c r="S2077" s="4">
        <f t="shared" si="131"/>
        <v>6.8324533333500876E-4</v>
      </c>
      <c r="T2077" s="4">
        <f t="shared" si="131"/>
        <v>-9.8131957879194669E-4</v>
      </c>
      <c r="U2077" s="35"/>
      <c r="V2077" s="35"/>
      <c r="W2077" s="35"/>
      <c r="X2077" s="35"/>
    </row>
    <row r="2078" spans="4:24" x14ac:dyDescent="0.3">
      <c r="D2078" s="23">
        <v>42597</v>
      </c>
      <c r="E2078" s="5">
        <v>191.65812700000001</v>
      </c>
      <c r="F2078" s="28">
        <v>68.176169999999999</v>
      </c>
      <c r="G2078" s="28">
        <v>127.84</v>
      </c>
      <c r="H2078" s="28">
        <v>111.1584</v>
      </c>
      <c r="I2078" s="28">
        <v>98.392849999999996</v>
      </c>
      <c r="J2078" s="29"/>
      <c r="K2078" s="29"/>
      <c r="L2078" s="29"/>
      <c r="M2078" s="29"/>
      <c r="N2078" s="29"/>
      <c r="P2078" s="4">
        <f t="shared" si="131"/>
        <v>2.8795849252854235E-3</v>
      </c>
      <c r="Q2078" s="4">
        <f t="shared" si="131"/>
        <v>-1.6612238001701973E-3</v>
      </c>
      <c r="R2078" s="4">
        <f t="shared" si="131"/>
        <v>3.4477388799015211E-3</v>
      </c>
      <c r="S2078" s="4">
        <f t="shared" si="131"/>
        <v>4.2570404068067958E-3</v>
      </c>
      <c r="T2078" s="4">
        <f t="shared" si="131"/>
        <v>3.6527614860388169E-3</v>
      </c>
      <c r="U2078" s="35"/>
      <c r="V2078" s="35"/>
      <c r="W2078" s="35"/>
      <c r="X2078" s="35"/>
    </row>
    <row r="2079" spans="4:24" x14ac:dyDescent="0.3">
      <c r="D2079" s="23">
        <v>42598</v>
      </c>
      <c r="E2079" s="5">
        <v>190.669601</v>
      </c>
      <c r="F2079" s="28">
        <v>68.143780000000007</v>
      </c>
      <c r="G2079" s="28">
        <v>128.47</v>
      </c>
      <c r="H2079" s="28">
        <v>110.5445</v>
      </c>
      <c r="I2079" s="28">
        <v>97.832840000000004</v>
      </c>
      <c r="J2079" s="29"/>
      <c r="K2079" s="29"/>
      <c r="L2079" s="29"/>
      <c r="M2079" s="29"/>
      <c r="N2079" s="29"/>
      <c r="P2079" s="4">
        <f t="shared" si="131"/>
        <v>-5.171103900632858E-3</v>
      </c>
      <c r="Q2079" s="4">
        <f t="shared" si="131"/>
        <v>-4.7520558230133749E-4</v>
      </c>
      <c r="R2079" s="4">
        <f t="shared" si="131"/>
        <v>4.9159320255537948E-3</v>
      </c>
      <c r="S2079" s="4">
        <f t="shared" si="131"/>
        <v>-5.5380562818864694E-3</v>
      </c>
      <c r="T2079" s="4">
        <f t="shared" si="131"/>
        <v>-5.707830818637143E-3</v>
      </c>
      <c r="U2079" s="35"/>
      <c r="V2079" s="35"/>
      <c r="W2079" s="35"/>
      <c r="X2079" s="35"/>
    </row>
    <row r="2080" spans="4:24" x14ac:dyDescent="0.3">
      <c r="D2080" s="23">
        <v>42599</v>
      </c>
      <c r="E2080" s="5">
        <v>191.028244</v>
      </c>
      <c r="F2080" s="28">
        <v>68.249020000000002</v>
      </c>
      <c r="G2080" s="28">
        <v>128.5</v>
      </c>
      <c r="H2080" s="28">
        <v>110.74290000000001</v>
      </c>
      <c r="I2080" s="28">
        <v>97.955330000000004</v>
      </c>
      <c r="J2080" s="29"/>
      <c r="K2080" s="29"/>
      <c r="L2080" s="29"/>
      <c r="M2080" s="29"/>
      <c r="N2080" s="29"/>
      <c r="P2080" s="4">
        <f t="shared" si="131"/>
        <v>1.8791990064409908E-3</v>
      </c>
      <c r="Q2080" s="4">
        <f t="shared" si="131"/>
        <v>1.5431902693571389E-3</v>
      </c>
      <c r="R2080" s="4">
        <f t="shared" si="131"/>
        <v>2.3349029175629541E-4</v>
      </c>
      <c r="S2080" s="4">
        <f t="shared" si="131"/>
        <v>1.793143696032336E-3</v>
      </c>
      <c r="T2080" s="4">
        <f t="shared" si="131"/>
        <v>1.251250430311014E-3</v>
      </c>
      <c r="U2080" s="35"/>
      <c r="V2080" s="35"/>
      <c r="W2080" s="35"/>
      <c r="X2080" s="35"/>
    </row>
    <row r="2081" spans="4:24" x14ac:dyDescent="0.3">
      <c r="D2081" s="23">
        <v>42600</v>
      </c>
      <c r="E2081" s="5">
        <v>191.456909</v>
      </c>
      <c r="F2081" s="28">
        <v>68.321920000000006</v>
      </c>
      <c r="G2081" s="28">
        <v>129.11000000000001</v>
      </c>
      <c r="H2081" s="28">
        <v>110.77119999999999</v>
      </c>
      <c r="I2081" s="28">
        <v>98.261600000000001</v>
      </c>
      <c r="J2081" s="29"/>
      <c r="K2081" s="29"/>
      <c r="L2081" s="29"/>
      <c r="M2081" s="29"/>
      <c r="N2081" s="29"/>
      <c r="P2081" s="4">
        <f t="shared" si="131"/>
        <v>2.2414735636810423E-3</v>
      </c>
      <c r="Q2081" s="4">
        <f t="shared" si="131"/>
        <v>1.0675771423086671E-3</v>
      </c>
      <c r="R2081" s="4">
        <f t="shared" si="131"/>
        <v>4.7358498513527915E-3</v>
      </c>
      <c r="S2081" s="4">
        <f t="shared" si="131"/>
        <v>2.5551421019216416E-4</v>
      </c>
      <c r="T2081" s="4">
        <f t="shared" si="131"/>
        <v>3.1217515096704173E-3</v>
      </c>
      <c r="U2081" s="35"/>
      <c r="V2081" s="35"/>
      <c r="W2081" s="35"/>
      <c r="X2081" s="35"/>
    </row>
    <row r="2082" spans="4:24" x14ac:dyDescent="0.3">
      <c r="D2082" s="23">
        <v>42601</v>
      </c>
      <c r="E2082" s="5">
        <v>191.176987</v>
      </c>
      <c r="F2082" s="28">
        <v>68.184269999999998</v>
      </c>
      <c r="G2082" s="28">
        <v>127.97</v>
      </c>
      <c r="H2082" s="28">
        <v>110.74290000000001</v>
      </c>
      <c r="I2082" s="28">
        <v>98.121600000000001</v>
      </c>
      <c r="J2082" s="29"/>
      <c r="K2082" s="29"/>
      <c r="L2082" s="29"/>
      <c r="M2082" s="29"/>
      <c r="N2082" s="29"/>
      <c r="P2082" s="4">
        <f t="shared" si="131"/>
        <v>-1.4631325288394325E-3</v>
      </c>
      <c r="Q2082" s="4">
        <f t="shared" si="131"/>
        <v>-2.0167590444875841E-3</v>
      </c>
      <c r="R2082" s="4">
        <f t="shared" si="131"/>
        <v>-8.8688927371228434E-3</v>
      </c>
      <c r="S2082" s="4">
        <f t="shared" si="131"/>
        <v>-2.5551421019206621E-4</v>
      </c>
      <c r="T2082" s="4">
        <f t="shared" si="131"/>
        <v>-1.4257841171414066E-3</v>
      </c>
      <c r="U2082" s="35"/>
      <c r="V2082" s="35"/>
      <c r="W2082" s="35"/>
      <c r="X2082" s="35"/>
    </row>
    <row r="2083" spans="4:24" x14ac:dyDescent="0.3">
      <c r="D2083" s="23">
        <v>42604</v>
      </c>
      <c r="E2083" s="5">
        <v>191.16819799999999</v>
      </c>
      <c r="F2083" s="28">
        <v>68.28143</v>
      </c>
      <c r="G2083" s="28">
        <v>127.78</v>
      </c>
      <c r="H2083" s="28">
        <v>110.8278</v>
      </c>
      <c r="I2083" s="28">
        <v>98.147840000000002</v>
      </c>
      <c r="J2083" s="29"/>
      <c r="K2083" s="29"/>
      <c r="L2083" s="29"/>
      <c r="M2083" s="29"/>
      <c r="N2083" s="29"/>
      <c r="P2083" s="4">
        <f t="shared" si="131"/>
        <v>-4.597416338092722E-5</v>
      </c>
      <c r="Q2083" s="4">
        <f t="shared" si="131"/>
        <v>1.4239477966555615E-3</v>
      </c>
      <c r="R2083" s="4">
        <f t="shared" si="131"/>
        <v>-1.4858262753073626E-3</v>
      </c>
      <c r="S2083" s="4">
        <f t="shared" si="131"/>
        <v>7.6634685141168909E-4</v>
      </c>
      <c r="T2083" s="4">
        <f t="shared" si="131"/>
        <v>2.6738752763904038E-4</v>
      </c>
      <c r="U2083" s="35"/>
      <c r="V2083" s="35"/>
      <c r="W2083" s="35"/>
      <c r="X2083" s="35"/>
    </row>
    <row r="2084" spans="4:24" x14ac:dyDescent="0.3">
      <c r="D2084" s="23">
        <v>42605</v>
      </c>
      <c r="E2084" s="5">
        <v>191.55313100000001</v>
      </c>
      <c r="F2084" s="28">
        <v>68.313789999999997</v>
      </c>
      <c r="G2084" s="28">
        <v>127.76</v>
      </c>
      <c r="H2084" s="28">
        <v>111.0262</v>
      </c>
      <c r="I2084" s="28">
        <v>98.410359999999997</v>
      </c>
      <c r="J2084" s="29"/>
      <c r="K2084" s="29"/>
      <c r="L2084" s="29"/>
      <c r="M2084" s="29"/>
      <c r="N2084" s="29"/>
      <c r="P2084" s="4">
        <f t="shared" si="131"/>
        <v>2.0115582834336568E-3</v>
      </c>
      <c r="Q2084" s="4">
        <f t="shared" si="131"/>
        <v>4.7380868240311843E-4</v>
      </c>
      <c r="R2084" s="4">
        <f t="shared" si="131"/>
        <v>-1.5653126744024251E-4</v>
      </c>
      <c r="S2084" s="4">
        <f t="shared" si="131"/>
        <v>1.788564126763542E-3</v>
      </c>
      <c r="T2084" s="4">
        <f t="shared" si="131"/>
        <v>2.6711697206549009E-3</v>
      </c>
      <c r="U2084" s="35"/>
      <c r="V2084" s="35"/>
      <c r="W2084" s="35"/>
      <c r="X2084" s="35"/>
    </row>
    <row r="2085" spans="4:24" x14ac:dyDescent="0.3">
      <c r="D2085" s="23">
        <v>42606</v>
      </c>
      <c r="E2085" s="5">
        <v>190.57334900000001</v>
      </c>
      <c r="F2085" s="28">
        <v>68.305729999999997</v>
      </c>
      <c r="G2085" s="28">
        <v>126.34</v>
      </c>
      <c r="H2085" s="28">
        <v>110.30840000000001</v>
      </c>
      <c r="I2085" s="28">
        <v>97.859089999999995</v>
      </c>
      <c r="J2085" s="29"/>
      <c r="K2085" s="29"/>
      <c r="L2085" s="29"/>
      <c r="M2085" s="29"/>
      <c r="N2085" s="29"/>
      <c r="P2085" s="4">
        <f t="shared" ref="P2085:T2100" si="132">LN(E2085/E2084)</f>
        <v>-5.128062033865447E-3</v>
      </c>
      <c r="Q2085" s="4">
        <f t="shared" si="132"/>
        <v>-1.1799192398498096E-4</v>
      </c>
      <c r="R2085" s="4">
        <f t="shared" si="132"/>
        <v>-1.1176818436202718E-2</v>
      </c>
      <c r="S2085" s="4">
        <f t="shared" si="132"/>
        <v>-6.4861301981571839E-3</v>
      </c>
      <c r="T2085" s="4">
        <f t="shared" si="132"/>
        <v>-5.6174962498516104E-3</v>
      </c>
      <c r="U2085" s="35"/>
      <c r="V2085" s="35"/>
      <c r="W2085" s="35"/>
      <c r="X2085" s="35"/>
    </row>
    <row r="2086" spans="4:24" x14ac:dyDescent="0.3">
      <c r="D2086" s="23">
        <v>42607</v>
      </c>
      <c r="E2086" s="5">
        <v>190.442184</v>
      </c>
      <c r="F2086" s="28">
        <v>68.232849999999999</v>
      </c>
      <c r="G2086" s="28">
        <v>126.23</v>
      </c>
      <c r="H2086" s="28">
        <v>110.129</v>
      </c>
      <c r="I2086" s="28">
        <v>97.797839999999994</v>
      </c>
      <c r="J2086" s="29"/>
      <c r="K2086" s="29"/>
      <c r="L2086" s="29"/>
      <c r="M2086" s="29"/>
      <c r="N2086" s="29"/>
      <c r="P2086" s="4">
        <f t="shared" si="132"/>
        <v>-6.8850214136233353E-4</v>
      </c>
      <c r="Q2086" s="4">
        <f t="shared" si="132"/>
        <v>-1.067537203351347E-3</v>
      </c>
      <c r="R2086" s="4">
        <f t="shared" si="132"/>
        <v>-8.7104570578401042E-4</v>
      </c>
      <c r="S2086" s="4">
        <f t="shared" si="132"/>
        <v>-1.6276733404343977E-3</v>
      </c>
      <c r="T2086" s="4">
        <f t="shared" si="132"/>
        <v>-6.2609591186792678E-4</v>
      </c>
      <c r="U2086" s="35"/>
      <c r="V2086" s="35"/>
      <c r="W2086" s="35"/>
      <c r="X2086" s="35"/>
    </row>
    <row r="2087" spans="4:24" x14ac:dyDescent="0.3">
      <c r="D2087" s="23">
        <v>42608</v>
      </c>
      <c r="E2087" s="5">
        <v>190.08345</v>
      </c>
      <c r="F2087" s="28">
        <v>68.062809999999999</v>
      </c>
      <c r="G2087" s="28">
        <v>126.05</v>
      </c>
      <c r="H2087" s="28">
        <v>110.2895</v>
      </c>
      <c r="I2087" s="28">
        <v>97.596599999999995</v>
      </c>
      <c r="J2087" s="29"/>
      <c r="K2087" s="29"/>
      <c r="L2087" s="29"/>
      <c r="M2087" s="29"/>
      <c r="N2087" s="29"/>
      <c r="P2087" s="4">
        <f t="shared" si="132"/>
        <v>-1.8854661774213755E-3</v>
      </c>
      <c r="Q2087" s="4">
        <f t="shared" si="132"/>
        <v>-2.4951651170737606E-3</v>
      </c>
      <c r="R2087" s="4">
        <f t="shared" si="132"/>
        <v>-1.4269861308415155E-3</v>
      </c>
      <c r="S2087" s="4">
        <f t="shared" si="132"/>
        <v>1.4563208475390044E-3</v>
      </c>
      <c r="T2087" s="4">
        <f t="shared" si="132"/>
        <v>-2.0598341606210095E-3</v>
      </c>
      <c r="U2087" s="35"/>
      <c r="V2087" s="35"/>
      <c r="W2087" s="35"/>
      <c r="X2087" s="35"/>
    </row>
    <row r="2088" spans="4:24" x14ac:dyDescent="0.3">
      <c r="D2088" s="23">
        <v>42611</v>
      </c>
      <c r="E2088" s="5">
        <v>191.01954699999999</v>
      </c>
      <c r="F2088" s="28">
        <v>68.297640000000001</v>
      </c>
      <c r="G2088" s="28">
        <v>126.3</v>
      </c>
      <c r="H2088" s="28">
        <v>110.4406</v>
      </c>
      <c r="I2088" s="28">
        <v>98.130350000000007</v>
      </c>
      <c r="J2088" s="29"/>
      <c r="K2088" s="29"/>
      <c r="L2088" s="29"/>
      <c r="M2088" s="29"/>
      <c r="N2088" s="29"/>
      <c r="P2088" s="4">
        <f t="shared" si="132"/>
        <v>4.9125768622617395E-3</v>
      </c>
      <c r="Q2088" s="4">
        <f t="shared" si="132"/>
        <v>3.4442572189689485E-3</v>
      </c>
      <c r="R2088" s="4">
        <f t="shared" si="132"/>
        <v>1.9813757225165345E-3</v>
      </c>
      <c r="S2088" s="4">
        <f t="shared" si="132"/>
        <v>1.369093056198766E-3</v>
      </c>
      <c r="T2088" s="4">
        <f t="shared" si="132"/>
        <v>5.4540401625968763E-3</v>
      </c>
      <c r="U2088" s="35"/>
      <c r="V2088" s="35"/>
      <c r="W2088" s="35"/>
      <c r="X2088" s="35"/>
    </row>
    <row r="2089" spans="4:24" x14ac:dyDescent="0.3">
      <c r="D2089" s="23">
        <v>42612</v>
      </c>
      <c r="E2089" s="5">
        <v>190.70460499999999</v>
      </c>
      <c r="F2089" s="28">
        <v>68.240939999999995</v>
      </c>
      <c r="G2089" s="28">
        <v>125.03</v>
      </c>
      <c r="H2089" s="28">
        <v>110.0817</v>
      </c>
      <c r="I2089" s="28">
        <v>97.972840000000005</v>
      </c>
      <c r="J2089" s="29"/>
      <c r="K2089" s="29"/>
      <c r="L2089" s="29"/>
      <c r="M2089" s="29"/>
      <c r="N2089" s="29"/>
      <c r="P2089" s="4">
        <f t="shared" si="132"/>
        <v>-1.6501029332898398E-3</v>
      </c>
      <c r="Q2089" s="4">
        <f t="shared" si="132"/>
        <v>-8.3053453843237634E-4</v>
      </c>
      <c r="R2089" s="4">
        <f t="shared" si="132"/>
        <v>-1.0106320849537113E-2</v>
      </c>
      <c r="S2089" s="4">
        <f t="shared" si="132"/>
        <v>-3.2550024816535785E-3</v>
      </c>
      <c r="T2089" s="4">
        <f t="shared" si="132"/>
        <v>-1.6063995070296632E-3</v>
      </c>
      <c r="U2089" s="35"/>
      <c r="V2089" s="35"/>
      <c r="W2089" s="35"/>
      <c r="X2089" s="35"/>
    </row>
    <row r="2090" spans="4:24" x14ac:dyDescent="0.3">
      <c r="D2090" s="23">
        <v>42613</v>
      </c>
      <c r="E2090" s="5">
        <v>190.162216</v>
      </c>
      <c r="F2090" s="28">
        <v>68.192329999999998</v>
      </c>
      <c r="G2090" s="28">
        <v>124.78</v>
      </c>
      <c r="H2090" s="28">
        <v>109.9684</v>
      </c>
      <c r="I2090" s="28">
        <v>97.692859999999996</v>
      </c>
      <c r="J2090" s="29"/>
      <c r="K2090" s="29"/>
      <c r="L2090" s="29"/>
      <c r="M2090" s="29"/>
      <c r="N2090" s="29"/>
      <c r="P2090" s="4">
        <f t="shared" si="132"/>
        <v>-2.8481838624727115E-3</v>
      </c>
      <c r="Q2090" s="4">
        <f t="shared" si="132"/>
        <v>-7.1258281879341861E-4</v>
      </c>
      <c r="R2090" s="4">
        <f t="shared" si="132"/>
        <v>-2.0015218242679911E-3</v>
      </c>
      <c r="S2090" s="4">
        <f t="shared" si="132"/>
        <v>-1.0297655853108475E-3</v>
      </c>
      <c r="T2090" s="4">
        <f t="shared" si="132"/>
        <v>-2.8618218838243228E-3</v>
      </c>
      <c r="U2090" s="35"/>
      <c r="V2090" s="35"/>
      <c r="W2090" s="35"/>
      <c r="X2090" s="35"/>
    </row>
    <row r="2091" spans="4:24" x14ac:dyDescent="0.3">
      <c r="D2091" s="23">
        <v>42614</v>
      </c>
      <c r="E2091" s="5">
        <v>190.170929</v>
      </c>
      <c r="F2091" s="28">
        <v>68.286479999999997</v>
      </c>
      <c r="G2091" s="28">
        <v>125.29</v>
      </c>
      <c r="H2091" s="28">
        <v>110.2518</v>
      </c>
      <c r="I2091" s="28">
        <v>97.745339999999999</v>
      </c>
      <c r="J2091" s="29"/>
      <c r="K2091" s="29"/>
      <c r="L2091" s="29"/>
      <c r="M2091" s="29"/>
      <c r="N2091" s="29"/>
      <c r="P2091" s="4">
        <f t="shared" si="132"/>
        <v>4.5817726464700453E-5</v>
      </c>
      <c r="Q2091" s="4">
        <f t="shared" si="132"/>
        <v>1.3797015805625519E-3</v>
      </c>
      <c r="R2091" s="4">
        <f t="shared" si="132"/>
        <v>4.0788635748210279E-3</v>
      </c>
      <c r="S2091" s="4">
        <f t="shared" si="132"/>
        <v>2.5737889298619483E-3</v>
      </c>
      <c r="T2091" s="4">
        <f t="shared" si="132"/>
        <v>5.3704957640176285E-4</v>
      </c>
      <c r="U2091" s="35"/>
      <c r="V2091" s="35"/>
      <c r="W2091" s="35"/>
      <c r="X2091" s="35"/>
    </row>
    <row r="2092" spans="4:24" x14ac:dyDescent="0.3">
      <c r="D2092" s="23">
        <v>42615</v>
      </c>
      <c r="E2092" s="5">
        <v>191.028244</v>
      </c>
      <c r="F2092" s="28">
        <v>68.189099999999996</v>
      </c>
      <c r="G2092" s="28">
        <v>126.57</v>
      </c>
      <c r="H2092" s="28">
        <v>110.61060000000001</v>
      </c>
      <c r="I2092" s="28">
        <v>98.244079999999997</v>
      </c>
      <c r="J2092" s="29"/>
      <c r="K2092" s="29"/>
      <c r="L2092" s="29"/>
      <c r="M2092" s="29"/>
      <c r="N2092" s="29"/>
      <c r="P2092" s="4">
        <f t="shared" si="132"/>
        <v>4.4979974047908928E-3</v>
      </c>
      <c r="Q2092" s="4">
        <f t="shared" si="132"/>
        <v>-1.427068733122854E-3</v>
      </c>
      <c r="R2092" s="4">
        <f t="shared" si="132"/>
        <v>1.0164464546895556E-2</v>
      </c>
      <c r="S2092" s="4">
        <f t="shared" si="132"/>
        <v>3.249084639493395E-3</v>
      </c>
      <c r="T2092" s="4">
        <f t="shared" si="132"/>
        <v>5.0894693862439779E-3</v>
      </c>
      <c r="U2092" s="35"/>
      <c r="V2092" s="35"/>
      <c r="W2092" s="35"/>
      <c r="X2092" s="35"/>
    </row>
    <row r="2093" spans="4:24" x14ac:dyDescent="0.3">
      <c r="D2093" s="23">
        <v>42619</v>
      </c>
      <c r="E2093" s="5">
        <v>191.60560599999999</v>
      </c>
      <c r="F2093" s="28">
        <v>68.391970000000001</v>
      </c>
      <c r="G2093" s="28">
        <v>128.71</v>
      </c>
      <c r="H2093" s="28">
        <v>111.3</v>
      </c>
      <c r="I2093" s="28">
        <v>98.524090000000001</v>
      </c>
      <c r="J2093" s="29"/>
      <c r="K2093" s="29"/>
      <c r="L2093" s="29"/>
      <c r="M2093" s="29"/>
      <c r="N2093" s="29"/>
      <c r="P2093" s="4">
        <f t="shared" si="132"/>
        <v>3.017832521532707E-3</v>
      </c>
      <c r="Q2093" s="4">
        <f t="shared" si="132"/>
        <v>2.9706920467698263E-3</v>
      </c>
      <c r="R2093" s="4">
        <f t="shared" si="132"/>
        <v>1.6766296856929531E-2</v>
      </c>
      <c r="S2093" s="4">
        <f t="shared" si="132"/>
        <v>6.21333291771454E-3</v>
      </c>
      <c r="T2093" s="4">
        <f t="shared" si="132"/>
        <v>2.846092322882866E-3</v>
      </c>
      <c r="U2093" s="35"/>
      <c r="V2093" s="35"/>
      <c r="W2093" s="35"/>
      <c r="X2093" s="35"/>
    </row>
    <row r="2094" spans="4:24" x14ac:dyDescent="0.3">
      <c r="D2094" s="23">
        <v>42620</v>
      </c>
      <c r="E2094" s="5">
        <v>191.58810399999999</v>
      </c>
      <c r="F2094" s="28">
        <v>68.400080000000003</v>
      </c>
      <c r="G2094" s="28">
        <v>128.27000000000001</v>
      </c>
      <c r="H2094" s="28">
        <v>111.36620000000001</v>
      </c>
      <c r="I2094" s="28">
        <v>98.655330000000006</v>
      </c>
      <c r="J2094" s="29"/>
      <c r="K2094" s="29"/>
      <c r="L2094" s="29"/>
      <c r="M2094" s="29"/>
      <c r="N2094" s="29"/>
      <c r="P2094" s="4">
        <f t="shared" si="132"/>
        <v>-9.1348054811117566E-5</v>
      </c>
      <c r="Q2094" s="4">
        <f t="shared" si="132"/>
        <v>1.18574142422829E-4</v>
      </c>
      <c r="R2094" s="4">
        <f t="shared" si="132"/>
        <v>-3.4243943495269611E-3</v>
      </c>
      <c r="S2094" s="4">
        <f t="shared" si="132"/>
        <v>5.9461204215553395E-4</v>
      </c>
      <c r="T2094" s="4">
        <f t="shared" si="132"/>
        <v>1.3311736019918916E-3</v>
      </c>
      <c r="U2094" s="35"/>
      <c r="V2094" s="35"/>
      <c r="W2094" s="35"/>
      <c r="X2094" s="35"/>
    </row>
    <row r="2095" spans="4:24" x14ac:dyDescent="0.3">
      <c r="D2095" s="23">
        <v>42621</v>
      </c>
      <c r="E2095" s="5">
        <v>191.15072599999999</v>
      </c>
      <c r="F2095" s="28">
        <v>68.140450000000001</v>
      </c>
      <c r="G2095" s="28">
        <v>127.59</v>
      </c>
      <c r="H2095" s="28">
        <v>110.7145</v>
      </c>
      <c r="I2095" s="28">
        <v>98.401579999999996</v>
      </c>
      <c r="J2095" s="29"/>
      <c r="K2095" s="29"/>
      <c r="L2095" s="29"/>
      <c r="M2095" s="29"/>
      <c r="N2095" s="29"/>
      <c r="P2095" s="4">
        <f t="shared" si="132"/>
        <v>-2.2855177270114085E-3</v>
      </c>
      <c r="Q2095" s="4">
        <f t="shared" si="132"/>
        <v>-3.8029779569659504E-3</v>
      </c>
      <c r="R2095" s="4">
        <f t="shared" si="132"/>
        <v>-5.3154193781075488E-3</v>
      </c>
      <c r="S2095" s="4">
        <f t="shared" si="132"/>
        <v>-5.869054543622943E-3</v>
      </c>
      <c r="T2095" s="4">
        <f t="shared" si="132"/>
        <v>-2.575399566080671E-3</v>
      </c>
      <c r="U2095" s="35"/>
      <c r="V2095" s="35"/>
      <c r="W2095" s="35"/>
      <c r="X2095" s="35"/>
    </row>
    <row r="2096" spans="4:24" x14ac:dyDescent="0.3">
      <c r="D2096" s="23">
        <v>42622</v>
      </c>
      <c r="E2096" s="5">
        <v>186.57551599999999</v>
      </c>
      <c r="F2096" s="28">
        <v>67.840230000000005</v>
      </c>
      <c r="G2096" s="28">
        <v>126.75</v>
      </c>
      <c r="H2096" s="28">
        <v>107.9285</v>
      </c>
      <c r="I2096" s="28">
        <v>95.951610000000002</v>
      </c>
      <c r="J2096" s="29"/>
      <c r="K2096" s="29"/>
      <c r="L2096" s="29"/>
      <c r="M2096" s="29"/>
      <c r="N2096" s="29"/>
      <c r="P2096" s="4">
        <f t="shared" si="132"/>
        <v>-2.4226189542086881E-2</v>
      </c>
      <c r="Q2096" s="4">
        <f t="shared" si="132"/>
        <v>-4.4156344534089682E-3</v>
      </c>
      <c r="R2096" s="4">
        <f t="shared" si="132"/>
        <v>-6.6053554623593802E-3</v>
      </c>
      <c r="S2096" s="4">
        <f t="shared" si="132"/>
        <v>-2.548584493613831E-2</v>
      </c>
      <c r="T2096" s="4">
        <f t="shared" si="132"/>
        <v>-2.5212858954238356E-2</v>
      </c>
      <c r="U2096" s="35"/>
      <c r="V2096" s="35"/>
      <c r="W2096" s="35"/>
      <c r="X2096" s="35"/>
    </row>
    <row r="2097" spans="4:24" x14ac:dyDescent="0.3">
      <c r="D2097" s="23">
        <v>42625</v>
      </c>
      <c r="E2097" s="5">
        <v>189.252396</v>
      </c>
      <c r="F2097" s="28">
        <v>67.864549999999994</v>
      </c>
      <c r="G2097" s="28">
        <v>126.59</v>
      </c>
      <c r="H2097" s="28">
        <v>109.8646</v>
      </c>
      <c r="I2097" s="28">
        <v>97.29034</v>
      </c>
      <c r="J2097" s="29"/>
      <c r="K2097" s="29"/>
      <c r="L2097" s="29"/>
      <c r="M2097" s="29"/>
      <c r="N2097" s="29"/>
      <c r="P2097" s="4">
        <f t="shared" si="132"/>
        <v>1.4245484081926461E-2</v>
      </c>
      <c r="Q2097" s="4">
        <f t="shared" si="132"/>
        <v>3.5842510868596311E-4</v>
      </c>
      <c r="R2097" s="4">
        <f t="shared" si="132"/>
        <v>-1.2631248225555679E-3</v>
      </c>
      <c r="S2097" s="4">
        <f t="shared" si="132"/>
        <v>1.7779727666778825E-2</v>
      </c>
      <c r="T2097" s="4">
        <f t="shared" si="132"/>
        <v>1.3855701802149711E-2</v>
      </c>
      <c r="U2097" s="35"/>
      <c r="V2097" s="35"/>
      <c r="W2097" s="35"/>
      <c r="X2097" s="35"/>
    </row>
    <row r="2098" spans="4:24" x14ac:dyDescent="0.3">
      <c r="D2098" s="23">
        <v>42626</v>
      </c>
      <c r="E2098" s="5">
        <v>186.531845</v>
      </c>
      <c r="F2098" s="28">
        <v>67.66986</v>
      </c>
      <c r="G2098" s="28">
        <v>125.75</v>
      </c>
      <c r="H2098" s="28">
        <v>108.8823</v>
      </c>
      <c r="I2098" s="28">
        <v>95.768379999999993</v>
      </c>
      <c r="J2098" s="29"/>
      <c r="K2098" s="29"/>
      <c r="L2098" s="29"/>
      <c r="M2098" s="29"/>
      <c r="N2098" s="29"/>
      <c r="P2098" s="4">
        <f t="shared" si="132"/>
        <v>-1.4479577561521169E-2</v>
      </c>
      <c r="Q2098" s="4">
        <f t="shared" si="132"/>
        <v>-2.8729255383838745E-3</v>
      </c>
      <c r="R2098" s="4">
        <f t="shared" si="132"/>
        <v>-6.6577086688883215E-3</v>
      </c>
      <c r="S2098" s="4">
        <f t="shared" si="132"/>
        <v>-8.9812162171718952E-3</v>
      </c>
      <c r="T2098" s="4">
        <f t="shared" si="132"/>
        <v>-1.5767135824101428E-2</v>
      </c>
      <c r="U2098" s="35"/>
      <c r="V2098" s="35"/>
      <c r="W2098" s="35"/>
      <c r="X2098" s="35"/>
    </row>
    <row r="2099" spans="4:24" x14ac:dyDescent="0.3">
      <c r="D2099" s="23">
        <v>42627</v>
      </c>
      <c r="E2099" s="5">
        <v>186.46186800000001</v>
      </c>
      <c r="F2099" s="28">
        <v>67.759079999999997</v>
      </c>
      <c r="G2099" s="28">
        <v>126.18</v>
      </c>
      <c r="H2099" s="28">
        <v>109.40179999999999</v>
      </c>
      <c r="I2099" s="28">
        <v>95.777169999999998</v>
      </c>
      <c r="J2099" s="29"/>
      <c r="K2099" s="29"/>
      <c r="L2099" s="29"/>
      <c r="M2099" s="29"/>
      <c r="N2099" s="29"/>
      <c r="P2099" s="4">
        <f t="shared" si="132"/>
        <v>-3.7521812503572827E-4</v>
      </c>
      <c r="Q2099" s="4">
        <f t="shared" si="132"/>
        <v>1.3175915414756004E-3</v>
      </c>
      <c r="R2099" s="4">
        <f t="shared" si="132"/>
        <v>3.4136499628147953E-3</v>
      </c>
      <c r="S2099" s="4">
        <f t="shared" si="132"/>
        <v>4.7598609411091267E-3</v>
      </c>
      <c r="T2099" s="4">
        <f t="shared" si="132"/>
        <v>9.1779736007170727E-5</v>
      </c>
      <c r="U2099" s="35"/>
      <c r="V2099" s="35"/>
      <c r="W2099" s="35"/>
      <c r="X2099" s="35"/>
    </row>
    <row r="2100" spans="4:24" x14ac:dyDescent="0.3">
      <c r="D2100" s="23">
        <v>42628</v>
      </c>
      <c r="E2100" s="5">
        <v>188.32513399999999</v>
      </c>
      <c r="F2100" s="28">
        <v>67.815899999999999</v>
      </c>
      <c r="G2100" s="28">
        <v>125.37</v>
      </c>
      <c r="H2100" s="28">
        <v>111.10169999999999</v>
      </c>
      <c r="I2100" s="28">
        <v>96.761949999999999</v>
      </c>
      <c r="J2100" s="29"/>
      <c r="K2100" s="29"/>
      <c r="L2100" s="29"/>
      <c r="M2100" s="29"/>
      <c r="N2100" s="29"/>
      <c r="P2100" s="4">
        <f t="shared" si="132"/>
        <v>9.9431481945745394E-3</v>
      </c>
      <c r="Q2100" s="4">
        <f t="shared" si="132"/>
        <v>8.3820780687961314E-4</v>
      </c>
      <c r="R2100" s="4">
        <f t="shared" si="132"/>
        <v>-6.4400938147296614E-3</v>
      </c>
      <c r="S2100" s="4">
        <f t="shared" si="132"/>
        <v>1.5418654824060622E-2</v>
      </c>
      <c r="T2100" s="4">
        <f t="shared" si="132"/>
        <v>1.0229490894842277E-2</v>
      </c>
      <c r="U2100" s="35"/>
      <c r="V2100" s="35"/>
      <c r="W2100" s="35"/>
      <c r="X2100" s="35"/>
    </row>
    <row r="2101" spans="4:24" x14ac:dyDescent="0.3">
      <c r="D2101" s="23">
        <v>42629</v>
      </c>
      <c r="E2101" s="5">
        <v>187.597137</v>
      </c>
      <c r="F2101" s="28">
        <v>67.872669999999999</v>
      </c>
      <c r="G2101" s="28">
        <v>125.06</v>
      </c>
      <c r="H2101" s="28">
        <v>111.0487</v>
      </c>
      <c r="I2101" s="28">
        <v>96.375050000000002</v>
      </c>
      <c r="J2101" s="29"/>
      <c r="K2101" s="29"/>
      <c r="L2101" s="29"/>
      <c r="M2101" s="29"/>
      <c r="N2101" s="29"/>
      <c r="P2101" s="4">
        <f t="shared" ref="P2101:T2116" si="133">LN(E2101/E2100)</f>
        <v>-3.8731299857726166E-3</v>
      </c>
      <c r="Q2101" s="4">
        <f t="shared" si="133"/>
        <v>8.3676912966870374E-4</v>
      </c>
      <c r="R2101" s="4">
        <f t="shared" si="133"/>
        <v>-2.475742988781891E-3</v>
      </c>
      <c r="S2101" s="4">
        <f t="shared" si="133"/>
        <v>-4.7715422529567175E-4</v>
      </c>
      <c r="T2101" s="4">
        <f t="shared" si="133"/>
        <v>-4.0064878044217198E-3</v>
      </c>
      <c r="U2101" s="35"/>
      <c r="V2101" s="35"/>
      <c r="W2101" s="35"/>
      <c r="X2101" s="35"/>
    </row>
    <row r="2102" spans="4:24" x14ac:dyDescent="0.3">
      <c r="D2102" s="23">
        <v>42632</v>
      </c>
      <c r="E2102" s="5">
        <v>187.63232400000001</v>
      </c>
      <c r="F2102" s="28">
        <v>67.824020000000004</v>
      </c>
      <c r="G2102" s="28">
        <v>125.32</v>
      </c>
      <c r="H2102" s="28">
        <v>110.5658</v>
      </c>
      <c r="I2102" s="28">
        <v>96.515739999999994</v>
      </c>
      <c r="J2102" s="29"/>
      <c r="K2102" s="29"/>
      <c r="L2102" s="29"/>
      <c r="M2102" s="29"/>
      <c r="N2102" s="29"/>
      <c r="P2102" s="4">
        <f t="shared" si="133"/>
        <v>1.8754923992036834E-4</v>
      </c>
      <c r="Q2102" s="4">
        <f t="shared" si="133"/>
        <v>-7.1704036530935303E-4</v>
      </c>
      <c r="R2102" s="4">
        <f t="shared" si="133"/>
        <v>2.0768439448390691E-3</v>
      </c>
      <c r="S2102" s="4">
        <f t="shared" si="133"/>
        <v>-4.3580249873980291E-3</v>
      </c>
      <c r="T2102" s="4">
        <f t="shared" si="133"/>
        <v>1.4587531623314054E-3</v>
      </c>
      <c r="U2102" s="35"/>
      <c r="V2102" s="35"/>
      <c r="W2102" s="35"/>
      <c r="X2102" s="35"/>
    </row>
    <row r="2103" spans="4:24" x14ac:dyDescent="0.3">
      <c r="D2103" s="23">
        <v>42633</v>
      </c>
      <c r="E2103" s="5">
        <v>187.64112900000001</v>
      </c>
      <c r="F2103" s="28">
        <v>67.840230000000005</v>
      </c>
      <c r="G2103" s="28">
        <v>125.44</v>
      </c>
      <c r="H2103" s="28">
        <v>110.77419999999999</v>
      </c>
      <c r="I2103" s="28">
        <v>96.471770000000006</v>
      </c>
      <c r="J2103" s="29"/>
      <c r="K2103" s="29"/>
      <c r="L2103" s="29"/>
      <c r="M2103" s="29"/>
      <c r="N2103" s="29"/>
      <c r="P2103" s="4">
        <f t="shared" si="133"/>
        <v>4.6925781353356598E-5</v>
      </c>
      <c r="Q2103" s="4">
        <f t="shared" si="133"/>
        <v>2.3897231698329603E-4</v>
      </c>
      <c r="R2103" s="4">
        <f t="shared" si="133"/>
        <v>9.5709051810673185E-4</v>
      </c>
      <c r="S2103" s="4">
        <f t="shared" si="133"/>
        <v>1.8830763674147876E-3</v>
      </c>
      <c r="T2103" s="4">
        <f t="shared" si="133"/>
        <v>-4.5567716543747571E-4</v>
      </c>
      <c r="U2103" s="35"/>
      <c r="V2103" s="35"/>
      <c r="W2103" s="35"/>
      <c r="X2103" s="35"/>
    </row>
    <row r="2104" spans="4:24" x14ac:dyDescent="0.3">
      <c r="D2104" s="23">
        <v>42634</v>
      </c>
      <c r="E2104" s="5">
        <v>189.751205</v>
      </c>
      <c r="F2104" s="28">
        <v>68.034970000000001</v>
      </c>
      <c r="G2104" s="28">
        <v>127.27</v>
      </c>
      <c r="H2104" s="28">
        <v>111.8629</v>
      </c>
      <c r="I2104" s="28">
        <v>97.579639999999998</v>
      </c>
      <c r="J2104" s="29"/>
      <c r="K2104" s="29"/>
      <c r="L2104" s="29"/>
      <c r="M2104" s="29"/>
      <c r="N2104" s="29"/>
      <c r="P2104" s="4">
        <f t="shared" si="133"/>
        <v>1.118251643379309E-2</v>
      </c>
      <c r="Q2104" s="4">
        <f t="shared" si="133"/>
        <v>2.8664558851241168E-3</v>
      </c>
      <c r="R2104" s="4">
        <f t="shared" si="133"/>
        <v>1.4483257401858046E-2</v>
      </c>
      <c r="S2104" s="4">
        <f t="shared" si="133"/>
        <v>9.7801191077194448E-3</v>
      </c>
      <c r="T2104" s="4">
        <f t="shared" si="133"/>
        <v>1.1418438413297897E-2</v>
      </c>
      <c r="U2104" s="35"/>
      <c r="V2104" s="35"/>
      <c r="W2104" s="35"/>
      <c r="X2104" s="35"/>
    </row>
    <row r="2105" spans="4:24" x14ac:dyDescent="0.3">
      <c r="D2105" s="23">
        <v>42635</v>
      </c>
      <c r="E2105" s="5">
        <v>190.946945</v>
      </c>
      <c r="F2105" s="28">
        <v>68.172889999999995</v>
      </c>
      <c r="G2105" s="28">
        <v>127.57</v>
      </c>
      <c r="H2105" s="28">
        <v>112.7529</v>
      </c>
      <c r="I2105" s="28">
        <v>98.291839999999993</v>
      </c>
      <c r="J2105" s="29"/>
      <c r="K2105" s="29"/>
      <c r="L2105" s="29"/>
      <c r="M2105" s="29"/>
      <c r="N2105" s="29"/>
      <c r="P2105" s="4">
        <f t="shared" si="133"/>
        <v>6.2818478742269245E-3</v>
      </c>
      <c r="Q2105" s="4">
        <f t="shared" si="133"/>
        <v>2.0251407978422297E-3</v>
      </c>
      <c r="R2105" s="4">
        <f t="shared" si="133"/>
        <v>2.3544195462428027E-3</v>
      </c>
      <c r="S2105" s="4">
        <f t="shared" si="133"/>
        <v>7.924684351750276E-3</v>
      </c>
      <c r="T2105" s="4">
        <f t="shared" si="133"/>
        <v>7.2721474169718464E-3</v>
      </c>
      <c r="U2105" s="35"/>
      <c r="V2105" s="35"/>
      <c r="W2105" s="35"/>
      <c r="X2105" s="35"/>
    </row>
    <row r="2106" spans="4:24" x14ac:dyDescent="0.3">
      <c r="D2106" s="23">
        <v>42636</v>
      </c>
      <c r="E2106" s="5">
        <v>189.900711</v>
      </c>
      <c r="F2106" s="28">
        <v>68.156700000000001</v>
      </c>
      <c r="G2106" s="28">
        <v>127.65</v>
      </c>
      <c r="H2106" s="28">
        <v>112.0334</v>
      </c>
      <c r="I2106" s="28">
        <v>97.729119999999995</v>
      </c>
      <c r="J2106" s="29"/>
      <c r="K2106" s="29"/>
      <c r="L2106" s="29"/>
      <c r="M2106" s="29"/>
      <c r="N2106" s="29"/>
      <c r="P2106" s="4">
        <f t="shared" si="133"/>
        <v>-5.4942527038746225E-3</v>
      </c>
      <c r="Q2106" s="4">
        <f t="shared" si="133"/>
        <v>-2.3751263502084727E-4</v>
      </c>
      <c r="R2106" s="4">
        <f t="shared" si="133"/>
        <v>6.2691013729422585E-4</v>
      </c>
      <c r="S2106" s="4">
        <f t="shared" si="133"/>
        <v>-6.4016575490937599E-3</v>
      </c>
      <c r="T2106" s="4">
        <f t="shared" si="133"/>
        <v>-5.741442606939969E-3</v>
      </c>
      <c r="U2106" s="35"/>
      <c r="V2106" s="35"/>
      <c r="W2106" s="35"/>
      <c r="X2106" s="35"/>
    </row>
    <row r="2107" spans="4:24" x14ac:dyDescent="0.3">
      <c r="D2107" s="23">
        <v>42639</v>
      </c>
      <c r="E2107" s="5">
        <v>188.36209099999999</v>
      </c>
      <c r="F2107" s="28">
        <v>68.270229999999998</v>
      </c>
      <c r="G2107" s="28">
        <v>127.55</v>
      </c>
      <c r="H2107" s="28">
        <v>111.09610000000001</v>
      </c>
      <c r="I2107" s="28">
        <v>96.955349999999996</v>
      </c>
      <c r="J2107" s="29"/>
      <c r="K2107" s="29"/>
      <c r="L2107" s="29"/>
      <c r="M2107" s="29"/>
      <c r="N2107" s="29"/>
      <c r="P2107" s="4">
        <f t="shared" si="133"/>
        <v>-8.135235490290842E-3</v>
      </c>
      <c r="Q2107" s="4">
        <f t="shared" si="133"/>
        <v>1.664334544603291E-3</v>
      </c>
      <c r="R2107" s="4">
        <f t="shared" si="133"/>
        <v>-7.8369909967254919E-4</v>
      </c>
      <c r="S2107" s="4">
        <f t="shared" si="133"/>
        <v>-8.4014486046763287E-3</v>
      </c>
      <c r="T2107" s="4">
        <f t="shared" si="133"/>
        <v>-7.9490066601329481E-3</v>
      </c>
      <c r="U2107" s="35"/>
      <c r="V2107" s="35"/>
      <c r="W2107" s="35"/>
      <c r="X2107" s="35"/>
    </row>
    <row r="2108" spans="4:24" x14ac:dyDescent="0.3">
      <c r="D2108" s="23">
        <v>42640</v>
      </c>
      <c r="E2108" s="5">
        <v>189.53144800000001</v>
      </c>
      <c r="F2108" s="28">
        <v>68.351370000000003</v>
      </c>
      <c r="G2108" s="28">
        <v>126.62</v>
      </c>
      <c r="H2108" s="28">
        <v>112.1943</v>
      </c>
      <c r="I2108" s="28">
        <v>97.509289999999993</v>
      </c>
      <c r="J2108" s="29"/>
      <c r="K2108" s="29"/>
      <c r="L2108" s="29"/>
      <c r="M2108" s="29"/>
      <c r="N2108" s="29"/>
      <c r="P2108" s="4">
        <f t="shared" si="133"/>
        <v>6.1888368637137712E-3</v>
      </c>
      <c r="Q2108" s="4">
        <f t="shared" si="133"/>
        <v>1.1878064601779966E-3</v>
      </c>
      <c r="R2108" s="4">
        <f t="shared" si="133"/>
        <v>-7.3179694718399002E-3</v>
      </c>
      <c r="S2108" s="4">
        <f t="shared" si="133"/>
        <v>9.8365971399953841E-3</v>
      </c>
      <c r="T2108" s="4">
        <f t="shared" si="133"/>
        <v>5.6970922658428512E-3</v>
      </c>
      <c r="U2108" s="35"/>
      <c r="V2108" s="35"/>
      <c r="W2108" s="35"/>
      <c r="X2108" s="35"/>
    </row>
    <row r="2109" spans="4:24" x14ac:dyDescent="0.3">
      <c r="D2109" s="23">
        <v>42641</v>
      </c>
      <c r="E2109" s="5">
        <v>190.472183</v>
      </c>
      <c r="F2109" s="28">
        <v>68.351370000000003</v>
      </c>
      <c r="G2109" s="28">
        <v>126.22</v>
      </c>
      <c r="H2109" s="28">
        <v>112.3837</v>
      </c>
      <c r="I2109" s="28">
        <v>98.080820000000003</v>
      </c>
      <c r="J2109" s="29"/>
      <c r="K2109" s="29"/>
      <c r="L2109" s="29"/>
      <c r="M2109" s="29"/>
      <c r="N2109" s="29"/>
      <c r="P2109" s="4">
        <f t="shared" si="133"/>
        <v>4.9511996467931163E-3</v>
      </c>
      <c r="Q2109" s="4">
        <f t="shared" si="133"/>
        <v>0</v>
      </c>
      <c r="R2109" s="4">
        <f t="shared" si="133"/>
        <v>-3.1640589598870713E-3</v>
      </c>
      <c r="S2109" s="4">
        <f t="shared" si="133"/>
        <v>1.6867194908134649E-3</v>
      </c>
      <c r="T2109" s="4">
        <f t="shared" si="133"/>
        <v>5.844177158937959E-3</v>
      </c>
      <c r="U2109" s="35"/>
      <c r="V2109" s="35"/>
      <c r="W2109" s="35"/>
      <c r="X2109" s="35"/>
    </row>
    <row r="2110" spans="4:24" x14ac:dyDescent="0.3">
      <c r="D2110" s="23">
        <v>42642</v>
      </c>
      <c r="E2110" s="5">
        <v>188.74891700000001</v>
      </c>
      <c r="F2110" s="28">
        <v>68.35951</v>
      </c>
      <c r="G2110" s="28">
        <v>126.07</v>
      </c>
      <c r="H2110" s="28">
        <v>111.5694</v>
      </c>
      <c r="I2110" s="28">
        <v>97.122439999999997</v>
      </c>
      <c r="J2110" s="29"/>
      <c r="K2110" s="29"/>
      <c r="L2110" s="29"/>
      <c r="M2110" s="29"/>
      <c r="N2110" s="29"/>
      <c r="P2110" s="4">
        <f t="shared" si="133"/>
        <v>-9.0885125429477701E-3</v>
      </c>
      <c r="Q2110" s="4">
        <f t="shared" si="133"/>
        <v>1.1908342641953107E-4</v>
      </c>
      <c r="R2110" s="4">
        <f t="shared" si="133"/>
        <v>-1.18910791291547E-3</v>
      </c>
      <c r="S2110" s="4">
        <f t="shared" si="133"/>
        <v>-7.2720903489998734E-3</v>
      </c>
      <c r="T2110" s="4">
        <f t="shared" si="133"/>
        <v>-9.8193821208939908E-3</v>
      </c>
      <c r="U2110" s="35"/>
      <c r="V2110" s="35"/>
      <c r="W2110" s="35"/>
      <c r="X2110" s="35"/>
    </row>
    <row r="2111" spans="4:24" x14ac:dyDescent="0.3">
      <c r="D2111" s="23">
        <v>42643</v>
      </c>
      <c r="E2111" s="5">
        <v>190.17323300000001</v>
      </c>
      <c r="F2111" s="28">
        <v>68.270229999999998</v>
      </c>
      <c r="G2111" s="28">
        <v>125.64</v>
      </c>
      <c r="H2111" s="28">
        <v>112.40260000000001</v>
      </c>
      <c r="I2111" s="28">
        <v>97.887379999999993</v>
      </c>
      <c r="J2111" s="29"/>
      <c r="K2111" s="29"/>
      <c r="L2111" s="29"/>
      <c r="M2111" s="29"/>
      <c r="N2111" s="29"/>
      <c r="P2111" s="4">
        <f t="shared" si="133"/>
        <v>7.5177590337775508E-3</v>
      </c>
      <c r="Q2111" s="4">
        <f t="shared" si="133"/>
        <v>-1.306889886597648E-3</v>
      </c>
      <c r="R2111" s="4">
        <f t="shared" si="133"/>
        <v>-3.4166335727321361E-3</v>
      </c>
      <c r="S2111" s="4">
        <f t="shared" si="133"/>
        <v>7.4402500637560523E-3</v>
      </c>
      <c r="T2111" s="4">
        <f t="shared" si="133"/>
        <v>7.8451836251477204E-3</v>
      </c>
      <c r="U2111" s="35"/>
      <c r="V2111" s="35"/>
      <c r="W2111" s="35"/>
      <c r="X2111" s="35"/>
    </row>
    <row r="2112" spans="4:24" x14ac:dyDescent="0.3">
      <c r="D2112" s="23">
        <v>42646</v>
      </c>
      <c r="E2112" s="5">
        <v>189.716049</v>
      </c>
      <c r="F2112" s="28">
        <v>68.197909999999993</v>
      </c>
      <c r="G2112" s="28">
        <v>125.32</v>
      </c>
      <c r="H2112" s="28">
        <v>112.24169999999999</v>
      </c>
      <c r="I2112" s="28">
        <v>97.588419999999999</v>
      </c>
      <c r="J2112" s="29"/>
      <c r="K2112" s="29"/>
      <c r="L2112" s="29"/>
      <c r="M2112" s="29"/>
      <c r="N2112" s="29"/>
      <c r="P2112" s="4">
        <f t="shared" si="133"/>
        <v>-2.4069340325226095E-3</v>
      </c>
      <c r="Q2112" s="4">
        <f t="shared" si="133"/>
        <v>-1.05988118208465E-3</v>
      </c>
      <c r="R2112" s="4">
        <f t="shared" si="133"/>
        <v>-2.5502085864548339E-3</v>
      </c>
      <c r="S2112" s="4">
        <f t="shared" si="133"/>
        <v>-1.4324870696845202E-3</v>
      </c>
      <c r="T2112" s="4">
        <f t="shared" si="133"/>
        <v>-3.0587953403419582E-3</v>
      </c>
      <c r="U2112" s="35"/>
      <c r="V2112" s="35"/>
      <c r="W2112" s="35"/>
      <c r="X2112" s="35"/>
    </row>
    <row r="2113" spans="4:24" x14ac:dyDescent="0.3">
      <c r="D2113" s="23">
        <v>42647</v>
      </c>
      <c r="E2113" s="5">
        <v>188.74891700000001</v>
      </c>
      <c r="F2113" s="28">
        <v>67.970299999999995</v>
      </c>
      <c r="G2113" s="28">
        <v>120.97</v>
      </c>
      <c r="H2113" s="28">
        <v>112.07129999999999</v>
      </c>
      <c r="I2113" s="28">
        <v>97.148780000000002</v>
      </c>
      <c r="J2113" s="29"/>
      <c r="K2113" s="29"/>
      <c r="L2113" s="29"/>
      <c r="M2113" s="29"/>
      <c r="N2113" s="29"/>
      <c r="P2113" s="4">
        <f t="shared" si="133"/>
        <v>-5.1108250012549565E-3</v>
      </c>
      <c r="Q2113" s="4">
        <f t="shared" si="133"/>
        <v>-3.3430741578152866E-3</v>
      </c>
      <c r="R2113" s="4">
        <f t="shared" si="133"/>
        <v>-3.53278851122341E-2</v>
      </c>
      <c r="S2113" s="4">
        <f t="shared" si="133"/>
        <v>-1.5193059053886535E-3</v>
      </c>
      <c r="T2113" s="4">
        <f t="shared" si="133"/>
        <v>-4.5152209944432338E-3</v>
      </c>
      <c r="U2113" s="35"/>
      <c r="V2113" s="35"/>
      <c r="W2113" s="35"/>
      <c r="X2113" s="35"/>
    </row>
    <row r="2114" spans="4:24" x14ac:dyDescent="0.3">
      <c r="D2114" s="23">
        <v>42648</v>
      </c>
      <c r="E2114" s="5">
        <v>189.584137</v>
      </c>
      <c r="F2114" s="28">
        <v>67.856480000000005</v>
      </c>
      <c r="G2114" s="28">
        <v>120.78</v>
      </c>
      <c r="H2114" s="28">
        <v>112.4689</v>
      </c>
      <c r="I2114" s="28">
        <v>97.526880000000006</v>
      </c>
      <c r="J2114" s="29"/>
      <c r="K2114" s="29"/>
      <c r="L2114" s="29"/>
      <c r="M2114" s="29"/>
      <c r="N2114" s="29"/>
      <c r="P2114" s="4">
        <f t="shared" si="133"/>
        <v>4.4152703446156639E-3</v>
      </c>
      <c r="Q2114" s="4">
        <f t="shared" si="133"/>
        <v>-1.6759585501741217E-3</v>
      </c>
      <c r="R2114" s="4">
        <f t="shared" si="133"/>
        <v>-1.5718720920017235E-3</v>
      </c>
      <c r="S2114" s="4">
        <f t="shared" si="133"/>
        <v>3.5414630926390795E-3</v>
      </c>
      <c r="T2114" s="4">
        <f t="shared" si="133"/>
        <v>3.8844144709093589E-3</v>
      </c>
      <c r="U2114" s="35"/>
      <c r="V2114" s="35"/>
      <c r="W2114" s="35"/>
      <c r="X2114" s="35"/>
    </row>
    <row r="2115" spans="4:24" x14ac:dyDescent="0.3">
      <c r="D2115" s="23">
        <v>42649</v>
      </c>
      <c r="E2115" s="5">
        <v>189.716049</v>
      </c>
      <c r="F2115" s="28">
        <v>67.832080000000005</v>
      </c>
      <c r="G2115" s="28">
        <v>119.66</v>
      </c>
      <c r="H2115" s="28">
        <v>112.4121</v>
      </c>
      <c r="I2115" s="28">
        <v>97.562060000000002</v>
      </c>
      <c r="J2115" s="29"/>
      <c r="K2115" s="29"/>
      <c r="L2115" s="29"/>
      <c r="M2115" s="29"/>
      <c r="N2115" s="29"/>
      <c r="P2115" s="4">
        <f t="shared" si="133"/>
        <v>6.9555465663920094E-4</v>
      </c>
      <c r="Q2115" s="4">
        <f t="shared" si="133"/>
        <v>-3.5964712519616452E-4</v>
      </c>
      <c r="R2115" s="4">
        <f t="shared" si="133"/>
        <v>-9.3163209178693841E-3</v>
      </c>
      <c r="S2115" s="4">
        <f t="shared" si="133"/>
        <v>-5.0515607105863325E-4</v>
      </c>
      <c r="T2115" s="4">
        <f t="shared" si="133"/>
        <v>3.6065602059589787E-4</v>
      </c>
      <c r="U2115" s="35"/>
      <c r="V2115" s="35"/>
      <c r="W2115" s="35"/>
      <c r="X2115" s="35"/>
    </row>
    <row r="2116" spans="4:24" x14ac:dyDescent="0.3">
      <c r="D2116" s="23">
        <v>42650</v>
      </c>
      <c r="E2116" s="5">
        <v>189.06542999999999</v>
      </c>
      <c r="F2116" s="28">
        <v>67.888990000000007</v>
      </c>
      <c r="G2116" s="28">
        <v>119.74</v>
      </c>
      <c r="H2116" s="28">
        <v>112.16589999999999</v>
      </c>
      <c r="I2116" s="28">
        <v>97.192769999999996</v>
      </c>
      <c r="J2116" s="29"/>
      <c r="K2116" s="29"/>
      <c r="L2116" s="29"/>
      <c r="M2116" s="29"/>
      <c r="N2116" s="29"/>
      <c r="P2116" s="4">
        <f t="shared" si="133"/>
        <v>-3.4353297398473661E-3</v>
      </c>
      <c r="Q2116" s="4">
        <f t="shared" si="133"/>
        <v>8.3863181060129686E-4</v>
      </c>
      <c r="R2116" s="4">
        <f t="shared" si="133"/>
        <v>6.6833753532020057E-4</v>
      </c>
      <c r="S2116" s="4">
        <f t="shared" si="133"/>
        <v>-2.1925575847139239E-3</v>
      </c>
      <c r="T2116" s="4">
        <f t="shared" si="133"/>
        <v>-3.792362352136151E-3</v>
      </c>
      <c r="U2116" s="35"/>
      <c r="V2116" s="35"/>
      <c r="W2116" s="35"/>
      <c r="X2116" s="35"/>
    </row>
    <row r="2117" spans="4:24" x14ac:dyDescent="0.3">
      <c r="D2117" s="23">
        <v>42653</v>
      </c>
      <c r="E2117" s="5">
        <v>190.05015599999999</v>
      </c>
      <c r="F2117" s="28">
        <v>67.815870000000004</v>
      </c>
      <c r="G2117" s="28">
        <v>120.16</v>
      </c>
      <c r="H2117" s="28">
        <v>112.876</v>
      </c>
      <c r="I2117" s="28">
        <v>97.720309999999998</v>
      </c>
      <c r="J2117" s="29"/>
      <c r="K2117" s="29"/>
      <c r="L2117" s="29"/>
      <c r="M2117" s="29"/>
      <c r="N2117" s="29"/>
      <c r="P2117" s="4">
        <f t="shared" ref="P2117:T2132" si="134">LN(E2117/E2116)</f>
        <v>5.1948706458064056E-3</v>
      </c>
      <c r="Q2117" s="4">
        <f t="shared" si="134"/>
        <v>-1.077632843453768E-3</v>
      </c>
      <c r="R2117" s="4">
        <f t="shared" si="134"/>
        <v>3.5014625186186202E-3</v>
      </c>
      <c r="S2117" s="4">
        <f t="shared" si="134"/>
        <v>6.3108457291533564E-3</v>
      </c>
      <c r="T2117" s="4">
        <f t="shared" si="134"/>
        <v>5.4130927297989656E-3</v>
      </c>
      <c r="U2117" s="35"/>
      <c r="V2117" s="35"/>
      <c r="W2117" s="35"/>
      <c r="X2117" s="35"/>
    </row>
    <row r="2118" spans="4:24" x14ac:dyDescent="0.3">
      <c r="D2118" s="23">
        <v>42654</v>
      </c>
      <c r="E2118" s="5">
        <v>187.64988700000001</v>
      </c>
      <c r="F2118" s="28">
        <v>67.710130000000007</v>
      </c>
      <c r="G2118" s="28">
        <v>119.55</v>
      </c>
      <c r="H2118" s="28">
        <v>111.26649999999999</v>
      </c>
      <c r="I2118" s="28">
        <v>96.419020000000003</v>
      </c>
      <c r="J2118" s="29"/>
      <c r="K2118" s="29"/>
      <c r="L2118" s="29"/>
      <c r="M2118" s="29"/>
      <c r="N2118" s="29"/>
      <c r="P2118" s="4">
        <f t="shared" si="134"/>
        <v>-1.2710092875612861E-2</v>
      </c>
      <c r="Q2118" s="4">
        <f t="shared" si="134"/>
        <v>-1.5604389040647195E-3</v>
      </c>
      <c r="R2118" s="4">
        <f t="shared" si="134"/>
        <v>-5.0894941114908955E-3</v>
      </c>
      <c r="S2118" s="4">
        <f t="shared" si="134"/>
        <v>-1.4361646400035044E-2</v>
      </c>
      <c r="T2118" s="4">
        <f t="shared" si="134"/>
        <v>-1.3405933654205346E-2</v>
      </c>
      <c r="U2118" s="35"/>
      <c r="V2118" s="35"/>
      <c r="W2118" s="35"/>
      <c r="X2118" s="35"/>
    </row>
    <row r="2119" spans="4:24" x14ac:dyDescent="0.3">
      <c r="D2119" s="23">
        <v>42655</v>
      </c>
      <c r="E2119" s="5">
        <v>187.89614900000001</v>
      </c>
      <c r="F2119" s="28">
        <v>67.750739999999993</v>
      </c>
      <c r="G2119" s="28">
        <v>119.74</v>
      </c>
      <c r="H2119" s="28">
        <v>111.1718</v>
      </c>
      <c r="I2119" s="28">
        <v>96.533330000000007</v>
      </c>
      <c r="J2119" s="29"/>
      <c r="K2119" s="29"/>
      <c r="L2119" s="29"/>
      <c r="M2119" s="29"/>
      <c r="N2119" s="29"/>
      <c r="P2119" s="4">
        <f t="shared" si="134"/>
        <v>1.311487869346441E-3</v>
      </c>
      <c r="Q2119" s="4">
        <f t="shared" si="134"/>
        <v>5.995827609343782E-4</v>
      </c>
      <c r="R2119" s="4">
        <f t="shared" si="134"/>
        <v>1.5880315928723258E-3</v>
      </c>
      <c r="S2119" s="4">
        <f t="shared" si="134"/>
        <v>-8.5147212257501203E-4</v>
      </c>
      <c r="T2119" s="4">
        <f t="shared" si="134"/>
        <v>1.1848522536583841E-3</v>
      </c>
      <c r="U2119" s="35"/>
      <c r="V2119" s="35"/>
      <c r="W2119" s="35"/>
      <c r="X2119" s="35"/>
    </row>
    <row r="2120" spans="4:24" x14ac:dyDescent="0.3">
      <c r="D2120" s="23">
        <v>42656</v>
      </c>
      <c r="E2120" s="5">
        <v>187.280609</v>
      </c>
      <c r="F2120" s="28">
        <v>67.832080000000005</v>
      </c>
      <c r="G2120" s="28">
        <v>120.03</v>
      </c>
      <c r="H2120" s="28">
        <v>110.77419999999999</v>
      </c>
      <c r="I2120" s="28">
        <v>96.190399999999997</v>
      </c>
      <c r="J2120" s="29"/>
      <c r="K2120" s="29"/>
      <c r="L2120" s="29"/>
      <c r="M2120" s="29"/>
      <c r="N2120" s="29"/>
      <c r="P2120" s="4">
        <f t="shared" si="134"/>
        <v>-3.2813362724446182E-3</v>
      </c>
      <c r="Q2120" s="4">
        <f t="shared" si="134"/>
        <v>1.1998571759826641E-3</v>
      </c>
      <c r="R2120" s="4">
        <f t="shared" si="134"/>
        <v>2.418986040047354E-3</v>
      </c>
      <c r="S2120" s="4">
        <f t="shared" si="134"/>
        <v>-3.5828573196011854E-3</v>
      </c>
      <c r="T2120" s="4">
        <f t="shared" si="134"/>
        <v>-3.5587767207585414E-3</v>
      </c>
      <c r="U2120" s="35"/>
      <c r="V2120" s="35"/>
      <c r="W2120" s="35"/>
      <c r="X2120" s="35"/>
    </row>
    <row r="2121" spans="4:24" x14ac:dyDescent="0.3">
      <c r="D2121" s="23">
        <v>42657</v>
      </c>
      <c r="E2121" s="5">
        <v>187.377319</v>
      </c>
      <c r="F2121" s="28">
        <v>67.693860000000001</v>
      </c>
      <c r="G2121" s="28">
        <v>119.36</v>
      </c>
      <c r="H2121" s="28">
        <v>110.9067</v>
      </c>
      <c r="I2121" s="28">
        <v>96.164029999999997</v>
      </c>
      <c r="J2121" s="29"/>
      <c r="K2121" s="29"/>
      <c r="L2121" s="29"/>
      <c r="M2121" s="29"/>
      <c r="N2121" s="29"/>
      <c r="P2121" s="4">
        <f t="shared" si="134"/>
        <v>5.1625760417875965E-4</v>
      </c>
      <c r="Q2121" s="4">
        <f t="shared" si="134"/>
        <v>-2.0397578194006659E-3</v>
      </c>
      <c r="R2121" s="4">
        <f t="shared" si="134"/>
        <v>-5.5975750818026927E-3</v>
      </c>
      <c r="S2121" s="4">
        <f t="shared" si="134"/>
        <v>1.195412106127973E-3</v>
      </c>
      <c r="T2121" s="4">
        <f t="shared" si="134"/>
        <v>-2.7418136577565729E-4</v>
      </c>
      <c r="U2121" s="35"/>
      <c r="V2121" s="35"/>
      <c r="W2121" s="35"/>
      <c r="X2121" s="35"/>
    </row>
    <row r="2122" spans="4:24" x14ac:dyDescent="0.3">
      <c r="D2122" s="23">
        <v>42660</v>
      </c>
      <c r="E2122" s="5">
        <v>186.72671500000001</v>
      </c>
      <c r="F2122" s="28">
        <v>67.840230000000005</v>
      </c>
      <c r="G2122" s="28">
        <v>119.68</v>
      </c>
      <c r="H2122" s="28">
        <v>110.6037</v>
      </c>
      <c r="I2122" s="28">
        <v>95.891459999999995</v>
      </c>
      <c r="J2122" s="29"/>
      <c r="K2122" s="29"/>
      <c r="L2122" s="29"/>
      <c r="M2122" s="29"/>
      <c r="N2122" s="29"/>
      <c r="P2122" s="4">
        <f t="shared" si="134"/>
        <v>-3.4782017662553276E-3</v>
      </c>
      <c r="Q2122" s="4">
        <f t="shared" si="134"/>
        <v>2.1599002421220583E-3</v>
      </c>
      <c r="R2122" s="4">
        <f t="shared" si="134"/>
        <v>2.6773777707163942E-3</v>
      </c>
      <c r="S2122" s="4">
        <f t="shared" si="134"/>
        <v>-2.7357649029690857E-3</v>
      </c>
      <c r="T2122" s="4">
        <f t="shared" si="134"/>
        <v>-2.8384523973122894E-3</v>
      </c>
      <c r="U2122" s="35"/>
      <c r="V2122" s="35"/>
      <c r="W2122" s="35"/>
      <c r="X2122" s="35"/>
    </row>
    <row r="2123" spans="4:24" x14ac:dyDescent="0.3">
      <c r="D2123" s="23">
        <v>42661</v>
      </c>
      <c r="E2123" s="5">
        <v>187.89614900000001</v>
      </c>
      <c r="F2123" s="28">
        <v>67.929640000000006</v>
      </c>
      <c r="G2123" s="28">
        <v>120.42</v>
      </c>
      <c r="H2123" s="28">
        <v>111.58839999999999</v>
      </c>
      <c r="I2123" s="28">
        <v>96.454189999999997</v>
      </c>
      <c r="J2123" s="29"/>
      <c r="K2123" s="29"/>
      <c r="L2123" s="29"/>
      <c r="M2123" s="29"/>
      <c r="N2123" s="29"/>
      <c r="P2123" s="4">
        <f t="shared" si="134"/>
        <v>6.2432804345211503E-3</v>
      </c>
      <c r="Q2123" s="4">
        <f t="shared" si="134"/>
        <v>1.3170818079887719E-3</v>
      </c>
      <c r="R2123" s="4">
        <f t="shared" si="134"/>
        <v>6.1641178101345898E-3</v>
      </c>
      <c r="S2123" s="4">
        <f t="shared" si="134"/>
        <v>8.8635594759189865E-3</v>
      </c>
      <c r="T2123" s="4">
        <f t="shared" si="134"/>
        <v>5.85125377696532E-3</v>
      </c>
      <c r="U2123" s="35"/>
      <c r="V2123" s="35"/>
      <c r="W2123" s="35"/>
      <c r="X2123" s="35"/>
    </row>
    <row r="2124" spans="4:24" x14ac:dyDescent="0.3">
      <c r="D2124" s="23">
        <v>42662</v>
      </c>
      <c r="E2124" s="5">
        <v>188.39726300000001</v>
      </c>
      <c r="F2124" s="28">
        <v>67.978380000000001</v>
      </c>
      <c r="G2124" s="28">
        <v>121.11</v>
      </c>
      <c r="H2124" s="28">
        <v>111.5789</v>
      </c>
      <c r="I2124" s="28">
        <v>96.761949999999999</v>
      </c>
      <c r="J2124" s="29"/>
      <c r="K2124" s="29"/>
      <c r="L2124" s="29"/>
      <c r="M2124" s="29"/>
      <c r="N2124" s="29"/>
      <c r="P2124" s="4">
        <f t="shared" si="134"/>
        <v>2.663423170610601E-3</v>
      </c>
      <c r="Q2124" s="4">
        <f t="shared" si="134"/>
        <v>7.1724982954662539E-4</v>
      </c>
      <c r="R2124" s="4">
        <f t="shared" si="134"/>
        <v>5.7135914966574422E-3</v>
      </c>
      <c r="S2124" s="4">
        <f t="shared" si="134"/>
        <v>-8.5137921243175408E-5</v>
      </c>
      <c r="T2124" s="4">
        <f t="shared" si="134"/>
        <v>3.1856578883421405E-3</v>
      </c>
      <c r="U2124" s="35"/>
      <c r="V2124" s="35"/>
      <c r="W2124" s="35"/>
      <c r="X2124" s="35"/>
    </row>
    <row r="2125" spans="4:24" x14ac:dyDescent="0.3">
      <c r="D2125" s="23">
        <v>42663</v>
      </c>
      <c r="E2125" s="5">
        <v>188.04556299999999</v>
      </c>
      <c r="F2125" s="28">
        <v>67.937740000000005</v>
      </c>
      <c r="G2125" s="28">
        <v>120.74</v>
      </c>
      <c r="H2125" s="28">
        <v>111.4464</v>
      </c>
      <c r="I2125" s="28">
        <v>96.577290000000005</v>
      </c>
      <c r="J2125" s="29"/>
      <c r="K2125" s="29"/>
      <c r="L2125" s="29"/>
      <c r="M2125" s="29"/>
      <c r="N2125" s="29"/>
      <c r="P2125" s="4">
        <f t="shared" si="134"/>
        <v>-1.8685445865229294E-3</v>
      </c>
      <c r="Q2125" s="4">
        <f t="shared" si="134"/>
        <v>-5.9801591174244166E-4</v>
      </c>
      <c r="R2125" s="4">
        <f t="shared" si="134"/>
        <v>-3.0597501646790551E-3</v>
      </c>
      <c r="S2125" s="4">
        <f t="shared" si="134"/>
        <v>-1.1882061415364568E-3</v>
      </c>
      <c r="T2125" s="4">
        <f t="shared" si="134"/>
        <v>-1.9102180824853816E-3</v>
      </c>
      <c r="U2125" s="35"/>
      <c r="V2125" s="35"/>
      <c r="W2125" s="35"/>
      <c r="X2125" s="35"/>
    </row>
    <row r="2126" spans="4:24" x14ac:dyDescent="0.3">
      <c r="D2126" s="23">
        <v>42664</v>
      </c>
      <c r="E2126" s="5">
        <v>188.133499</v>
      </c>
      <c r="F2126" s="28">
        <v>67.994680000000002</v>
      </c>
      <c r="G2126" s="28">
        <v>120.83</v>
      </c>
      <c r="H2126" s="28">
        <v>111.8629</v>
      </c>
      <c r="I2126" s="28">
        <v>96.542090000000002</v>
      </c>
      <c r="J2126" s="29"/>
      <c r="K2126" s="29"/>
      <c r="L2126" s="29"/>
      <c r="M2126" s="29"/>
      <c r="N2126" s="29"/>
      <c r="P2126" s="4">
        <f t="shared" si="134"/>
        <v>4.6752204194580967E-4</v>
      </c>
      <c r="Q2126" s="4">
        <f t="shared" si="134"/>
        <v>8.3776928756677544E-4</v>
      </c>
      <c r="R2126" s="4">
        <f t="shared" si="134"/>
        <v>7.4512567093671549E-4</v>
      </c>
      <c r="S2126" s="4">
        <f t="shared" si="134"/>
        <v>3.7302564914213662E-3</v>
      </c>
      <c r="T2126" s="4">
        <f t="shared" si="134"/>
        <v>-3.6454135664493447E-4</v>
      </c>
      <c r="U2126" s="35"/>
      <c r="V2126" s="35"/>
      <c r="W2126" s="35"/>
      <c r="X2126" s="35"/>
    </row>
    <row r="2127" spans="4:24" x14ac:dyDescent="0.3">
      <c r="D2127" s="23">
        <v>42667</v>
      </c>
      <c r="E2127" s="5">
        <v>188.93357800000001</v>
      </c>
      <c r="F2127" s="28">
        <v>67.897099999999995</v>
      </c>
      <c r="G2127" s="28">
        <v>120.56</v>
      </c>
      <c r="H2127" s="28">
        <v>113.20740000000001</v>
      </c>
      <c r="I2127" s="28">
        <v>97.025710000000004</v>
      </c>
      <c r="J2127" s="29"/>
      <c r="K2127" s="29"/>
      <c r="L2127" s="29"/>
      <c r="M2127" s="29"/>
      <c r="N2127" s="29"/>
      <c r="P2127" s="4">
        <f t="shared" si="134"/>
        <v>4.2437022456817339E-3</v>
      </c>
      <c r="Q2127" s="4">
        <f t="shared" si="134"/>
        <v>-1.4361430363429295E-3</v>
      </c>
      <c r="R2127" s="4">
        <f t="shared" si="134"/>
        <v>-2.2370447209767758E-3</v>
      </c>
      <c r="S2127" s="4">
        <f t="shared" si="134"/>
        <v>1.194752033611478E-2</v>
      </c>
      <c r="T2127" s="4">
        <f t="shared" si="134"/>
        <v>4.9969158744241834E-3</v>
      </c>
      <c r="U2127" s="35"/>
      <c r="V2127" s="35"/>
      <c r="W2127" s="35"/>
      <c r="X2127" s="35"/>
    </row>
    <row r="2128" spans="4:24" x14ac:dyDescent="0.3">
      <c r="D2128" s="23">
        <v>42668</v>
      </c>
      <c r="E2128" s="5">
        <v>188.300522</v>
      </c>
      <c r="F2128" s="28">
        <v>67.897099999999995</v>
      </c>
      <c r="G2128" s="28">
        <v>121.47</v>
      </c>
      <c r="H2128" s="28">
        <v>112.8476</v>
      </c>
      <c r="I2128" s="28">
        <v>96.612449999999995</v>
      </c>
      <c r="J2128" s="29"/>
      <c r="K2128" s="29"/>
      <c r="L2128" s="29"/>
      <c r="M2128" s="29"/>
      <c r="N2128" s="29"/>
      <c r="P2128" s="4">
        <f t="shared" si="134"/>
        <v>-3.3563063056613355E-3</v>
      </c>
      <c r="Q2128" s="4">
        <f t="shared" si="134"/>
        <v>0</v>
      </c>
      <c r="R2128" s="4">
        <f t="shared" si="134"/>
        <v>7.5197643939392978E-3</v>
      </c>
      <c r="S2128" s="4">
        <f t="shared" si="134"/>
        <v>-3.1832987886381624E-3</v>
      </c>
      <c r="T2128" s="4">
        <f t="shared" si="134"/>
        <v>-4.2683800283390043E-3</v>
      </c>
      <c r="U2128" s="35"/>
      <c r="V2128" s="35"/>
      <c r="W2128" s="35"/>
      <c r="X2128" s="35"/>
    </row>
    <row r="2129" spans="4:24" x14ac:dyDescent="0.3">
      <c r="D2129" s="23">
        <v>42669</v>
      </c>
      <c r="E2129" s="5">
        <v>187.922516</v>
      </c>
      <c r="F2129" s="28">
        <v>67.775180000000006</v>
      </c>
      <c r="G2129" s="28">
        <v>120.79</v>
      </c>
      <c r="H2129" s="28">
        <v>112.08069999999999</v>
      </c>
      <c r="I2129" s="28">
        <v>96.322320000000005</v>
      </c>
      <c r="J2129" s="29"/>
      <c r="K2129" s="29"/>
      <c r="L2129" s="29"/>
      <c r="M2129" s="29"/>
      <c r="N2129" s="29"/>
      <c r="P2129" s="4">
        <f t="shared" si="134"/>
        <v>-2.0094788942679439E-3</v>
      </c>
      <c r="Q2129" s="4">
        <f t="shared" si="134"/>
        <v>-1.7972725573522144E-3</v>
      </c>
      <c r="R2129" s="4">
        <f t="shared" si="134"/>
        <v>-5.6138180949923617E-3</v>
      </c>
      <c r="S2129" s="4">
        <f t="shared" si="134"/>
        <v>-6.8190883204380789E-3</v>
      </c>
      <c r="T2129" s="4">
        <f t="shared" si="134"/>
        <v>-3.0075472523037579E-3</v>
      </c>
      <c r="U2129" s="35"/>
      <c r="V2129" s="35"/>
      <c r="W2129" s="35"/>
      <c r="X2129" s="35"/>
    </row>
    <row r="2130" spans="4:24" x14ac:dyDescent="0.3">
      <c r="D2130" s="23">
        <v>42670</v>
      </c>
      <c r="E2130" s="5">
        <v>187.42132599999999</v>
      </c>
      <c r="F2130" s="28">
        <v>67.588229999999996</v>
      </c>
      <c r="G2130" s="28">
        <v>121.01</v>
      </c>
      <c r="H2130" s="28">
        <v>111.5694</v>
      </c>
      <c r="I2130" s="28">
        <v>95.996979999999994</v>
      </c>
      <c r="J2130" s="29"/>
      <c r="K2130" s="29"/>
      <c r="L2130" s="29"/>
      <c r="M2130" s="29"/>
      <c r="N2130" s="29"/>
      <c r="P2130" s="4">
        <f t="shared" si="134"/>
        <v>-2.6705662477378221E-3</v>
      </c>
      <c r="Q2130" s="4">
        <f t="shared" si="134"/>
        <v>-2.7621957641989522E-3</v>
      </c>
      <c r="R2130" s="4">
        <f t="shared" si="134"/>
        <v>1.8196861927741029E-3</v>
      </c>
      <c r="S2130" s="4">
        <f t="shared" si="134"/>
        <v>-4.5723287472494382E-3</v>
      </c>
      <c r="T2130" s="4">
        <f t="shared" si="134"/>
        <v>-3.3833350094972414E-3</v>
      </c>
      <c r="U2130" s="35"/>
      <c r="V2130" s="35"/>
      <c r="W2130" s="35"/>
      <c r="X2130" s="35"/>
    </row>
    <row r="2131" spans="4:24" x14ac:dyDescent="0.3">
      <c r="D2131" s="23">
        <v>42671</v>
      </c>
      <c r="E2131" s="5">
        <v>186.867401</v>
      </c>
      <c r="F2131" s="28">
        <v>67.555679999999995</v>
      </c>
      <c r="G2131" s="28">
        <v>121.58</v>
      </c>
      <c r="H2131" s="28">
        <v>110.86879999999999</v>
      </c>
      <c r="I2131" s="28">
        <v>95.680440000000004</v>
      </c>
      <c r="J2131" s="29"/>
      <c r="K2131" s="29"/>
      <c r="L2131" s="29"/>
      <c r="M2131" s="29"/>
      <c r="N2131" s="29"/>
      <c r="P2131" s="4">
        <f t="shared" si="134"/>
        <v>-2.9598829163082962E-3</v>
      </c>
      <c r="Q2131" s="4">
        <f t="shared" si="134"/>
        <v>-4.8170873004074922E-4</v>
      </c>
      <c r="R2131" s="4">
        <f t="shared" si="134"/>
        <v>4.6992955106151474E-3</v>
      </c>
      <c r="S2131" s="4">
        <f t="shared" si="134"/>
        <v>-6.2992985621804429E-3</v>
      </c>
      <c r="T2131" s="4">
        <f t="shared" si="134"/>
        <v>-3.3028437857238681E-3</v>
      </c>
      <c r="U2131" s="35"/>
      <c r="V2131" s="35"/>
      <c r="W2131" s="35"/>
      <c r="X2131" s="35"/>
    </row>
    <row r="2132" spans="4:24" x14ac:dyDescent="0.3">
      <c r="D2132" s="23">
        <v>42674</v>
      </c>
      <c r="E2132" s="5">
        <v>186.876205</v>
      </c>
      <c r="F2132" s="28">
        <v>67.62885</v>
      </c>
      <c r="G2132" s="28">
        <v>121.94</v>
      </c>
      <c r="H2132" s="28">
        <v>110.7647</v>
      </c>
      <c r="I2132" s="28">
        <v>95.741969999999995</v>
      </c>
      <c r="J2132" s="29"/>
      <c r="K2132" s="29"/>
      <c r="L2132" s="29"/>
      <c r="M2132" s="29"/>
      <c r="N2132" s="29"/>
      <c r="P2132" s="4">
        <f t="shared" si="134"/>
        <v>4.7112511680760105E-5</v>
      </c>
      <c r="Q2132" s="4">
        <f t="shared" si="134"/>
        <v>1.082520420722052E-3</v>
      </c>
      <c r="R2132" s="4">
        <f t="shared" si="134"/>
        <v>2.9566381590935406E-3</v>
      </c>
      <c r="S2132" s="4">
        <f t="shared" si="134"/>
        <v>-9.3938874452870647E-4</v>
      </c>
      <c r="T2132" s="4">
        <f t="shared" si="134"/>
        <v>6.4287146023406716E-4</v>
      </c>
      <c r="U2132" s="35"/>
      <c r="V2132" s="35"/>
      <c r="W2132" s="35"/>
      <c r="X2132" s="35"/>
    </row>
    <row r="2133" spans="4:24" x14ac:dyDescent="0.3">
      <c r="D2133" s="23">
        <v>42675</v>
      </c>
      <c r="E2133" s="5">
        <v>185.52226300000001</v>
      </c>
      <c r="F2133" s="28">
        <v>67.606840000000005</v>
      </c>
      <c r="G2133" s="28">
        <v>122.73</v>
      </c>
      <c r="H2133" s="28">
        <v>109.9315</v>
      </c>
      <c r="I2133" s="28">
        <v>95.029809999999998</v>
      </c>
      <c r="J2133" s="29"/>
      <c r="K2133" s="29"/>
      <c r="L2133" s="29"/>
      <c r="M2133" s="29"/>
      <c r="N2133" s="29"/>
      <c r="P2133" s="4">
        <f t="shared" ref="P2133:T2148" si="135">LN(E2133/E2132)</f>
        <v>-7.2715012660647211E-3</v>
      </c>
      <c r="Q2133" s="4">
        <f t="shared" si="135"/>
        <v>-3.2550579206323566E-4</v>
      </c>
      <c r="R2133" s="4">
        <f t="shared" si="135"/>
        <v>6.4577001297469027E-3</v>
      </c>
      <c r="S2133" s="4">
        <f t="shared" si="135"/>
        <v>-7.5506869496627955E-3</v>
      </c>
      <c r="T2133" s="4">
        <f t="shared" si="135"/>
        <v>-7.4661284615845465E-3</v>
      </c>
      <c r="U2133" s="35"/>
      <c r="V2133" s="35"/>
      <c r="W2133" s="35"/>
      <c r="X2133" s="35"/>
    </row>
    <row r="2134" spans="4:24" x14ac:dyDescent="0.3">
      <c r="D2134" s="23">
        <v>42676</v>
      </c>
      <c r="E2134" s="5">
        <v>184.40566999999999</v>
      </c>
      <c r="F2134" s="28">
        <v>67.67201</v>
      </c>
      <c r="G2134" s="28">
        <v>123.64</v>
      </c>
      <c r="H2134" s="28">
        <v>109.051</v>
      </c>
      <c r="I2134" s="28">
        <v>94.370369999999994</v>
      </c>
      <c r="J2134" s="29"/>
      <c r="K2134" s="29"/>
      <c r="L2134" s="29"/>
      <c r="M2134" s="29"/>
      <c r="N2134" s="29"/>
      <c r="P2134" s="4">
        <f t="shared" si="135"/>
        <v>-6.0368319957582106E-3</v>
      </c>
      <c r="Q2134" s="4">
        <f t="shared" si="135"/>
        <v>9.6349141113376941E-4</v>
      </c>
      <c r="R2134" s="4">
        <f t="shared" si="135"/>
        <v>7.3872966544986391E-3</v>
      </c>
      <c r="S2134" s="4">
        <f t="shared" si="135"/>
        <v>-8.0417818334785098E-3</v>
      </c>
      <c r="T2134" s="4">
        <f t="shared" si="135"/>
        <v>-6.9634850895266597E-3</v>
      </c>
      <c r="U2134" s="35"/>
      <c r="V2134" s="35"/>
      <c r="W2134" s="35"/>
      <c r="X2134" s="35"/>
    </row>
    <row r="2135" spans="4:24" x14ac:dyDescent="0.3">
      <c r="D2135" s="23">
        <v>42677</v>
      </c>
      <c r="E2135" s="5">
        <v>183.56156899999999</v>
      </c>
      <c r="F2135" s="28">
        <v>67.631290000000007</v>
      </c>
      <c r="G2135" s="28">
        <v>124.3</v>
      </c>
      <c r="H2135" s="28">
        <v>107.9811</v>
      </c>
      <c r="I2135" s="28">
        <v>93.957099999999997</v>
      </c>
      <c r="J2135" s="29"/>
      <c r="K2135" s="29"/>
      <c r="L2135" s="29"/>
      <c r="M2135" s="29"/>
      <c r="N2135" s="29"/>
      <c r="P2135" s="4">
        <f t="shared" si="135"/>
        <v>-4.587921918912506E-3</v>
      </c>
      <c r="Q2135" s="4">
        <f t="shared" si="135"/>
        <v>-6.0190699309428739E-4</v>
      </c>
      <c r="R2135" s="4">
        <f t="shared" si="135"/>
        <v>5.3238812527497967E-3</v>
      </c>
      <c r="S2135" s="4">
        <f t="shared" si="135"/>
        <v>-9.8594509011161371E-3</v>
      </c>
      <c r="T2135" s="4">
        <f t="shared" si="135"/>
        <v>-4.3888516462060618E-3</v>
      </c>
      <c r="U2135" s="35"/>
      <c r="V2135" s="35"/>
      <c r="W2135" s="35"/>
      <c r="X2135" s="35"/>
    </row>
    <row r="2136" spans="4:24" x14ac:dyDescent="0.3">
      <c r="D2136" s="23">
        <v>42678</v>
      </c>
      <c r="E2136" s="5">
        <v>183.359329</v>
      </c>
      <c r="F2136" s="28">
        <v>67.753469999999993</v>
      </c>
      <c r="G2136" s="28">
        <v>124.39</v>
      </c>
      <c r="H2136" s="28">
        <v>107.6024</v>
      </c>
      <c r="I2136" s="28">
        <v>93.89555</v>
      </c>
      <c r="J2136" s="29"/>
      <c r="K2136" s="29"/>
      <c r="L2136" s="29"/>
      <c r="M2136" s="29"/>
      <c r="N2136" s="29"/>
      <c r="P2136" s="4">
        <f t="shared" si="135"/>
        <v>-1.1023630519961518E-3</v>
      </c>
      <c r="Q2136" s="4">
        <f t="shared" si="135"/>
        <v>1.8049303801926681E-3</v>
      </c>
      <c r="R2136" s="4">
        <f t="shared" si="135"/>
        <v>7.2379270520786499E-4</v>
      </c>
      <c r="S2136" s="4">
        <f t="shared" si="135"/>
        <v>-3.5132594982842727E-3</v>
      </c>
      <c r="T2136" s="4">
        <f t="shared" si="135"/>
        <v>-6.5530086695671176E-4</v>
      </c>
      <c r="U2136" s="35"/>
      <c r="V2136" s="35"/>
      <c r="W2136" s="35"/>
      <c r="X2136" s="35"/>
    </row>
    <row r="2137" spans="4:24" x14ac:dyDescent="0.3">
      <c r="D2137" s="23">
        <v>42681</v>
      </c>
      <c r="E2137" s="5">
        <v>187.40373199999999</v>
      </c>
      <c r="F2137" s="28">
        <v>67.66386</v>
      </c>
      <c r="G2137" s="28">
        <v>122.15</v>
      </c>
      <c r="H2137" s="28">
        <v>110.1587</v>
      </c>
      <c r="I2137" s="28">
        <v>95.970609999999994</v>
      </c>
      <c r="J2137" s="29"/>
      <c r="K2137" s="29"/>
      <c r="L2137" s="29"/>
      <c r="M2137" s="29"/>
      <c r="N2137" s="29"/>
      <c r="P2137" s="4">
        <f t="shared" si="135"/>
        <v>2.1817510175194448E-2</v>
      </c>
      <c r="Q2137" s="4">
        <f t="shared" si="135"/>
        <v>-1.3234644794688276E-3</v>
      </c>
      <c r="R2137" s="4">
        <f t="shared" si="135"/>
        <v>-1.8171993518123701E-2</v>
      </c>
      <c r="S2137" s="4">
        <f t="shared" si="135"/>
        <v>2.3479101022415121E-2</v>
      </c>
      <c r="T2137" s="4">
        <f t="shared" si="135"/>
        <v>2.1859004512385191E-2</v>
      </c>
      <c r="U2137" s="35"/>
      <c r="V2137" s="35"/>
      <c r="W2137" s="35"/>
      <c r="X2137" s="35"/>
    </row>
    <row r="2138" spans="4:24" x14ac:dyDescent="0.3">
      <c r="D2138" s="23">
        <v>42682</v>
      </c>
      <c r="E2138" s="5">
        <v>188.24774199999999</v>
      </c>
      <c r="F2138" s="28">
        <v>67.541679999999999</v>
      </c>
      <c r="G2138" s="28">
        <v>121.64</v>
      </c>
      <c r="H2138" s="28">
        <v>110.8783</v>
      </c>
      <c r="I2138" s="28">
        <v>96.383840000000006</v>
      </c>
      <c r="J2138" s="29"/>
      <c r="K2138" s="29"/>
      <c r="L2138" s="29"/>
      <c r="M2138" s="29"/>
      <c r="N2138" s="29"/>
      <c r="P2138" s="4">
        <f t="shared" si="135"/>
        <v>4.4935876929914414E-3</v>
      </c>
      <c r="Q2138" s="4">
        <f t="shared" si="135"/>
        <v>-1.807322884218413E-3</v>
      </c>
      <c r="R2138" s="4">
        <f t="shared" si="135"/>
        <v>-4.1839348945856142E-3</v>
      </c>
      <c r="S2138" s="4">
        <f t="shared" si="135"/>
        <v>6.5111500996626491E-3</v>
      </c>
      <c r="T2138" s="4">
        <f t="shared" si="135"/>
        <v>4.2965539471349111E-3</v>
      </c>
      <c r="U2138" s="35"/>
      <c r="V2138" s="35"/>
      <c r="W2138" s="35"/>
      <c r="X2138" s="35"/>
    </row>
    <row r="2139" spans="4:24" x14ac:dyDescent="0.3">
      <c r="D2139" s="23">
        <v>42683</v>
      </c>
      <c r="E2139" s="5">
        <v>190.24359100000001</v>
      </c>
      <c r="F2139" s="28">
        <v>66.873739999999998</v>
      </c>
      <c r="G2139" s="28">
        <v>121.56</v>
      </c>
      <c r="H2139" s="28">
        <v>111.3896</v>
      </c>
      <c r="I2139" s="28">
        <v>97.579639999999998</v>
      </c>
      <c r="J2139" s="29"/>
      <c r="K2139" s="29"/>
      <c r="L2139" s="29"/>
      <c r="M2139" s="29"/>
      <c r="N2139" s="29"/>
      <c r="P2139" s="4">
        <f t="shared" si="135"/>
        <v>1.0546437000602375E-2</v>
      </c>
      <c r="Q2139" s="4">
        <f t="shared" si="135"/>
        <v>-9.9385248795386873E-3</v>
      </c>
      <c r="R2139" s="4">
        <f t="shared" si="135"/>
        <v>-6.5789476057150781E-4</v>
      </c>
      <c r="S2139" s="4">
        <f t="shared" si="135"/>
        <v>4.6007624303006471E-3</v>
      </c>
      <c r="T2139" s="4">
        <f t="shared" si="135"/>
        <v>1.2330312390859815E-2</v>
      </c>
      <c r="U2139" s="35"/>
      <c r="V2139" s="35"/>
      <c r="W2139" s="35"/>
      <c r="X2139" s="35"/>
    </row>
    <row r="2140" spans="4:24" x14ac:dyDescent="0.3">
      <c r="D2140" s="23">
        <v>42684</v>
      </c>
      <c r="E2140" s="5">
        <v>190.71833799999999</v>
      </c>
      <c r="F2140" s="28">
        <v>66.588700000000003</v>
      </c>
      <c r="G2140" s="28">
        <v>119.75</v>
      </c>
      <c r="H2140" s="28">
        <v>109.5907</v>
      </c>
      <c r="I2140" s="28">
        <v>97.922550000000001</v>
      </c>
      <c r="J2140" s="29"/>
      <c r="K2140" s="29"/>
      <c r="L2140" s="29"/>
      <c r="M2140" s="29"/>
      <c r="N2140" s="29"/>
      <c r="P2140" s="4">
        <f t="shared" si="135"/>
        <v>2.4923605726238905E-3</v>
      </c>
      <c r="Q2140" s="4">
        <f t="shared" si="135"/>
        <v>-4.2714704360319756E-3</v>
      </c>
      <c r="R2140" s="4">
        <f t="shared" si="135"/>
        <v>-1.5001731757567733E-2</v>
      </c>
      <c r="S2140" s="4">
        <f t="shared" si="135"/>
        <v>-1.6281448965016248E-2</v>
      </c>
      <c r="T2140" s="4">
        <f t="shared" si="135"/>
        <v>3.5079949913088106E-3</v>
      </c>
      <c r="U2140" s="35"/>
      <c r="V2140" s="35"/>
      <c r="W2140" s="35"/>
      <c r="X2140" s="35"/>
    </row>
    <row r="2141" spans="4:24" x14ac:dyDescent="0.3">
      <c r="D2141" s="23">
        <v>42685</v>
      </c>
      <c r="E2141" s="5">
        <v>190.27873199999999</v>
      </c>
      <c r="F2141" s="28">
        <v>66.466489999999993</v>
      </c>
      <c r="G2141" s="28">
        <v>117.1</v>
      </c>
      <c r="H2141" s="28">
        <v>109.63800000000001</v>
      </c>
      <c r="I2141" s="28">
        <v>97.957700000000003</v>
      </c>
      <c r="J2141" s="29"/>
      <c r="K2141" s="29"/>
      <c r="L2141" s="29"/>
      <c r="M2141" s="29"/>
      <c r="N2141" s="29"/>
      <c r="P2141" s="4">
        <f t="shared" si="135"/>
        <v>-2.3076618152797941E-3</v>
      </c>
      <c r="Q2141" s="4">
        <f t="shared" si="135"/>
        <v>-1.8369825989730819E-3</v>
      </c>
      <c r="R2141" s="4">
        <f t="shared" si="135"/>
        <v>-2.2377965687353004E-2</v>
      </c>
      <c r="S2141" s="4">
        <f t="shared" si="135"/>
        <v>4.3151285150130165E-4</v>
      </c>
      <c r="T2141" s="4">
        <f t="shared" si="135"/>
        <v>3.5889274571881686E-4</v>
      </c>
      <c r="U2141" s="35"/>
      <c r="V2141" s="35"/>
      <c r="W2141" s="35"/>
      <c r="X2141" s="35"/>
    </row>
    <row r="2142" spans="4:24" x14ac:dyDescent="0.3">
      <c r="D2142" s="23">
        <v>42688</v>
      </c>
      <c r="E2142" s="5">
        <v>190.428192</v>
      </c>
      <c r="F2142" s="28">
        <v>66.213970000000003</v>
      </c>
      <c r="G2142" s="28">
        <v>116.11</v>
      </c>
      <c r="H2142" s="28">
        <v>108.5303</v>
      </c>
      <c r="I2142" s="28">
        <v>98.212680000000006</v>
      </c>
      <c r="J2142" s="29"/>
      <c r="K2142" s="29"/>
      <c r="L2142" s="29"/>
      <c r="M2142" s="29"/>
      <c r="N2142" s="29"/>
      <c r="P2142" s="4">
        <f t="shared" si="135"/>
        <v>7.8517094518844506E-4</v>
      </c>
      <c r="Q2142" s="4">
        <f t="shared" si="135"/>
        <v>-3.8064430119846247E-3</v>
      </c>
      <c r="R2142" s="4">
        <f t="shared" si="135"/>
        <v>-8.4902529647568406E-3</v>
      </c>
      <c r="S2142" s="4">
        <f t="shared" si="135"/>
        <v>-1.0154633083749122E-2</v>
      </c>
      <c r="T2142" s="4">
        <f t="shared" si="135"/>
        <v>2.599578423533133E-3</v>
      </c>
      <c r="U2142" s="35"/>
      <c r="V2142" s="35"/>
      <c r="W2142" s="35"/>
      <c r="X2142" s="35"/>
    </row>
    <row r="2143" spans="4:24" x14ac:dyDescent="0.3">
      <c r="D2143" s="23">
        <v>42689</v>
      </c>
      <c r="E2143" s="5">
        <v>191.91407799999999</v>
      </c>
      <c r="F2143" s="28">
        <v>66.303610000000006</v>
      </c>
      <c r="G2143" s="28">
        <v>117.12</v>
      </c>
      <c r="H2143" s="28">
        <v>110.03570000000001</v>
      </c>
      <c r="I2143" s="28">
        <v>98.977639999999994</v>
      </c>
      <c r="J2143" s="29"/>
      <c r="K2143" s="29"/>
      <c r="L2143" s="29"/>
      <c r="M2143" s="29"/>
      <c r="N2143" s="29"/>
      <c r="P2143" s="4">
        <f t="shared" si="135"/>
        <v>7.7725828251588771E-3</v>
      </c>
      <c r="Q2143" s="4">
        <f t="shared" si="135"/>
        <v>1.3528773114054337E-3</v>
      </c>
      <c r="R2143" s="4">
        <f t="shared" si="135"/>
        <v>8.6610325740866679E-3</v>
      </c>
      <c r="S2143" s="4">
        <f t="shared" si="135"/>
        <v>1.3775461926714536E-2</v>
      </c>
      <c r="T2143" s="4">
        <f t="shared" si="135"/>
        <v>7.7586347779835087E-3</v>
      </c>
      <c r="U2143" s="35"/>
      <c r="V2143" s="35"/>
      <c r="W2143" s="35"/>
      <c r="X2143" s="35"/>
    </row>
    <row r="2144" spans="4:24" x14ac:dyDescent="0.3">
      <c r="D2144" s="23">
        <v>42690</v>
      </c>
      <c r="E2144" s="5">
        <v>191.553574</v>
      </c>
      <c r="F2144" s="28">
        <v>66.442099999999996</v>
      </c>
      <c r="G2144" s="28">
        <v>116.77</v>
      </c>
      <c r="H2144" s="28">
        <v>110.6889</v>
      </c>
      <c r="I2144" s="28">
        <v>98.836950000000002</v>
      </c>
      <c r="J2144" s="29"/>
      <c r="K2144" s="29"/>
      <c r="L2144" s="29"/>
      <c r="M2144" s="29"/>
      <c r="N2144" s="29"/>
      <c r="P2144" s="4">
        <f t="shared" si="135"/>
        <v>-1.8802321620946185E-3</v>
      </c>
      <c r="Q2144" s="4">
        <f t="shared" si="135"/>
        <v>2.0865465293761752E-3</v>
      </c>
      <c r="R2144" s="4">
        <f t="shared" si="135"/>
        <v>-2.9928621253779873E-3</v>
      </c>
      <c r="S2144" s="4">
        <f t="shared" si="135"/>
        <v>5.918705090930401E-3</v>
      </c>
      <c r="T2144" s="4">
        <f t="shared" si="135"/>
        <v>-1.4224433467928809E-3</v>
      </c>
      <c r="U2144" s="35"/>
      <c r="V2144" s="35"/>
      <c r="W2144" s="35"/>
      <c r="X2144" s="35"/>
    </row>
    <row r="2145" spans="4:24" x14ac:dyDescent="0.3">
      <c r="D2145" s="23">
        <v>42691</v>
      </c>
      <c r="E2145" s="5">
        <v>192.53833</v>
      </c>
      <c r="F2145" s="28">
        <v>66.173259999999999</v>
      </c>
      <c r="G2145" s="28">
        <v>116.17</v>
      </c>
      <c r="H2145" s="28">
        <v>111.4937</v>
      </c>
      <c r="I2145" s="28">
        <v>99.338139999999996</v>
      </c>
      <c r="J2145" s="29"/>
      <c r="K2145" s="29"/>
      <c r="L2145" s="29"/>
      <c r="M2145" s="29"/>
      <c r="N2145" s="29"/>
      <c r="P2145" s="4">
        <f t="shared" si="135"/>
        <v>5.1277215034704398E-3</v>
      </c>
      <c r="Q2145" s="4">
        <f t="shared" si="135"/>
        <v>-4.0544378611397352E-3</v>
      </c>
      <c r="R2145" s="4">
        <f t="shared" si="135"/>
        <v>-5.1515525622399892E-3</v>
      </c>
      <c r="S2145" s="4">
        <f t="shared" si="135"/>
        <v>7.2445233773010707E-3</v>
      </c>
      <c r="T2145" s="4">
        <f t="shared" si="135"/>
        <v>5.0580632362701317E-3</v>
      </c>
      <c r="U2145" s="35"/>
      <c r="V2145" s="35"/>
      <c r="W2145" s="35"/>
      <c r="X2145" s="35"/>
    </row>
    <row r="2146" spans="4:24" x14ac:dyDescent="0.3">
      <c r="D2146" s="23">
        <v>42692</v>
      </c>
      <c r="E2146" s="5">
        <v>192.107529</v>
      </c>
      <c r="F2146" s="28">
        <v>66.010319999999993</v>
      </c>
      <c r="G2146" s="28">
        <v>115.15</v>
      </c>
      <c r="H2146" s="28">
        <v>111.0771</v>
      </c>
      <c r="I2146" s="28">
        <v>99.153490000000005</v>
      </c>
      <c r="J2146" s="29"/>
      <c r="K2146" s="29"/>
      <c r="L2146" s="29"/>
      <c r="M2146" s="29"/>
      <c r="N2146" s="29"/>
      <c r="P2146" s="4">
        <f t="shared" si="135"/>
        <v>-2.2399886547611165E-3</v>
      </c>
      <c r="Q2146" s="4">
        <f t="shared" si="135"/>
        <v>-2.4653604105613321E-3</v>
      </c>
      <c r="R2146" s="4">
        <f t="shared" si="135"/>
        <v>-8.819009258689163E-3</v>
      </c>
      <c r="S2146" s="4">
        <f t="shared" si="135"/>
        <v>-3.7435322739589418E-3</v>
      </c>
      <c r="T2146" s="4">
        <f t="shared" si="135"/>
        <v>-1.8605323888474987E-3</v>
      </c>
      <c r="U2146" s="35"/>
      <c r="V2146" s="35"/>
      <c r="W2146" s="35"/>
      <c r="X2146" s="35"/>
    </row>
    <row r="2147" spans="4:24" x14ac:dyDescent="0.3">
      <c r="D2147" s="23">
        <v>42695</v>
      </c>
      <c r="E2147" s="5">
        <v>193.558167</v>
      </c>
      <c r="F2147" s="28">
        <v>66.002189999999999</v>
      </c>
      <c r="G2147" s="28">
        <v>115.58</v>
      </c>
      <c r="H2147" s="28">
        <v>112.23220000000001</v>
      </c>
      <c r="I2147" s="28">
        <v>99.900850000000005</v>
      </c>
      <c r="J2147" s="29"/>
      <c r="K2147" s="29"/>
      <c r="L2147" s="29"/>
      <c r="M2147" s="29"/>
      <c r="N2147" s="29"/>
      <c r="P2147" s="4">
        <f t="shared" si="135"/>
        <v>7.5228098134144236E-3</v>
      </c>
      <c r="Q2147" s="4">
        <f t="shared" si="135"/>
        <v>-1.2317014516687849E-4</v>
      </c>
      <c r="R2147" s="4">
        <f t="shared" si="135"/>
        <v>3.727304622937625E-3</v>
      </c>
      <c r="S2147" s="4">
        <f t="shared" si="135"/>
        <v>1.0345384650085764E-2</v>
      </c>
      <c r="T2147" s="4">
        <f t="shared" si="135"/>
        <v>7.5091405873496664E-3</v>
      </c>
      <c r="U2147" s="35"/>
      <c r="V2147" s="35"/>
      <c r="W2147" s="35"/>
      <c r="X2147" s="35"/>
    </row>
    <row r="2148" spans="4:24" x14ac:dyDescent="0.3">
      <c r="D2148" s="23">
        <v>42696</v>
      </c>
      <c r="E2148" s="5">
        <v>193.936295</v>
      </c>
      <c r="F2148" s="28">
        <v>66.059240000000003</v>
      </c>
      <c r="G2148" s="28">
        <v>115.54</v>
      </c>
      <c r="H2148" s="28">
        <v>112.5731</v>
      </c>
      <c r="I2148" s="28">
        <v>100.191</v>
      </c>
      <c r="J2148" s="29"/>
      <c r="K2148" s="29"/>
      <c r="L2148" s="29"/>
      <c r="M2148" s="29"/>
      <c r="N2148" s="29"/>
      <c r="P2148" s="4">
        <f t="shared" si="135"/>
        <v>1.9516568988953342E-3</v>
      </c>
      <c r="Q2148" s="4">
        <f t="shared" si="135"/>
        <v>8.6399190965762726E-4</v>
      </c>
      <c r="R2148" s="4">
        <f t="shared" si="135"/>
        <v>-3.4614053651238345E-4</v>
      </c>
      <c r="S2148" s="4">
        <f t="shared" si="135"/>
        <v>3.0328489702397643E-3</v>
      </c>
      <c r="T2148" s="4">
        <f t="shared" si="135"/>
        <v>2.9001701305737255E-3</v>
      </c>
      <c r="U2148" s="35"/>
      <c r="V2148" s="35"/>
      <c r="W2148" s="35"/>
      <c r="X2148" s="35"/>
    </row>
    <row r="2149" spans="4:24" x14ac:dyDescent="0.3">
      <c r="D2149" s="23">
        <v>42697</v>
      </c>
      <c r="E2149" s="5">
        <v>194.04177899999999</v>
      </c>
      <c r="F2149" s="28">
        <v>65.888140000000007</v>
      </c>
      <c r="G2149" s="28">
        <v>113.25</v>
      </c>
      <c r="H2149" s="28">
        <v>112.1186</v>
      </c>
      <c r="I2149" s="28">
        <v>100.3317</v>
      </c>
      <c r="J2149" s="29"/>
      <c r="K2149" s="29"/>
      <c r="L2149" s="29"/>
      <c r="M2149" s="29"/>
      <c r="N2149" s="29"/>
      <c r="P2149" s="4">
        <f t="shared" ref="P2149:T2164" si="136">LN(E2149/E2148)</f>
        <v>5.4376270035859072E-4</v>
      </c>
      <c r="Q2149" s="4">
        <f t="shared" si="136"/>
        <v>-2.5934595427661426E-3</v>
      </c>
      <c r="R2149" s="4">
        <f t="shared" si="136"/>
        <v>-2.001902598997608E-2</v>
      </c>
      <c r="S2149" s="4">
        <f t="shared" si="136"/>
        <v>-4.0455488109235683E-3</v>
      </c>
      <c r="T2149" s="4">
        <f t="shared" si="136"/>
        <v>1.4033326211001312E-3</v>
      </c>
      <c r="U2149" s="35"/>
      <c r="V2149" s="35"/>
      <c r="W2149" s="35"/>
      <c r="X2149" s="35"/>
    </row>
    <row r="2150" spans="4:24" x14ac:dyDescent="0.3">
      <c r="D2150" s="23">
        <v>42699</v>
      </c>
      <c r="E2150" s="5">
        <v>194.76274100000001</v>
      </c>
      <c r="F2150" s="28">
        <v>65.912620000000004</v>
      </c>
      <c r="G2150" s="28">
        <v>112.61</v>
      </c>
      <c r="H2150" s="28">
        <v>112.47839999999999</v>
      </c>
      <c r="I2150" s="28">
        <v>100.7186</v>
      </c>
      <c r="J2150" s="29"/>
      <c r="K2150" s="29"/>
      <c r="L2150" s="29"/>
      <c r="M2150" s="29"/>
      <c r="N2150" s="29"/>
      <c r="P2150" s="4">
        <f t="shared" si="136"/>
        <v>3.7086133995110856E-3</v>
      </c>
      <c r="Q2150" s="4">
        <f t="shared" si="136"/>
        <v>3.7146978942291395E-4</v>
      </c>
      <c r="R2150" s="4">
        <f t="shared" si="136"/>
        <v>-5.6672426542092634E-3</v>
      </c>
      <c r="S2150" s="4">
        <f t="shared" si="136"/>
        <v>3.2039636129630963E-3</v>
      </c>
      <c r="T2150" s="4">
        <f t="shared" si="136"/>
        <v>3.8487928404219223E-3</v>
      </c>
      <c r="U2150" s="35"/>
      <c r="V2150" s="35"/>
      <c r="W2150" s="35"/>
      <c r="X2150" s="35"/>
    </row>
    <row r="2151" spans="4:24" x14ac:dyDescent="0.3">
      <c r="D2151" s="23">
        <v>42702</v>
      </c>
      <c r="E2151" s="5">
        <v>193.84832800000001</v>
      </c>
      <c r="F2151" s="28">
        <v>66.067369999999997</v>
      </c>
      <c r="G2151" s="28">
        <v>113.8</v>
      </c>
      <c r="H2151" s="28">
        <v>112.2227</v>
      </c>
      <c r="I2151" s="28">
        <v>100.1383</v>
      </c>
      <c r="J2151" s="29"/>
      <c r="K2151" s="29"/>
      <c r="L2151" s="29"/>
      <c r="M2151" s="29"/>
      <c r="N2151" s="29"/>
      <c r="P2151" s="4">
        <f t="shared" si="136"/>
        <v>-4.7060660931878282E-3</v>
      </c>
      <c r="Q2151" s="4">
        <f t="shared" si="136"/>
        <v>2.3450535330049945E-3</v>
      </c>
      <c r="R2151" s="4">
        <f t="shared" si="136"/>
        <v>1.0511999983296272E-2</v>
      </c>
      <c r="S2151" s="4">
        <f t="shared" si="136"/>
        <v>-2.2759132943496077E-3</v>
      </c>
      <c r="T2151" s="4">
        <f t="shared" si="136"/>
        <v>-5.7782591944875589E-3</v>
      </c>
      <c r="U2151" s="35"/>
      <c r="V2151" s="35"/>
      <c r="W2151" s="35"/>
      <c r="X2151" s="35"/>
    </row>
    <row r="2152" spans="4:24" x14ac:dyDescent="0.3">
      <c r="D2152" s="23">
        <v>42703</v>
      </c>
      <c r="E2152" s="5">
        <v>194.22640999999999</v>
      </c>
      <c r="F2152" s="28">
        <v>66.116219999999998</v>
      </c>
      <c r="G2152" s="28">
        <v>113.27</v>
      </c>
      <c r="H2152" s="28">
        <v>112.6109</v>
      </c>
      <c r="I2152" s="28">
        <v>100.27889999999999</v>
      </c>
      <c r="J2152" s="29"/>
      <c r="K2152" s="29"/>
      <c r="L2152" s="29"/>
      <c r="M2152" s="29"/>
      <c r="N2152" s="29"/>
      <c r="P2152" s="4">
        <f t="shared" si="136"/>
        <v>1.9485015776557232E-3</v>
      </c>
      <c r="Q2152" s="4">
        <f t="shared" si="136"/>
        <v>7.3912355117462965E-4</v>
      </c>
      <c r="R2152" s="4">
        <f t="shared" si="136"/>
        <v>-4.6681724796083035E-3</v>
      </c>
      <c r="S2152" s="4">
        <f t="shared" si="136"/>
        <v>3.4532239466500462E-3</v>
      </c>
      <c r="T2152" s="4">
        <f t="shared" si="136"/>
        <v>1.4030734195028542E-3</v>
      </c>
      <c r="U2152" s="35"/>
      <c r="V2152" s="35"/>
      <c r="W2152" s="35"/>
      <c r="X2152" s="35"/>
    </row>
    <row r="2153" spans="4:24" x14ac:dyDescent="0.3">
      <c r="D2153" s="23">
        <v>42704</v>
      </c>
      <c r="E2153" s="5">
        <v>193.76037600000001</v>
      </c>
      <c r="F2153" s="28">
        <v>65.888140000000007</v>
      </c>
      <c r="G2153" s="28">
        <v>111.75</v>
      </c>
      <c r="H2153" s="28">
        <v>111.2475</v>
      </c>
      <c r="I2153" s="28">
        <v>100.0415</v>
      </c>
      <c r="J2153" s="29"/>
      <c r="K2153" s="29"/>
      <c r="L2153" s="29"/>
      <c r="M2153" s="29"/>
      <c r="N2153" s="29"/>
      <c r="P2153" s="4">
        <f t="shared" si="136"/>
        <v>-2.4023200838029701E-3</v>
      </c>
      <c r="Q2153" s="4">
        <f t="shared" si="136"/>
        <v>-3.4556468736027359E-3</v>
      </c>
      <c r="R2153" s="4">
        <f t="shared" si="136"/>
        <v>-1.351011571894398E-2</v>
      </c>
      <c r="S2153" s="4">
        <f t="shared" si="136"/>
        <v>-1.2181064978675431E-2</v>
      </c>
      <c r="T2153" s="4">
        <f t="shared" si="136"/>
        <v>-2.3702040445219602E-3</v>
      </c>
      <c r="U2153" s="35"/>
      <c r="V2153" s="35"/>
      <c r="W2153" s="35"/>
      <c r="X2153" s="35"/>
    </row>
    <row r="2154" spans="4:24" x14ac:dyDescent="0.3">
      <c r="D2154" s="23">
        <v>42705</v>
      </c>
      <c r="E2154" s="5">
        <v>193.04827900000001</v>
      </c>
      <c r="F2154" s="28">
        <v>65.643330000000006</v>
      </c>
      <c r="G2154" s="28">
        <v>111.54</v>
      </c>
      <c r="H2154" s="28">
        <v>109.32559999999999</v>
      </c>
      <c r="I2154" s="28">
        <v>99.628290000000007</v>
      </c>
      <c r="J2154" s="29"/>
      <c r="K2154" s="29"/>
      <c r="L2154" s="29"/>
      <c r="M2154" s="29"/>
      <c r="N2154" s="29"/>
      <c r="P2154" s="4">
        <f t="shared" si="136"/>
        <v>-3.6819124663098248E-3</v>
      </c>
      <c r="Q2154" s="4">
        <f t="shared" si="136"/>
        <v>-3.7224594644650923E-3</v>
      </c>
      <c r="R2154" s="4">
        <f t="shared" si="136"/>
        <v>-1.8809625322704639E-3</v>
      </c>
      <c r="S2154" s="4">
        <f t="shared" si="136"/>
        <v>-1.742686337662841E-2</v>
      </c>
      <c r="T2154" s="4">
        <f t="shared" si="136"/>
        <v>-4.1389394949064226E-3</v>
      </c>
      <c r="U2154" s="35"/>
      <c r="V2154" s="35"/>
      <c r="W2154" s="35"/>
      <c r="X2154" s="35"/>
    </row>
    <row r="2155" spans="4:24" x14ac:dyDescent="0.3">
      <c r="D2155" s="23">
        <v>42706</v>
      </c>
      <c r="E2155" s="5">
        <v>193.145004</v>
      </c>
      <c r="F2155" s="28">
        <v>65.880009999999999</v>
      </c>
      <c r="G2155" s="28">
        <v>112.14</v>
      </c>
      <c r="H2155" s="28">
        <v>109.5433</v>
      </c>
      <c r="I2155" s="28">
        <v>99.628290000000007</v>
      </c>
      <c r="J2155" s="29"/>
      <c r="K2155" s="29"/>
      <c r="L2155" s="29"/>
      <c r="M2155" s="29"/>
      <c r="N2155" s="29"/>
      <c r="P2155" s="4">
        <f t="shared" si="136"/>
        <v>5.0091498884237428E-4</v>
      </c>
      <c r="Q2155" s="4">
        <f t="shared" si="136"/>
        <v>3.5990609040341998E-3</v>
      </c>
      <c r="R2155" s="4">
        <f t="shared" si="136"/>
        <v>5.3648197341187058E-3</v>
      </c>
      <c r="S2155" s="4">
        <f t="shared" si="136"/>
        <v>1.9893193760620047E-3</v>
      </c>
      <c r="T2155" s="4">
        <f t="shared" si="136"/>
        <v>0</v>
      </c>
      <c r="U2155" s="35"/>
      <c r="V2155" s="35"/>
      <c r="W2155" s="35"/>
      <c r="X2155" s="35"/>
    </row>
    <row r="2156" spans="4:24" x14ac:dyDescent="0.3">
      <c r="D2156" s="23">
        <v>42709</v>
      </c>
      <c r="E2156" s="5">
        <v>194.305511</v>
      </c>
      <c r="F2156" s="28">
        <v>65.961619999999996</v>
      </c>
      <c r="G2156" s="28">
        <v>111.54</v>
      </c>
      <c r="H2156" s="28">
        <v>110.3954</v>
      </c>
      <c r="I2156" s="28">
        <v>100.3229</v>
      </c>
      <c r="J2156" s="29"/>
      <c r="K2156" s="29"/>
      <c r="L2156" s="29"/>
      <c r="M2156" s="29"/>
      <c r="N2156" s="29"/>
      <c r="P2156" s="4">
        <f t="shared" si="136"/>
        <v>5.9904964663615706E-3</v>
      </c>
      <c r="Q2156" s="4">
        <f t="shared" si="136"/>
        <v>1.2380006288341598E-3</v>
      </c>
      <c r="R2156" s="4">
        <f t="shared" si="136"/>
        <v>-5.3648197341188159E-3</v>
      </c>
      <c r="S2156" s="4">
        <f t="shared" si="136"/>
        <v>7.7485614250747776E-3</v>
      </c>
      <c r="T2156" s="4">
        <f t="shared" si="136"/>
        <v>6.9478235583077729E-3</v>
      </c>
      <c r="U2156" s="35"/>
      <c r="V2156" s="35"/>
      <c r="W2156" s="35"/>
      <c r="X2156" s="35"/>
    </row>
    <row r="2157" spans="4:24" x14ac:dyDescent="0.3">
      <c r="D2157" s="23">
        <v>42710</v>
      </c>
      <c r="E2157" s="5">
        <v>194.92094399999999</v>
      </c>
      <c r="F2157" s="28">
        <v>65.953450000000004</v>
      </c>
      <c r="G2157" s="28">
        <v>111.43</v>
      </c>
      <c r="H2157" s="28">
        <v>110.6605</v>
      </c>
      <c r="I2157" s="28">
        <v>100.8329</v>
      </c>
      <c r="J2157" s="29"/>
      <c r="K2157" s="29"/>
      <c r="L2157" s="29"/>
      <c r="M2157" s="29"/>
      <c r="N2157" s="29"/>
      <c r="P2157" s="4">
        <f t="shared" si="136"/>
        <v>3.1623416392983863E-3</v>
      </c>
      <c r="Q2157" s="4">
        <f t="shared" si="136"/>
        <v>-1.2386757647075934E-4</v>
      </c>
      <c r="R2157" s="4">
        <f t="shared" si="136"/>
        <v>-9.8667990244509745E-4</v>
      </c>
      <c r="S2157" s="4">
        <f t="shared" si="136"/>
        <v>2.3984894959860879E-3</v>
      </c>
      <c r="T2157" s="4">
        <f t="shared" si="136"/>
        <v>5.0707073100811767E-3</v>
      </c>
      <c r="U2157" s="35"/>
      <c r="V2157" s="35"/>
      <c r="W2157" s="35"/>
      <c r="X2157" s="35"/>
    </row>
    <row r="2158" spans="4:24" x14ac:dyDescent="0.3">
      <c r="D2158" s="23">
        <v>42711</v>
      </c>
      <c r="E2158" s="5">
        <v>197.47065699999999</v>
      </c>
      <c r="F2158" s="28">
        <v>66.108549999999994</v>
      </c>
      <c r="G2158" s="28">
        <v>111.83</v>
      </c>
      <c r="H2158" s="28">
        <v>112.06180000000001</v>
      </c>
      <c r="I2158" s="28">
        <v>102.0814</v>
      </c>
      <c r="J2158" s="29"/>
      <c r="K2158" s="29"/>
      <c r="L2158" s="29"/>
      <c r="M2158" s="29"/>
      <c r="N2158" s="29"/>
      <c r="P2158" s="4">
        <f t="shared" si="136"/>
        <v>1.2995940175246324E-2</v>
      </c>
      <c r="Q2158" s="4">
        <f t="shared" si="136"/>
        <v>2.3488978102914533E-3</v>
      </c>
      <c r="R2158" s="4">
        <f t="shared" si="136"/>
        <v>3.583269981134396E-3</v>
      </c>
      <c r="S2158" s="4">
        <f t="shared" si="136"/>
        <v>1.2583549027385682E-2</v>
      </c>
      <c r="T2158" s="4">
        <f t="shared" si="136"/>
        <v>1.2305842963085204E-2</v>
      </c>
      <c r="U2158" s="35"/>
      <c r="V2158" s="35"/>
      <c r="W2158" s="35"/>
      <c r="X2158" s="35"/>
    </row>
    <row r="2159" spans="4:24" x14ac:dyDescent="0.3">
      <c r="D2159" s="23">
        <v>42712</v>
      </c>
      <c r="E2159" s="5">
        <v>197.95425399999999</v>
      </c>
      <c r="F2159" s="28">
        <v>65.977919999999997</v>
      </c>
      <c r="G2159" s="28">
        <v>111.57</v>
      </c>
      <c r="H2159" s="28">
        <v>112.2606</v>
      </c>
      <c r="I2159" s="28">
        <v>102.4507</v>
      </c>
      <c r="J2159" s="29"/>
      <c r="K2159" s="29"/>
      <c r="L2159" s="29"/>
      <c r="M2159" s="29"/>
      <c r="N2159" s="29"/>
      <c r="P2159" s="4">
        <f t="shared" si="136"/>
        <v>2.4459624452066865E-3</v>
      </c>
      <c r="Q2159" s="4">
        <f t="shared" si="136"/>
        <v>-1.9779473641527772E-3</v>
      </c>
      <c r="R2159" s="4">
        <f t="shared" si="136"/>
        <v>-2.3276644350086859E-3</v>
      </c>
      <c r="S2159" s="4">
        <f t="shared" si="136"/>
        <v>1.7724494035856646E-3</v>
      </c>
      <c r="T2159" s="4">
        <f t="shared" si="136"/>
        <v>3.6111730268595884E-3</v>
      </c>
      <c r="U2159" s="35"/>
      <c r="V2159" s="35"/>
      <c r="W2159" s="35"/>
      <c r="X2159" s="35"/>
    </row>
    <row r="2160" spans="4:24" x14ac:dyDescent="0.3">
      <c r="D2160" s="23">
        <v>42713</v>
      </c>
      <c r="E2160" s="5">
        <v>199.14996300000001</v>
      </c>
      <c r="F2160" s="28">
        <v>65.7821</v>
      </c>
      <c r="G2160" s="28">
        <v>110.4</v>
      </c>
      <c r="H2160" s="28">
        <v>113.14109999999999</v>
      </c>
      <c r="I2160" s="28">
        <v>103.0046</v>
      </c>
      <c r="J2160" s="29"/>
      <c r="K2160" s="29"/>
      <c r="L2160" s="29"/>
      <c r="M2160" s="29"/>
      <c r="N2160" s="29"/>
      <c r="P2160" s="4">
        <f t="shared" si="136"/>
        <v>6.0221602414812633E-3</v>
      </c>
      <c r="Q2160" s="4">
        <f t="shared" si="136"/>
        <v>-2.9723757505917153E-3</v>
      </c>
      <c r="R2160" s="4">
        <f t="shared" si="136"/>
        <v>-1.0542062762093287E-2</v>
      </c>
      <c r="S2160" s="4">
        <f t="shared" si="136"/>
        <v>7.812758100280091E-3</v>
      </c>
      <c r="T2160" s="4">
        <f t="shared" si="136"/>
        <v>5.3919401637381615E-3</v>
      </c>
      <c r="U2160" s="35"/>
      <c r="V2160" s="35"/>
      <c r="W2160" s="35"/>
      <c r="X2160" s="35"/>
    </row>
    <row r="2161" spans="4:24" x14ac:dyDescent="0.3">
      <c r="D2161" s="23">
        <v>42716</v>
      </c>
      <c r="E2161" s="5">
        <v>198.921402</v>
      </c>
      <c r="F2161" s="28">
        <v>65.708629999999999</v>
      </c>
      <c r="G2161" s="28">
        <v>110.82</v>
      </c>
      <c r="H2161" s="28">
        <v>112.6298</v>
      </c>
      <c r="I2161" s="28">
        <v>102.7409</v>
      </c>
      <c r="J2161" s="29"/>
      <c r="K2161" s="29"/>
      <c r="L2161" s="29"/>
      <c r="M2161" s="29"/>
      <c r="N2161" s="29"/>
      <c r="P2161" s="4">
        <f t="shared" si="136"/>
        <v>-1.148341956808471E-3</v>
      </c>
      <c r="Q2161" s="4">
        <f t="shared" si="136"/>
        <v>-1.1174933418610861E-3</v>
      </c>
      <c r="R2161" s="4">
        <f t="shared" si="136"/>
        <v>3.7971295962084431E-3</v>
      </c>
      <c r="S2161" s="4">
        <f t="shared" si="136"/>
        <v>-4.5293780032851939E-3</v>
      </c>
      <c r="T2161" s="4">
        <f t="shared" si="136"/>
        <v>-2.5633624491803041E-3</v>
      </c>
      <c r="U2161" s="35"/>
      <c r="V2161" s="35"/>
      <c r="W2161" s="35"/>
      <c r="X2161" s="35"/>
    </row>
    <row r="2162" spans="4:24" x14ac:dyDescent="0.3">
      <c r="D2162" s="23">
        <v>42717</v>
      </c>
      <c r="E2162" s="5">
        <v>200.24897799999999</v>
      </c>
      <c r="F2162" s="28">
        <v>65.7821</v>
      </c>
      <c r="G2162" s="28">
        <v>110.45</v>
      </c>
      <c r="H2162" s="28">
        <v>114.05</v>
      </c>
      <c r="I2162" s="28">
        <v>103.3387</v>
      </c>
      <c r="J2162" s="29"/>
      <c r="K2162" s="29"/>
      <c r="L2162" s="29"/>
      <c r="M2162" s="29"/>
      <c r="N2162" s="29"/>
      <c r="P2162" s="4">
        <f t="shared" si="136"/>
        <v>6.6517004337488467E-3</v>
      </c>
      <c r="Q2162" s="4">
        <f t="shared" si="136"/>
        <v>1.1174933418611232E-3</v>
      </c>
      <c r="R2162" s="4">
        <f t="shared" si="136"/>
        <v>-3.344333573077334E-3</v>
      </c>
      <c r="S2162" s="4">
        <f t="shared" si="136"/>
        <v>1.2530614398196386E-2</v>
      </c>
      <c r="T2162" s="4">
        <f t="shared" si="136"/>
        <v>5.8016579689593034E-3</v>
      </c>
      <c r="U2162" s="35"/>
      <c r="V2162" s="35"/>
      <c r="W2162" s="35"/>
      <c r="X2162" s="35"/>
    </row>
    <row r="2163" spans="4:24" x14ac:dyDescent="0.3">
      <c r="D2163" s="23">
        <v>42718</v>
      </c>
      <c r="E2163" s="5">
        <v>198.59603899999999</v>
      </c>
      <c r="F2163" s="28">
        <v>65.447450000000003</v>
      </c>
      <c r="G2163" s="28">
        <v>108.83</v>
      </c>
      <c r="H2163" s="28">
        <v>113.8133</v>
      </c>
      <c r="I2163" s="28">
        <v>102.4067</v>
      </c>
      <c r="J2163" s="29"/>
      <c r="K2163" s="29"/>
      <c r="L2163" s="29"/>
      <c r="M2163" s="29"/>
      <c r="N2163" s="29"/>
      <c r="P2163" s="4">
        <f t="shared" si="136"/>
        <v>-8.2886755150809559E-3</v>
      </c>
      <c r="Q2163" s="4">
        <f t="shared" si="136"/>
        <v>-5.1002342905268529E-3</v>
      </c>
      <c r="R2163" s="4">
        <f t="shared" si="136"/>
        <v>-1.4775898158155961E-2</v>
      </c>
      <c r="S2163" s="4">
        <f t="shared" si="136"/>
        <v>-2.07756216238698E-3</v>
      </c>
      <c r="T2163" s="4">
        <f t="shared" si="136"/>
        <v>-9.0598027938739584E-3</v>
      </c>
      <c r="U2163" s="35"/>
      <c r="V2163" s="35"/>
      <c r="W2163" s="35"/>
      <c r="X2163" s="35"/>
    </row>
    <row r="2164" spans="4:24" x14ac:dyDescent="0.3">
      <c r="D2164" s="23">
        <v>42719</v>
      </c>
      <c r="E2164" s="5">
        <v>199.41378800000001</v>
      </c>
      <c r="F2164" s="28">
        <v>65.349540000000005</v>
      </c>
      <c r="G2164" s="28">
        <v>107.34</v>
      </c>
      <c r="H2164" s="28">
        <v>113.9932</v>
      </c>
      <c r="I2164" s="28">
        <v>102.8288</v>
      </c>
      <c r="J2164" s="29"/>
      <c r="K2164" s="29"/>
      <c r="L2164" s="29"/>
      <c r="M2164" s="29"/>
      <c r="N2164" s="29"/>
      <c r="P2164" s="4">
        <f t="shared" si="136"/>
        <v>4.1091957796011627E-3</v>
      </c>
      <c r="Q2164" s="4">
        <f t="shared" si="136"/>
        <v>-1.4971295331480034E-3</v>
      </c>
      <c r="R2164" s="4">
        <f t="shared" si="136"/>
        <v>-1.3785664959287429E-2</v>
      </c>
      <c r="S2164" s="4">
        <f t="shared" si="136"/>
        <v>1.5794109245987722E-3</v>
      </c>
      <c r="T2164" s="4">
        <f t="shared" si="136"/>
        <v>4.1133292743455062E-3</v>
      </c>
      <c r="U2164" s="35"/>
      <c r="V2164" s="35"/>
      <c r="W2164" s="35"/>
      <c r="X2164" s="35"/>
    </row>
    <row r="2165" spans="4:24" x14ac:dyDescent="0.3">
      <c r="D2165" s="23">
        <v>42720</v>
      </c>
      <c r="E2165" s="5">
        <v>199.02372700000001</v>
      </c>
      <c r="F2165" s="28">
        <v>65.406649999999999</v>
      </c>
      <c r="G2165" s="28">
        <v>108.05</v>
      </c>
      <c r="H2165" s="28">
        <v>113.5707</v>
      </c>
      <c r="I2165" s="28">
        <v>102.6705</v>
      </c>
      <c r="J2165" s="29"/>
      <c r="K2165" s="29"/>
      <c r="L2165" s="29"/>
      <c r="M2165" s="29"/>
      <c r="N2165" s="29"/>
      <c r="P2165" s="4">
        <f t="shared" ref="P2165:T2180" si="137">LN(E2165/E2164)</f>
        <v>-1.9579538066888322E-3</v>
      </c>
      <c r="Q2165" s="4">
        <f t="shared" si="137"/>
        <v>8.7353422628080662E-4</v>
      </c>
      <c r="R2165" s="4">
        <f t="shared" si="137"/>
        <v>6.5927162042120685E-3</v>
      </c>
      <c r="S2165" s="4">
        <f t="shared" si="137"/>
        <v>-3.7132470085066509E-3</v>
      </c>
      <c r="T2165" s="4">
        <f t="shared" si="137"/>
        <v>-1.5406381560548797E-3</v>
      </c>
      <c r="U2165" s="35"/>
      <c r="V2165" s="35"/>
      <c r="W2165" s="35"/>
      <c r="X2165" s="35"/>
    </row>
    <row r="2166" spans="4:24" x14ac:dyDescent="0.3">
      <c r="D2166" s="23">
        <v>42723</v>
      </c>
      <c r="E2166" s="5">
        <v>199.45709199999999</v>
      </c>
      <c r="F2166" s="28">
        <v>65.578000000000003</v>
      </c>
      <c r="G2166" s="28">
        <v>108.59</v>
      </c>
      <c r="H2166" s="28">
        <v>114.036</v>
      </c>
      <c r="I2166" s="28">
        <v>102.9607</v>
      </c>
      <c r="J2166" s="29"/>
      <c r="K2166" s="29"/>
      <c r="L2166" s="29"/>
      <c r="M2166" s="29"/>
      <c r="N2166" s="29"/>
      <c r="P2166" s="4">
        <f t="shared" si="137"/>
        <v>2.1750867303563549E-3</v>
      </c>
      <c r="Q2166" s="4">
        <f t="shared" si="137"/>
        <v>2.6163385976011918E-3</v>
      </c>
      <c r="R2166" s="4">
        <f t="shared" si="137"/>
        <v>4.9852392759140718E-3</v>
      </c>
      <c r="S2166" s="4">
        <f t="shared" si="137"/>
        <v>4.0886375330763808E-3</v>
      </c>
      <c r="T2166" s="4">
        <f t="shared" si="137"/>
        <v>2.8225307507893254E-3</v>
      </c>
      <c r="U2166" s="35"/>
      <c r="V2166" s="35"/>
      <c r="W2166" s="35"/>
      <c r="X2166" s="35"/>
    </row>
    <row r="2167" spans="4:24" x14ac:dyDescent="0.3">
      <c r="D2167" s="23">
        <v>42724</v>
      </c>
      <c r="E2167" s="5">
        <v>200.226517</v>
      </c>
      <c r="F2167" s="28">
        <v>65.586209999999994</v>
      </c>
      <c r="G2167" s="28">
        <v>107.79</v>
      </c>
      <c r="H2167" s="28">
        <v>114.47280000000001</v>
      </c>
      <c r="I2167" s="28">
        <v>103.4004</v>
      </c>
      <c r="J2167" s="29"/>
      <c r="K2167" s="29"/>
      <c r="L2167" s="29"/>
      <c r="M2167" s="29"/>
      <c r="N2167" s="29"/>
      <c r="P2167" s="4">
        <f t="shared" si="137"/>
        <v>3.8501751543503181E-3</v>
      </c>
      <c r="Q2167" s="4">
        <f t="shared" si="137"/>
        <v>1.2518658879139856E-4</v>
      </c>
      <c r="R2167" s="4">
        <f t="shared" si="137"/>
        <v>-7.3944324352720045E-3</v>
      </c>
      <c r="S2167" s="4">
        <f t="shared" si="137"/>
        <v>3.8230521714031959E-3</v>
      </c>
      <c r="T2167" s="4">
        <f t="shared" si="137"/>
        <v>4.261468517241321E-3</v>
      </c>
      <c r="U2167" s="35"/>
      <c r="V2167" s="35"/>
      <c r="W2167" s="35"/>
      <c r="X2167" s="35"/>
    </row>
    <row r="2168" spans="4:24" x14ac:dyDescent="0.3">
      <c r="D2168" s="23">
        <v>42725</v>
      </c>
      <c r="E2168" s="5">
        <v>199.66935699999999</v>
      </c>
      <c r="F2168" s="28">
        <v>65.684110000000004</v>
      </c>
      <c r="G2168" s="28">
        <v>107.85</v>
      </c>
      <c r="H2168" s="28">
        <v>114.3873</v>
      </c>
      <c r="I2168" s="28">
        <v>103.1084</v>
      </c>
      <c r="J2168" s="29"/>
      <c r="K2168" s="29"/>
      <c r="L2168" s="29"/>
      <c r="M2168" s="29"/>
      <c r="N2168" s="29"/>
      <c r="P2168" s="4">
        <f t="shared" si="137"/>
        <v>-2.786527177404902E-3</v>
      </c>
      <c r="Q2168" s="4">
        <f t="shared" si="137"/>
        <v>1.4915788755710307E-3</v>
      </c>
      <c r="R2168" s="4">
        <f t="shared" si="137"/>
        <v>5.5648304162827643E-4</v>
      </c>
      <c r="S2168" s="4">
        <f t="shared" si="137"/>
        <v>-7.4718139140687477E-4</v>
      </c>
      <c r="T2168" s="4">
        <f t="shared" si="137"/>
        <v>-2.8279685379366377E-3</v>
      </c>
      <c r="U2168" s="35"/>
      <c r="V2168" s="35"/>
      <c r="W2168" s="35"/>
      <c r="X2168" s="35"/>
    </row>
    <row r="2169" spans="4:24" x14ac:dyDescent="0.3">
      <c r="D2169" s="23">
        <v>42726</v>
      </c>
      <c r="E2169" s="5">
        <v>199.32440199999999</v>
      </c>
      <c r="F2169" s="28">
        <v>65.639129999999994</v>
      </c>
      <c r="G2169" s="28">
        <v>107.59</v>
      </c>
      <c r="H2169" s="28">
        <v>114.0645</v>
      </c>
      <c r="I2169" s="28">
        <v>102.843</v>
      </c>
      <c r="J2169" s="29"/>
      <c r="K2169" s="29"/>
      <c r="L2169" s="29"/>
      <c r="M2169" s="29"/>
      <c r="N2169" s="29"/>
      <c r="P2169" s="4">
        <f t="shared" si="137"/>
        <v>-1.7291252214682764E-3</v>
      </c>
      <c r="Q2169" s="4">
        <f t="shared" si="137"/>
        <v>-6.8502729233543315E-4</v>
      </c>
      <c r="R2169" s="4">
        <f t="shared" si="137"/>
        <v>-2.4136662293474539E-3</v>
      </c>
      <c r="S2169" s="4">
        <f t="shared" si="137"/>
        <v>-2.8259809275120811E-3</v>
      </c>
      <c r="T2169" s="4">
        <f t="shared" si="137"/>
        <v>-2.5773085000671747E-3</v>
      </c>
      <c r="U2169" s="35"/>
      <c r="V2169" s="35"/>
      <c r="W2169" s="35"/>
      <c r="X2169" s="35"/>
    </row>
    <row r="2170" spans="4:24" x14ac:dyDescent="0.3">
      <c r="D2170" s="23">
        <v>42727</v>
      </c>
      <c r="E2170" s="5">
        <v>199.616333</v>
      </c>
      <c r="F2170" s="28">
        <v>65.671850000000006</v>
      </c>
      <c r="G2170" s="28">
        <v>107.93</v>
      </c>
      <c r="H2170" s="28">
        <v>114.1404</v>
      </c>
      <c r="I2170" s="28">
        <v>103.00230000000001</v>
      </c>
      <c r="J2170" s="29"/>
      <c r="K2170" s="29"/>
      <c r="L2170" s="29"/>
      <c r="M2170" s="29"/>
      <c r="N2170" s="29"/>
      <c r="P2170" s="4">
        <f t="shared" si="137"/>
        <v>1.463530928260931E-3</v>
      </c>
      <c r="Q2170" s="4">
        <f t="shared" si="137"/>
        <v>4.9835894419818976E-4</v>
      </c>
      <c r="R2170" s="4">
        <f t="shared" si="137"/>
        <v>3.1551622314370683E-3</v>
      </c>
      <c r="S2170" s="4">
        <f t="shared" si="137"/>
        <v>6.6519170095542606E-4</v>
      </c>
      <c r="T2170" s="4">
        <f t="shared" si="137"/>
        <v>1.5477645766142376E-3</v>
      </c>
      <c r="U2170" s="35"/>
      <c r="V2170" s="35"/>
      <c r="W2170" s="35"/>
      <c r="X2170" s="35"/>
    </row>
    <row r="2171" spans="4:24" x14ac:dyDescent="0.3">
      <c r="D2171" s="23">
        <v>42731</v>
      </c>
      <c r="E2171" s="5">
        <v>200.111526</v>
      </c>
      <c r="F2171" s="28">
        <v>65.62276</v>
      </c>
      <c r="G2171" s="28">
        <v>108.56</v>
      </c>
      <c r="H2171" s="28">
        <v>114.72920000000001</v>
      </c>
      <c r="I2171" s="28">
        <v>103.25879999999999</v>
      </c>
      <c r="J2171" s="29"/>
      <c r="K2171" s="29"/>
      <c r="L2171" s="29"/>
      <c r="M2171" s="29"/>
      <c r="N2171" s="29"/>
      <c r="P2171" s="4">
        <f t="shared" si="137"/>
        <v>2.4776519433064295E-3</v>
      </c>
      <c r="Q2171" s="4">
        <f t="shared" si="137"/>
        <v>-7.4778396900709778E-4</v>
      </c>
      <c r="R2171" s="4">
        <f t="shared" si="137"/>
        <v>5.8201466893586422E-3</v>
      </c>
      <c r="S2171" s="4">
        <f t="shared" si="137"/>
        <v>5.1452993232436591E-3</v>
      </c>
      <c r="T2171" s="4">
        <f t="shared" si="137"/>
        <v>2.4871401560727338E-3</v>
      </c>
      <c r="U2171" s="35"/>
      <c r="V2171" s="35"/>
      <c r="W2171" s="35"/>
      <c r="X2171" s="35"/>
    </row>
    <row r="2172" spans="4:24" x14ac:dyDescent="0.3">
      <c r="D2172" s="23">
        <v>42732</v>
      </c>
      <c r="E2172" s="5">
        <v>198.45773299999999</v>
      </c>
      <c r="F2172" s="28">
        <v>65.786410000000004</v>
      </c>
      <c r="G2172" s="28">
        <v>108.86</v>
      </c>
      <c r="H2172" s="28">
        <v>113.8365</v>
      </c>
      <c r="I2172" s="28">
        <v>102.4006</v>
      </c>
      <c r="J2172" s="29"/>
      <c r="K2172" s="29"/>
      <c r="L2172" s="29"/>
      <c r="M2172" s="29"/>
      <c r="N2172" s="29"/>
      <c r="P2172" s="4">
        <f t="shared" si="137"/>
        <v>-8.2986956661168561E-3</v>
      </c>
      <c r="Q2172" s="4">
        <f t="shared" si="137"/>
        <v>2.4906950496844404E-3</v>
      </c>
      <c r="R2172" s="4">
        <f t="shared" si="137"/>
        <v>2.7596374794401426E-3</v>
      </c>
      <c r="S2172" s="4">
        <f t="shared" si="137"/>
        <v>-7.8113604900293641E-3</v>
      </c>
      <c r="T2172" s="4">
        <f t="shared" si="137"/>
        <v>-8.3458862702416418E-3</v>
      </c>
      <c r="U2172" s="35"/>
      <c r="V2172" s="35"/>
      <c r="W2172" s="35"/>
      <c r="X2172" s="35"/>
    </row>
    <row r="2173" spans="4:24" x14ac:dyDescent="0.3">
      <c r="D2173" s="23">
        <v>42733</v>
      </c>
      <c r="E2173" s="5">
        <v>198.413498</v>
      </c>
      <c r="F2173" s="28">
        <v>65.966409999999996</v>
      </c>
      <c r="G2173" s="28">
        <v>110.29</v>
      </c>
      <c r="H2173" s="28">
        <v>113.6751</v>
      </c>
      <c r="I2173" s="28">
        <v>102.40949999999999</v>
      </c>
      <c r="J2173" s="29"/>
      <c r="K2173" s="29"/>
      <c r="L2173" s="29"/>
      <c r="M2173" s="29"/>
      <c r="N2173" s="29"/>
      <c r="P2173" s="4">
        <f t="shared" si="137"/>
        <v>-2.2291865334609604E-4</v>
      </c>
      <c r="Q2173" s="4">
        <f t="shared" si="137"/>
        <v>2.7323910332908235E-3</v>
      </c>
      <c r="R2173" s="4">
        <f t="shared" si="137"/>
        <v>1.3050607312001666E-2</v>
      </c>
      <c r="S2173" s="4">
        <f t="shared" si="137"/>
        <v>-1.4188289922436655E-3</v>
      </c>
      <c r="T2173" s="4">
        <f t="shared" si="137"/>
        <v>8.6909776476828396E-5</v>
      </c>
      <c r="U2173" s="35"/>
      <c r="V2173" s="35"/>
      <c r="W2173" s="35"/>
      <c r="X2173" s="35"/>
    </row>
    <row r="2174" spans="4:24" x14ac:dyDescent="0.3">
      <c r="D2174" s="23">
        <v>42734</v>
      </c>
      <c r="E2174" s="5">
        <v>197.68833900000001</v>
      </c>
      <c r="F2174" s="28">
        <v>66.105540000000005</v>
      </c>
      <c r="G2174" s="28">
        <v>109.61</v>
      </c>
      <c r="H2174" s="28">
        <v>112.50709999999999</v>
      </c>
      <c r="I2174" s="28">
        <v>102.029</v>
      </c>
      <c r="J2174" s="29"/>
      <c r="K2174" s="29"/>
      <c r="L2174" s="29"/>
      <c r="M2174" s="29"/>
      <c r="N2174" s="29"/>
      <c r="P2174" s="4">
        <f t="shared" si="137"/>
        <v>-3.6614816817946254E-3</v>
      </c>
      <c r="Q2174" s="4">
        <f t="shared" si="137"/>
        <v>2.106882672149207E-3</v>
      </c>
      <c r="R2174" s="4">
        <f t="shared" si="137"/>
        <v>-6.1846490904235692E-3</v>
      </c>
      <c r="S2174" s="4">
        <f t="shared" si="137"/>
        <v>-1.0328048647425496E-2</v>
      </c>
      <c r="T2174" s="4">
        <f t="shared" si="137"/>
        <v>-3.7223951394450526E-3</v>
      </c>
      <c r="U2174" s="35"/>
      <c r="V2174" s="35"/>
      <c r="W2174" s="35"/>
      <c r="X2174" s="35"/>
    </row>
    <row r="2175" spans="4:24" x14ac:dyDescent="0.3">
      <c r="D2175" s="23">
        <v>42738</v>
      </c>
      <c r="E2175" s="5">
        <v>199.200638</v>
      </c>
      <c r="F2175" s="28">
        <v>66.113720000000001</v>
      </c>
      <c r="G2175" s="28">
        <v>110.47</v>
      </c>
      <c r="H2175" s="28">
        <v>113.5137</v>
      </c>
      <c r="I2175" s="28">
        <v>102.80759999999999</v>
      </c>
      <c r="J2175" s="29"/>
      <c r="K2175" s="29"/>
      <c r="L2175" s="29"/>
      <c r="M2175" s="29"/>
      <c r="N2175" s="29"/>
      <c r="P2175" s="4">
        <f t="shared" si="137"/>
        <v>7.6208028276688088E-3</v>
      </c>
      <c r="Q2175" s="4">
        <f t="shared" si="137"/>
        <v>1.237338646493512E-4</v>
      </c>
      <c r="R2175" s="4">
        <f t="shared" si="137"/>
        <v>7.8153796565518102E-3</v>
      </c>
      <c r="S2175" s="4">
        <f t="shared" si="137"/>
        <v>8.9072037188650515E-3</v>
      </c>
      <c r="T2175" s="4">
        <f t="shared" si="137"/>
        <v>7.6021936491961813E-3</v>
      </c>
      <c r="U2175" s="35"/>
      <c r="V2175" s="35"/>
      <c r="W2175" s="35"/>
      <c r="X2175" s="35"/>
    </row>
    <row r="2176" spans="4:24" x14ac:dyDescent="0.3">
      <c r="D2176" s="23">
        <v>42739</v>
      </c>
      <c r="E2176" s="5">
        <v>200.38571200000001</v>
      </c>
      <c r="F2176" s="28">
        <v>66.162769999999995</v>
      </c>
      <c r="G2176" s="28">
        <v>110.86</v>
      </c>
      <c r="H2176" s="28">
        <v>114.1309</v>
      </c>
      <c r="I2176" s="28">
        <v>103.595</v>
      </c>
      <c r="J2176" s="29"/>
      <c r="K2176" s="29"/>
      <c r="L2176" s="29"/>
      <c r="M2176" s="29"/>
      <c r="N2176" s="29"/>
      <c r="P2176" s="4">
        <f t="shared" si="137"/>
        <v>5.9315213071255059E-3</v>
      </c>
      <c r="Q2176" s="4">
        <f t="shared" si="137"/>
        <v>7.4162842162147518E-4</v>
      </c>
      <c r="R2176" s="4">
        <f t="shared" si="137"/>
        <v>3.5241531074748809E-3</v>
      </c>
      <c r="S2176" s="4">
        <f t="shared" si="137"/>
        <v>5.422500795714269E-3</v>
      </c>
      <c r="T2176" s="4">
        <f t="shared" si="137"/>
        <v>7.6297858629765522E-3</v>
      </c>
      <c r="U2176" s="35"/>
      <c r="V2176" s="35"/>
      <c r="W2176" s="35"/>
      <c r="X2176" s="35"/>
    </row>
    <row r="2177" spans="4:24" x14ac:dyDescent="0.3">
      <c r="D2177" s="23">
        <v>42740</v>
      </c>
      <c r="E2177" s="5">
        <v>200.226517</v>
      </c>
      <c r="F2177" s="28">
        <v>66.498279999999994</v>
      </c>
      <c r="G2177" s="28">
        <v>112.58</v>
      </c>
      <c r="H2177" s="28">
        <v>114.7766</v>
      </c>
      <c r="I2177" s="28">
        <v>103.39149999999999</v>
      </c>
      <c r="J2177" s="29"/>
      <c r="K2177" s="29"/>
      <c r="L2177" s="29"/>
      <c r="M2177" s="29"/>
      <c r="N2177" s="29"/>
      <c r="P2177" s="4">
        <f t="shared" si="137"/>
        <v>-7.9475860623077251E-4</v>
      </c>
      <c r="Q2177" s="4">
        <f t="shared" si="137"/>
        <v>5.058164628363811E-3</v>
      </c>
      <c r="R2177" s="4">
        <f t="shared" si="137"/>
        <v>1.5395936044221795E-2</v>
      </c>
      <c r="S2177" s="4">
        <f t="shared" si="137"/>
        <v>5.6415950773910086E-3</v>
      </c>
      <c r="T2177" s="4">
        <f t="shared" si="137"/>
        <v>-1.9663124461493241E-3</v>
      </c>
      <c r="U2177" s="35"/>
      <c r="V2177" s="35"/>
      <c r="W2177" s="35"/>
      <c r="X2177" s="35"/>
    </row>
    <row r="2178" spans="4:24" x14ac:dyDescent="0.3">
      <c r="D2178" s="23">
        <v>42741</v>
      </c>
      <c r="E2178" s="5">
        <v>200.94284099999999</v>
      </c>
      <c r="F2178" s="28">
        <v>66.236419999999995</v>
      </c>
      <c r="G2178" s="28">
        <v>111.75</v>
      </c>
      <c r="H2178" s="28">
        <v>115.78319999999999</v>
      </c>
      <c r="I2178" s="28">
        <v>103.7189</v>
      </c>
      <c r="J2178" s="29"/>
      <c r="K2178" s="29"/>
      <c r="L2178" s="29"/>
      <c r="M2178" s="29"/>
      <c r="N2178" s="29"/>
      <c r="P2178" s="4">
        <f t="shared" si="137"/>
        <v>3.5711838255318156E-3</v>
      </c>
      <c r="Q2178" s="4">
        <f t="shared" si="137"/>
        <v>-3.9456199429056468E-3</v>
      </c>
      <c r="R2178" s="4">
        <f t="shared" si="137"/>
        <v>-7.3998465422023393E-3</v>
      </c>
      <c r="S2178" s="4">
        <f t="shared" si="137"/>
        <v>8.7318465377631722E-3</v>
      </c>
      <c r="T2178" s="4">
        <f t="shared" si="137"/>
        <v>3.1616014716462737E-3</v>
      </c>
      <c r="U2178" s="35"/>
      <c r="V2178" s="35"/>
      <c r="W2178" s="35"/>
      <c r="X2178" s="35"/>
    </row>
    <row r="2179" spans="4:24" x14ac:dyDescent="0.3">
      <c r="D2179" s="23">
        <v>42744</v>
      </c>
      <c r="E2179" s="5">
        <v>200.27955600000001</v>
      </c>
      <c r="F2179" s="28">
        <v>66.400109999999998</v>
      </c>
      <c r="G2179" s="28">
        <v>112.67</v>
      </c>
      <c r="H2179" s="28">
        <v>116.163</v>
      </c>
      <c r="I2179" s="28">
        <v>103.32080000000001</v>
      </c>
      <c r="J2179" s="29"/>
      <c r="K2179" s="29"/>
      <c r="L2179" s="29"/>
      <c r="M2179" s="29"/>
      <c r="N2179" s="29"/>
      <c r="P2179" s="4">
        <f t="shared" si="137"/>
        <v>-3.3063239200987115E-3</v>
      </c>
      <c r="Q2179" s="4">
        <f t="shared" si="137"/>
        <v>2.4682503847695001E-3</v>
      </c>
      <c r="R2179" s="4">
        <f t="shared" si="137"/>
        <v>8.1989586823964199E-3</v>
      </c>
      <c r="S2179" s="4">
        <f t="shared" si="137"/>
        <v>3.2749002953728328E-3</v>
      </c>
      <c r="T2179" s="4">
        <f t="shared" si="137"/>
        <v>-3.8456440057072871E-3</v>
      </c>
      <c r="U2179" s="35"/>
      <c r="V2179" s="35"/>
      <c r="W2179" s="35"/>
      <c r="X2179" s="35"/>
    </row>
    <row r="2180" spans="4:24" x14ac:dyDescent="0.3">
      <c r="D2180" s="23">
        <v>42745</v>
      </c>
      <c r="E2180" s="5">
        <v>200.27955600000001</v>
      </c>
      <c r="F2180" s="28">
        <v>66.383650000000003</v>
      </c>
      <c r="G2180" s="28">
        <v>113.15</v>
      </c>
      <c r="H2180" s="28">
        <v>116.4194</v>
      </c>
      <c r="I2180" s="28">
        <v>103.4004</v>
      </c>
      <c r="J2180" s="29"/>
      <c r="K2180" s="29"/>
      <c r="L2180" s="29"/>
      <c r="M2180" s="29"/>
      <c r="N2180" s="29"/>
      <c r="P2180" s="4">
        <f t="shared" si="137"/>
        <v>0</v>
      </c>
      <c r="Q2180" s="4">
        <f t="shared" si="137"/>
        <v>-2.4792188569307212E-4</v>
      </c>
      <c r="R2180" s="4">
        <f t="shared" si="137"/>
        <v>4.2511799034719256E-3</v>
      </c>
      <c r="S2180" s="4">
        <f t="shared" si="137"/>
        <v>2.2048108873881198E-3</v>
      </c>
      <c r="T2180" s="4">
        <f t="shared" si="137"/>
        <v>7.7011940656425209E-4</v>
      </c>
      <c r="U2180" s="35"/>
      <c r="V2180" s="35"/>
      <c r="W2180" s="35"/>
      <c r="X2180" s="35"/>
    </row>
    <row r="2181" spans="4:24" x14ac:dyDescent="0.3">
      <c r="D2181" s="23">
        <v>42746</v>
      </c>
      <c r="E2181" s="5">
        <v>200.84562700000001</v>
      </c>
      <c r="F2181" s="28">
        <v>66.416420000000002</v>
      </c>
      <c r="G2181" s="28">
        <v>113.5</v>
      </c>
      <c r="H2181" s="28">
        <v>116.7328</v>
      </c>
      <c r="I2181" s="28">
        <v>103.7278</v>
      </c>
      <c r="J2181" s="29"/>
      <c r="K2181" s="29"/>
      <c r="L2181" s="29"/>
      <c r="M2181" s="29"/>
      <c r="N2181" s="29"/>
      <c r="P2181" s="4">
        <f t="shared" ref="P2181:T2196" si="138">LN(E2181/E2180)</f>
        <v>2.8224175383107855E-3</v>
      </c>
      <c r="Q2181" s="4">
        <f t="shared" si="138"/>
        <v>4.9352384626204628E-4</v>
      </c>
      <c r="R2181" s="4">
        <f t="shared" si="138"/>
        <v>3.0884648419108964E-3</v>
      </c>
      <c r="S2181" s="4">
        <f t="shared" si="138"/>
        <v>2.6883742787279876E-3</v>
      </c>
      <c r="T2181" s="4">
        <f t="shared" si="138"/>
        <v>3.1613297722835488E-3</v>
      </c>
      <c r="U2181" s="35"/>
      <c r="V2181" s="35"/>
      <c r="W2181" s="35"/>
      <c r="X2181" s="35"/>
    </row>
    <row r="2182" spans="4:24" x14ac:dyDescent="0.3">
      <c r="D2182" s="23">
        <v>42747</v>
      </c>
      <c r="E2182" s="5">
        <v>200.34150700000001</v>
      </c>
      <c r="F2182" s="28">
        <v>66.432820000000007</v>
      </c>
      <c r="G2182" s="28">
        <v>113.91</v>
      </c>
      <c r="H2182" s="28">
        <v>116.55240000000001</v>
      </c>
      <c r="I2182" s="28">
        <v>103.45350000000001</v>
      </c>
      <c r="J2182" s="29"/>
      <c r="K2182" s="29"/>
      <c r="L2182" s="29"/>
      <c r="M2182" s="29"/>
      <c r="N2182" s="29"/>
      <c r="P2182" s="4">
        <f t="shared" si="138"/>
        <v>-2.5131427336867532E-3</v>
      </c>
      <c r="Q2182" s="4">
        <f t="shared" si="138"/>
        <v>2.4689640803846437E-4</v>
      </c>
      <c r="R2182" s="4">
        <f t="shared" si="138"/>
        <v>3.605825990363209E-3</v>
      </c>
      <c r="S2182" s="4">
        <f t="shared" si="138"/>
        <v>-1.5466050650408468E-3</v>
      </c>
      <c r="T2182" s="4">
        <f t="shared" si="138"/>
        <v>-2.6479239223926748E-3</v>
      </c>
      <c r="U2182" s="35"/>
      <c r="V2182" s="35"/>
      <c r="W2182" s="35"/>
      <c r="X2182" s="35"/>
    </row>
    <row r="2183" spans="4:24" x14ac:dyDescent="0.3">
      <c r="D2183" s="23">
        <v>42748</v>
      </c>
      <c r="E2183" s="5">
        <v>200.80136100000001</v>
      </c>
      <c r="F2183" s="28">
        <v>66.326440000000005</v>
      </c>
      <c r="G2183" s="28">
        <v>114.21</v>
      </c>
      <c r="H2183" s="28">
        <v>116.9512</v>
      </c>
      <c r="I2183" s="28">
        <v>103.71</v>
      </c>
      <c r="J2183" s="29"/>
      <c r="K2183" s="29"/>
      <c r="L2183" s="29"/>
      <c r="M2183" s="29"/>
      <c r="N2183" s="29"/>
      <c r="P2183" s="4">
        <f t="shared" si="138"/>
        <v>2.2927203154850307E-3</v>
      </c>
      <c r="Q2183" s="4">
        <f t="shared" si="138"/>
        <v>-1.6026004177520769E-3</v>
      </c>
      <c r="R2183" s="4">
        <f t="shared" si="138"/>
        <v>2.6301961506949413E-3</v>
      </c>
      <c r="S2183" s="4">
        <f t="shared" si="138"/>
        <v>3.4157964824127092E-3</v>
      </c>
      <c r="T2183" s="4">
        <f t="shared" si="138"/>
        <v>2.476306212952196E-3</v>
      </c>
      <c r="U2183" s="35"/>
      <c r="V2183" s="35"/>
      <c r="W2183" s="35"/>
      <c r="X2183" s="35"/>
    </row>
    <row r="2184" spans="4:24" x14ac:dyDescent="0.3">
      <c r="D2184" s="23">
        <v>42752</v>
      </c>
      <c r="E2184" s="5">
        <v>200.09385700000001</v>
      </c>
      <c r="F2184" s="28">
        <v>66.531030000000001</v>
      </c>
      <c r="G2184" s="28">
        <v>115.85</v>
      </c>
      <c r="H2184" s="28">
        <v>116.59990000000001</v>
      </c>
      <c r="I2184" s="28">
        <v>103.25</v>
      </c>
      <c r="J2184" s="29"/>
      <c r="K2184" s="29"/>
      <c r="L2184" s="29"/>
      <c r="M2184" s="29"/>
      <c r="N2184" s="29"/>
      <c r="P2184" s="4">
        <f t="shared" si="138"/>
        <v>-3.5296242147816181E-3</v>
      </c>
      <c r="Q2184" s="4">
        <f t="shared" si="138"/>
        <v>3.0798443131399822E-3</v>
      </c>
      <c r="R2184" s="4">
        <f t="shared" si="138"/>
        <v>1.4257391815869533E-2</v>
      </c>
      <c r="S2184" s="4">
        <f t="shared" si="138"/>
        <v>-3.0083374896668373E-3</v>
      </c>
      <c r="T2184" s="4">
        <f t="shared" si="138"/>
        <v>-4.4453107605006885E-3</v>
      </c>
      <c r="U2184" s="35"/>
      <c r="V2184" s="35"/>
      <c r="W2184" s="35"/>
      <c r="X2184" s="35"/>
    </row>
    <row r="2185" spans="4:24" x14ac:dyDescent="0.3">
      <c r="D2185" s="23">
        <v>42753</v>
      </c>
      <c r="E2185" s="5">
        <v>200.53607199999999</v>
      </c>
      <c r="F2185" s="28">
        <v>66.187330000000003</v>
      </c>
      <c r="G2185" s="28">
        <v>114.87</v>
      </c>
      <c r="H2185" s="28">
        <v>116.8373</v>
      </c>
      <c r="I2185" s="28">
        <v>103.4889</v>
      </c>
      <c r="J2185" s="29"/>
      <c r="K2185" s="29"/>
      <c r="L2185" s="29"/>
      <c r="M2185" s="29"/>
      <c r="N2185" s="29"/>
      <c r="P2185" s="4">
        <f t="shared" si="138"/>
        <v>2.2075993208902412E-3</v>
      </c>
      <c r="Q2185" s="4">
        <f t="shared" si="138"/>
        <v>-5.1794004740026069E-3</v>
      </c>
      <c r="R2185" s="4">
        <f t="shared" si="138"/>
        <v>-8.4951967210722401E-3</v>
      </c>
      <c r="S2185" s="4">
        <f t="shared" si="138"/>
        <v>2.0339524449649762E-3</v>
      </c>
      <c r="T2185" s="4">
        <f t="shared" si="138"/>
        <v>2.3111287361662434E-3</v>
      </c>
      <c r="U2185" s="35"/>
      <c r="V2185" s="35"/>
      <c r="W2185" s="35"/>
      <c r="X2185" s="35"/>
    </row>
    <row r="2186" spans="4:24" x14ac:dyDescent="0.3">
      <c r="D2186" s="23">
        <v>42754</v>
      </c>
      <c r="E2186" s="5">
        <v>199.79316700000001</v>
      </c>
      <c r="F2186" s="28">
        <v>66.072779999999995</v>
      </c>
      <c r="G2186" s="28">
        <v>114.77</v>
      </c>
      <c r="H2186" s="28">
        <v>116.7803</v>
      </c>
      <c r="I2186" s="28">
        <v>103.0819</v>
      </c>
      <c r="J2186" s="29"/>
      <c r="K2186" s="29"/>
      <c r="L2186" s="29"/>
      <c r="M2186" s="29"/>
      <c r="N2186" s="29"/>
      <c r="P2186" s="4">
        <f t="shared" si="138"/>
        <v>-3.711474358711029E-3</v>
      </c>
      <c r="Q2186" s="4">
        <f t="shared" si="138"/>
        <v>-1.732193155475404E-3</v>
      </c>
      <c r="R2186" s="4">
        <f t="shared" si="138"/>
        <v>-8.7092846473595564E-4</v>
      </c>
      <c r="S2186" s="4">
        <f t="shared" si="138"/>
        <v>-4.8797694292796395E-4</v>
      </c>
      <c r="T2186" s="4">
        <f t="shared" si="138"/>
        <v>-3.9405426774129669E-3</v>
      </c>
      <c r="U2186" s="35"/>
      <c r="V2186" s="35"/>
      <c r="W2186" s="35"/>
      <c r="X2186" s="35"/>
    </row>
    <row r="2187" spans="4:24" x14ac:dyDescent="0.3">
      <c r="D2187" s="23">
        <v>42755</v>
      </c>
      <c r="E2187" s="5">
        <v>200.52722199999999</v>
      </c>
      <c r="F2187" s="28">
        <v>66.121859999999998</v>
      </c>
      <c r="G2187" s="28">
        <v>115.05</v>
      </c>
      <c r="H2187" s="28">
        <v>117.0367</v>
      </c>
      <c r="I2187" s="28">
        <v>103.4358</v>
      </c>
      <c r="J2187" s="29"/>
      <c r="K2187" s="29"/>
      <c r="L2187" s="29"/>
      <c r="M2187" s="29"/>
      <c r="N2187" s="29"/>
      <c r="P2187" s="4">
        <f t="shared" si="138"/>
        <v>3.6673416737517382E-3</v>
      </c>
      <c r="Q2187" s="4">
        <f t="shared" si="138"/>
        <v>7.4254148663048666E-4</v>
      </c>
      <c r="R2187" s="4">
        <f t="shared" si="138"/>
        <v>2.4366907887979662E-3</v>
      </c>
      <c r="S2187" s="4">
        <f t="shared" si="138"/>
        <v>2.1931690405185712E-3</v>
      </c>
      <c r="T2187" s="4">
        <f t="shared" si="138"/>
        <v>3.4273124911126576E-3</v>
      </c>
      <c r="U2187" s="35"/>
      <c r="V2187" s="35"/>
      <c r="W2187" s="35"/>
      <c r="X2187" s="35"/>
    </row>
    <row r="2188" spans="4:24" x14ac:dyDescent="0.3">
      <c r="D2188" s="23">
        <v>42758</v>
      </c>
      <c r="E2188" s="5">
        <v>200.00541699999999</v>
      </c>
      <c r="F2188" s="28">
        <v>66.301900000000003</v>
      </c>
      <c r="G2188" s="28">
        <v>115.79</v>
      </c>
      <c r="H2188" s="28">
        <v>117.13160000000001</v>
      </c>
      <c r="I2188" s="28">
        <v>103.1615</v>
      </c>
      <c r="J2188" s="29"/>
      <c r="K2188" s="29"/>
      <c r="L2188" s="29"/>
      <c r="M2188" s="29"/>
      <c r="N2188" s="29"/>
      <c r="P2188" s="4">
        <f t="shared" si="138"/>
        <v>-2.6055569229550706E-3</v>
      </c>
      <c r="Q2188" s="4">
        <f t="shared" si="138"/>
        <v>2.7191511694182493E-3</v>
      </c>
      <c r="R2188" s="4">
        <f t="shared" si="138"/>
        <v>6.4113891428068479E-3</v>
      </c>
      <c r="S2188" s="4">
        <f t="shared" si="138"/>
        <v>8.1052819869680925E-4</v>
      </c>
      <c r="T2188" s="4">
        <f t="shared" si="138"/>
        <v>-2.6554089639949699E-3</v>
      </c>
      <c r="U2188" s="35"/>
      <c r="V2188" s="35"/>
      <c r="W2188" s="35"/>
      <c r="X2188" s="35"/>
    </row>
    <row r="2189" spans="4:24" x14ac:dyDescent="0.3">
      <c r="D2189" s="23">
        <v>42759</v>
      </c>
      <c r="E2189" s="5">
        <v>201.28779599999999</v>
      </c>
      <c r="F2189" s="28">
        <v>66.203739999999996</v>
      </c>
      <c r="G2189" s="28">
        <v>115.27</v>
      </c>
      <c r="H2189" s="28">
        <v>117.9198</v>
      </c>
      <c r="I2189" s="28">
        <v>103.9666</v>
      </c>
      <c r="J2189" s="29"/>
      <c r="K2189" s="29"/>
      <c r="L2189" s="29"/>
      <c r="M2189" s="29"/>
      <c r="N2189" s="29"/>
      <c r="P2189" s="4">
        <f t="shared" si="138"/>
        <v>6.3912536952294213E-3</v>
      </c>
      <c r="Q2189" s="4">
        <f t="shared" si="138"/>
        <v>-1.4815975826566166E-3</v>
      </c>
      <c r="R2189" s="4">
        <f t="shared" si="138"/>
        <v>-4.5010030112605324E-3</v>
      </c>
      <c r="S2189" s="4">
        <f t="shared" si="138"/>
        <v>6.7066433501157411E-3</v>
      </c>
      <c r="T2189" s="4">
        <f t="shared" si="138"/>
        <v>7.7739722872654706E-3</v>
      </c>
      <c r="U2189" s="35"/>
      <c r="V2189" s="35"/>
      <c r="W2189" s="35"/>
      <c r="X2189" s="35"/>
    </row>
    <row r="2190" spans="4:24" x14ac:dyDescent="0.3">
      <c r="D2190" s="23">
        <v>42760</v>
      </c>
      <c r="E2190" s="5">
        <v>203.03001399999999</v>
      </c>
      <c r="F2190" s="28">
        <v>66.007300000000001</v>
      </c>
      <c r="G2190" s="28">
        <v>114.32</v>
      </c>
      <c r="H2190" s="28">
        <v>119.10680000000001</v>
      </c>
      <c r="I2190" s="28">
        <v>104.86020000000001</v>
      </c>
      <c r="J2190" s="29"/>
      <c r="K2190" s="29"/>
      <c r="L2190" s="29"/>
      <c r="M2190" s="29"/>
      <c r="N2190" s="29"/>
      <c r="P2190" s="4">
        <f t="shared" si="138"/>
        <v>8.6181154530002319E-3</v>
      </c>
      <c r="Q2190" s="4">
        <f t="shared" si="138"/>
        <v>-2.9716148447992154E-3</v>
      </c>
      <c r="R2190" s="4">
        <f t="shared" si="138"/>
        <v>-8.2756689913092533E-3</v>
      </c>
      <c r="S2190" s="4">
        <f t="shared" si="138"/>
        <v>1.0015837235198241E-2</v>
      </c>
      <c r="T2190" s="4">
        <f t="shared" si="138"/>
        <v>8.558340733267401E-3</v>
      </c>
      <c r="U2190" s="35"/>
      <c r="V2190" s="35"/>
      <c r="W2190" s="35"/>
      <c r="X2190" s="35"/>
    </row>
    <row r="2191" spans="4:24" x14ac:dyDescent="0.3">
      <c r="D2191" s="23">
        <v>42761</v>
      </c>
      <c r="E2191" s="5">
        <v>202.817825</v>
      </c>
      <c r="F2191" s="28">
        <v>66.031850000000006</v>
      </c>
      <c r="G2191" s="28">
        <v>113.26</v>
      </c>
      <c r="H2191" s="28">
        <v>119.2302</v>
      </c>
      <c r="I2191" s="28">
        <v>104.7098</v>
      </c>
      <c r="J2191" s="29"/>
      <c r="K2191" s="29"/>
      <c r="L2191" s="29"/>
      <c r="M2191" s="29"/>
      <c r="N2191" s="29"/>
      <c r="P2191" s="4">
        <f t="shared" si="138"/>
        <v>-1.0456579976218961E-3</v>
      </c>
      <c r="Q2191" s="4">
        <f t="shared" si="138"/>
        <v>3.718594111353283E-4</v>
      </c>
      <c r="R2191" s="4">
        <f t="shared" si="138"/>
        <v>-9.3154729359529176E-3</v>
      </c>
      <c r="S2191" s="4">
        <f t="shared" si="138"/>
        <v>1.0355086371530914E-3</v>
      </c>
      <c r="T2191" s="4">
        <f t="shared" si="138"/>
        <v>-1.4353201872450577E-3</v>
      </c>
      <c r="U2191" s="35"/>
      <c r="V2191" s="35"/>
      <c r="W2191" s="35"/>
      <c r="X2191" s="35"/>
    </row>
    <row r="2192" spans="4:24" x14ac:dyDescent="0.3">
      <c r="D2192" s="23">
        <v>42762</v>
      </c>
      <c r="E2192" s="5">
        <v>202.499405</v>
      </c>
      <c r="F2192" s="28">
        <v>66.105540000000005</v>
      </c>
      <c r="G2192" s="28">
        <v>113.49</v>
      </c>
      <c r="H2192" s="28">
        <v>119.4581</v>
      </c>
      <c r="I2192" s="28">
        <v>104.54170000000001</v>
      </c>
      <c r="J2192" s="29"/>
      <c r="K2192" s="29"/>
      <c r="L2192" s="29"/>
      <c r="M2192" s="29"/>
      <c r="N2192" s="29"/>
      <c r="P2192" s="4">
        <f t="shared" si="138"/>
        <v>-1.5712140611802612E-3</v>
      </c>
      <c r="Q2192" s="4">
        <f t="shared" si="138"/>
        <v>1.115354369256016E-3</v>
      </c>
      <c r="R2192" s="4">
        <f t="shared" si="138"/>
        <v>2.0286666273884781E-3</v>
      </c>
      <c r="S2192" s="4">
        <f t="shared" si="138"/>
        <v>1.909604025457288E-3</v>
      </c>
      <c r="T2192" s="4">
        <f t="shared" si="138"/>
        <v>-1.6066793897426856E-3</v>
      </c>
      <c r="U2192" s="35"/>
      <c r="V2192" s="35"/>
      <c r="W2192" s="35"/>
      <c r="X2192" s="35"/>
    </row>
    <row r="2193" spans="4:24" x14ac:dyDescent="0.3">
      <c r="D2193" s="23">
        <v>42765</v>
      </c>
      <c r="E2193" s="5">
        <v>201.243561</v>
      </c>
      <c r="F2193" s="28">
        <v>66.089129999999997</v>
      </c>
      <c r="G2193" s="28">
        <v>113.97</v>
      </c>
      <c r="H2193" s="28">
        <v>118.5275</v>
      </c>
      <c r="I2193" s="28">
        <v>103.8339</v>
      </c>
      <c r="J2193" s="29"/>
      <c r="K2193" s="29"/>
      <c r="L2193" s="29"/>
      <c r="M2193" s="29"/>
      <c r="N2193" s="29"/>
      <c r="P2193" s="4">
        <f t="shared" si="138"/>
        <v>-6.2210275149071634E-3</v>
      </c>
      <c r="Q2193" s="4">
        <f t="shared" si="138"/>
        <v>-2.4827022276004997E-4</v>
      </c>
      <c r="R2193" s="4">
        <f t="shared" si="138"/>
        <v>4.2205285545963067E-3</v>
      </c>
      <c r="S2193" s="4">
        <f t="shared" si="138"/>
        <v>-7.8206811100329024E-3</v>
      </c>
      <c r="T2193" s="4">
        <f t="shared" si="138"/>
        <v>-6.7935278621675697E-3</v>
      </c>
      <c r="U2193" s="35"/>
      <c r="V2193" s="35"/>
      <c r="W2193" s="35"/>
      <c r="X2193" s="35"/>
    </row>
    <row r="2194" spans="4:24" x14ac:dyDescent="0.3">
      <c r="D2194" s="23">
        <v>42766</v>
      </c>
      <c r="E2194" s="5">
        <v>201.22586100000001</v>
      </c>
      <c r="F2194" s="28">
        <v>66.228279999999998</v>
      </c>
      <c r="G2194" s="28">
        <v>115.55</v>
      </c>
      <c r="H2194" s="28">
        <v>118.2901</v>
      </c>
      <c r="I2194" s="28">
        <v>103.9224</v>
      </c>
      <c r="J2194" s="29"/>
      <c r="K2194" s="29"/>
      <c r="L2194" s="29"/>
      <c r="M2194" s="29"/>
      <c r="N2194" s="29"/>
      <c r="P2194" s="4">
        <f t="shared" si="138"/>
        <v>-8.7956992724828241E-5</v>
      </c>
      <c r="Q2194" s="4">
        <f t="shared" si="138"/>
        <v>2.1032765272131016E-3</v>
      </c>
      <c r="R2194" s="4">
        <f t="shared" si="138"/>
        <v>1.3768080852745813E-2</v>
      </c>
      <c r="S2194" s="4">
        <f t="shared" si="138"/>
        <v>-2.0049192249485303E-3</v>
      </c>
      <c r="T2194" s="4">
        <f t="shared" si="138"/>
        <v>8.5195977549694249E-4</v>
      </c>
      <c r="U2194" s="35"/>
      <c r="V2194" s="35"/>
      <c r="W2194" s="35"/>
      <c r="X2194" s="35"/>
    </row>
    <row r="2195" spans="4:24" x14ac:dyDescent="0.3">
      <c r="D2195" s="23">
        <v>42767</v>
      </c>
      <c r="E2195" s="5">
        <v>201.30545000000001</v>
      </c>
      <c r="F2195" s="28">
        <v>66.111789999999999</v>
      </c>
      <c r="G2195" s="28">
        <v>115.2</v>
      </c>
      <c r="H2195" s="28">
        <v>119.10680000000001</v>
      </c>
      <c r="I2195" s="28">
        <v>103.9135</v>
      </c>
      <c r="J2195" s="29"/>
      <c r="K2195" s="29"/>
      <c r="L2195" s="29"/>
      <c r="M2195" s="29"/>
      <c r="N2195" s="29"/>
      <c r="P2195" s="4">
        <f t="shared" si="138"/>
        <v>3.9544253508830209E-4</v>
      </c>
      <c r="Q2195" s="4">
        <f t="shared" si="138"/>
        <v>-1.7604649912281655E-3</v>
      </c>
      <c r="R2195" s="4">
        <f t="shared" si="138"/>
        <v>-3.0335884585988215E-3</v>
      </c>
      <c r="S2195" s="4">
        <f t="shared" si="138"/>
        <v>6.8804876723711321E-3</v>
      </c>
      <c r="T2195" s="4">
        <f t="shared" si="138"/>
        <v>-8.564449169206778E-5</v>
      </c>
      <c r="U2195" s="35"/>
      <c r="V2195" s="35"/>
      <c r="W2195" s="35"/>
      <c r="X2195" s="35"/>
    </row>
    <row r="2196" spans="4:24" x14ac:dyDescent="0.3">
      <c r="D2196" s="23">
        <v>42768</v>
      </c>
      <c r="E2196" s="5">
        <v>201.438141</v>
      </c>
      <c r="F2196" s="28">
        <v>66.152820000000006</v>
      </c>
      <c r="G2196" s="28">
        <v>115.84</v>
      </c>
      <c r="H2196" s="28">
        <v>119.00230000000001</v>
      </c>
      <c r="I2196" s="28">
        <v>103.9843</v>
      </c>
      <c r="J2196" s="29"/>
      <c r="K2196" s="29"/>
      <c r="L2196" s="29"/>
      <c r="M2196" s="29"/>
      <c r="N2196" s="29"/>
      <c r="P2196" s="4">
        <f t="shared" si="138"/>
        <v>6.5893540091682462E-4</v>
      </c>
      <c r="Q2196" s="4">
        <f t="shared" si="138"/>
        <v>6.2042297355477925E-4</v>
      </c>
      <c r="R2196" s="4">
        <f t="shared" si="138"/>
        <v>5.5401803756153509E-3</v>
      </c>
      <c r="S2196" s="4">
        <f t="shared" si="138"/>
        <v>-8.7774895381385898E-4</v>
      </c>
      <c r="T2196" s="4">
        <f t="shared" si="138"/>
        <v>6.8110391487576799E-4</v>
      </c>
      <c r="U2196" s="35"/>
      <c r="V2196" s="35"/>
      <c r="W2196" s="35"/>
      <c r="X2196" s="35"/>
    </row>
    <row r="2197" spans="4:24" x14ac:dyDescent="0.3">
      <c r="D2197" s="23">
        <v>42769</v>
      </c>
      <c r="E2197" s="5">
        <v>202.82664500000001</v>
      </c>
      <c r="F2197" s="28">
        <v>66.169219999999996</v>
      </c>
      <c r="G2197" s="28">
        <v>116.13</v>
      </c>
      <c r="H2197" s="28">
        <v>119.3441</v>
      </c>
      <c r="I2197" s="28">
        <v>104.7717</v>
      </c>
      <c r="J2197" s="29"/>
      <c r="K2197" s="29"/>
      <c r="L2197" s="29"/>
      <c r="M2197" s="29"/>
      <c r="N2197" s="29"/>
      <c r="P2197" s="4">
        <f t="shared" ref="P2197:T2212" si="139">LN(E2197/E2196)</f>
        <v>6.8693069892285215E-3</v>
      </c>
      <c r="Q2197" s="4">
        <f t="shared" si="139"/>
        <v>2.4788009743441228E-4</v>
      </c>
      <c r="R2197" s="4">
        <f t="shared" si="139"/>
        <v>2.5003246202602121E-3</v>
      </c>
      <c r="S2197" s="4">
        <f t="shared" si="139"/>
        <v>2.868096470542072E-3</v>
      </c>
      <c r="T2197" s="4">
        <f t="shared" si="139"/>
        <v>7.5437710450603204E-3</v>
      </c>
      <c r="U2197" s="35"/>
      <c r="V2197" s="35"/>
      <c r="W2197" s="35"/>
      <c r="X2197" s="35"/>
    </row>
    <row r="2198" spans="4:24" x14ac:dyDescent="0.3">
      <c r="D2198" s="23">
        <v>42772</v>
      </c>
      <c r="E2198" s="5">
        <v>202.463989</v>
      </c>
      <c r="F2198" s="28">
        <v>66.374219999999994</v>
      </c>
      <c r="G2198" s="28">
        <v>117.7</v>
      </c>
      <c r="H2198" s="28">
        <v>119.4866</v>
      </c>
      <c r="I2198" s="28">
        <v>104.524</v>
      </c>
      <c r="J2198" s="29"/>
      <c r="K2198" s="29"/>
      <c r="L2198" s="29"/>
      <c r="M2198" s="29"/>
      <c r="N2198" s="29"/>
      <c r="P2198" s="4">
        <f t="shared" si="139"/>
        <v>-1.7896100544479545E-3</v>
      </c>
      <c r="Q2198" s="4">
        <f t="shared" si="139"/>
        <v>3.0933279453872506E-3</v>
      </c>
      <c r="R2198" s="4">
        <f t="shared" si="139"/>
        <v>1.3428761008564764E-2</v>
      </c>
      <c r="S2198" s="4">
        <f t="shared" si="139"/>
        <v>1.1933140664912754E-3</v>
      </c>
      <c r="T2198" s="4">
        <f t="shared" si="139"/>
        <v>-2.3669871444809095E-3</v>
      </c>
      <c r="U2198" s="35"/>
      <c r="V2198" s="35"/>
      <c r="W2198" s="35"/>
      <c r="X2198" s="35"/>
    </row>
    <row r="2199" spans="4:24" x14ac:dyDescent="0.3">
      <c r="D2199" s="23">
        <v>42773</v>
      </c>
      <c r="E2199" s="5">
        <v>202.47285500000001</v>
      </c>
      <c r="F2199" s="28">
        <v>66.480779999999996</v>
      </c>
      <c r="G2199" s="28">
        <v>117.46</v>
      </c>
      <c r="H2199" s="28">
        <v>119.9234</v>
      </c>
      <c r="I2199" s="28">
        <v>104.5151</v>
      </c>
      <c r="J2199" s="29"/>
      <c r="K2199" s="29"/>
      <c r="L2199" s="29"/>
      <c r="M2199" s="29"/>
      <c r="N2199" s="29"/>
      <c r="P2199" s="4">
        <f t="shared" si="139"/>
        <v>4.378954463042247E-5</v>
      </c>
      <c r="Q2199" s="4">
        <f t="shared" si="139"/>
        <v>1.6041552497237698E-3</v>
      </c>
      <c r="R2199" s="4">
        <f t="shared" si="139"/>
        <v>-2.041164171857705E-3</v>
      </c>
      <c r="S2199" s="4">
        <f t="shared" si="139"/>
        <v>3.6489744343712847E-3</v>
      </c>
      <c r="T2199" s="4">
        <f t="shared" si="139"/>
        <v>-8.51515339032097E-5</v>
      </c>
      <c r="U2199" s="35"/>
      <c r="V2199" s="35"/>
      <c r="W2199" s="35"/>
      <c r="X2199" s="35"/>
    </row>
    <row r="2200" spans="4:24" x14ac:dyDescent="0.3">
      <c r="D2200" s="23">
        <v>42774</v>
      </c>
      <c r="E2200" s="5">
        <v>202.73819</v>
      </c>
      <c r="F2200" s="28">
        <v>66.661169999999998</v>
      </c>
      <c r="G2200" s="28">
        <v>118.19</v>
      </c>
      <c r="H2200" s="28">
        <v>120.1228</v>
      </c>
      <c r="I2200" s="28">
        <v>104.6302</v>
      </c>
      <c r="J2200" s="29"/>
      <c r="K2200" s="29"/>
      <c r="L2200" s="29"/>
      <c r="M2200" s="29"/>
      <c r="N2200" s="29"/>
      <c r="P2200" s="4">
        <f t="shared" si="139"/>
        <v>1.3096140453068544E-3</v>
      </c>
      <c r="Q2200" s="4">
        <f t="shared" si="139"/>
        <v>2.7097411503899361E-3</v>
      </c>
      <c r="R2200" s="4">
        <f t="shared" si="139"/>
        <v>6.195648929775836E-3</v>
      </c>
      <c r="S2200" s="4">
        <f t="shared" si="139"/>
        <v>1.661347239516616E-3</v>
      </c>
      <c r="T2200" s="4">
        <f t="shared" si="139"/>
        <v>1.1006703150399186E-3</v>
      </c>
      <c r="U2200" s="35"/>
      <c r="V2200" s="35"/>
      <c r="W2200" s="35"/>
      <c r="X2200" s="35"/>
    </row>
    <row r="2201" spans="4:24" x14ac:dyDescent="0.3">
      <c r="D2201" s="23">
        <v>42775</v>
      </c>
      <c r="E2201" s="5">
        <v>203.94094799999999</v>
      </c>
      <c r="F2201" s="28">
        <v>66.480779999999996</v>
      </c>
      <c r="G2201" s="28">
        <v>117.29</v>
      </c>
      <c r="H2201" s="28">
        <v>120.5596</v>
      </c>
      <c r="I2201" s="28">
        <v>105.3203</v>
      </c>
      <c r="J2201" s="29"/>
      <c r="K2201" s="29"/>
      <c r="L2201" s="29"/>
      <c r="M2201" s="29"/>
      <c r="N2201" s="29"/>
      <c r="P2201" s="4">
        <f t="shared" si="139"/>
        <v>5.9150391275200965E-3</v>
      </c>
      <c r="Q2201" s="4">
        <f t="shared" si="139"/>
        <v>-2.7097411503900176E-3</v>
      </c>
      <c r="R2201" s="4">
        <f t="shared" si="139"/>
        <v>-7.6439984907354592E-3</v>
      </c>
      <c r="S2201" s="4">
        <f t="shared" si="139"/>
        <v>3.6296835959375379E-3</v>
      </c>
      <c r="T2201" s="4">
        <f t="shared" si="139"/>
        <v>6.5739541970949436E-3</v>
      </c>
      <c r="U2201" s="35"/>
      <c r="V2201" s="35"/>
      <c r="W2201" s="35"/>
      <c r="X2201" s="35"/>
    </row>
    <row r="2202" spans="4:24" x14ac:dyDescent="0.3">
      <c r="D2202" s="23">
        <v>42776</v>
      </c>
      <c r="E2202" s="5">
        <v>204.74577300000001</v>
      </c>
      <c r="F2202" s="28">
        <v>66.464399999999998</v>
      </c>
      <c r="G2202" s="28">
        <v>117.6</v>
      </c>
      <c r="H2202" s="28">
        <v>120.9585</v>
      </c>
      <c r="I2202" s="28">
        <v>105.7627</v>
      </c>
      <c r="J2202" s="29"/>
      <c r="K2202" s="29"/>
      <c r="L2202" s="29"/>
      <c r="M2202" s="29"/>
      <c r="N2202" s="29"/>
      <c r="P2202" s="4">
        <f t="shared" si="139"/>
        <v>3.9385964801462803E-3</v>
      </c>
      <c r="Q2202" s="4">
        <f t="shared" si="139"/>
        <v>-2.4641735913832734E-4</v>
      </c>
      <c r="R2202" s="4">
        <f t="shared" si="139"/>
        <v>2.6395349311127431E-3</v>
      </c>
      <c r="S2202" s="4">
        <f t="shared" si="139"/>
        <v>3.3032750979787662E-3</v>
      </c>
      <c r="T2202" s="4">
        <f t="shared" si="139"/>
        <v>4.191722192377882E-3</v>
      </c>
      <c r="U2202" s="35"/>
      <c r="V2202" s="35"/>
      <c r="W2202" s="35"/>
      <c r="X2202" s="35"/>
    </row>
    <row r="2203" spans="4:24" x14ac:dyDescent="0.3">
      <c r="D2203" s="23">
        <v>42779</v>
      </c>
      <c r="E2203" s="5">
        <v>205.86007699999999</v>
      </c>
      <c r="F2203" s="28">
        <v>66.390609999999995</v>
      </c>
      <c r="G2203" s="28">
        <v>116.8</v>
      </c>
      <c r="H2203" s="28">
        <v>121.6421</v>
      </c>
      <c r="I2203" s="28">
        <v>106.29349999999999</v>
      </c>
      <c r="J2203" s="29"/>
      <c r="K2203" s="29"/>
      <c r="L2203" s="29"/>
      <c r="M2203" s="29"/>
      <c r="N2203" s="29"/>
      <c r="P2203" s="4">
        <f t="shared" si="139"/>
        <v>5.4276223075237894E-3</v>
      </c>
      <c r="Q2203" s="4">
        <f t="shared" si="139"/>
        <v>-1.1108351516106634E-3</v>
      </c>
      <c r="R2203" s="4">
        <f t="shared" si="139"/>
        <v>-6.8259650703998706E-3</v>
      </c>
      <c r="S2203" s="4">
        <f t="shared" si="139"/>
        <v>5.6356151573358146E-3</v>
      </c>
      <c r="T2203" s="4">
        <f t="shared" si="139"/>
        <v>5.0062305048429743E-3</v>
      </c>
      <c r="U2203" s="35"/>
      <c r="V2203" s="35"/>
      <c r="W2203" s="35"/>
      <c r="X2203" s="35"/>
    </row>
    <row r="2204" spans="4:24" x14ac:dyDescent="0.3">
      <c r="D2204" s="23">
        <v>42780</v>
      </c>
      <c r="E2204" s="5">
        <v>206.68258700000001</v>
      </c>
      <c r="F2204" s="28">
        <v>66.251239999999996</v>
      </c>
      <c r="G2204" s="28">
        <v>116.93</v>
      </c>
      <c r="H2204" s="28">
        <v>122.0505</v>
      </c>
      <c r="I2204" s="28">
        <v>106.6828</v>
      </c>
      <c r="J2204" s="29"/>
      <c r="K2204" s="29"/>
      <c r="L2204" s="29"/>
      <c r="M2204" s="29"/>
      <c r="N2204" s="29"/>
      <c r="P2204" s="4">
        <f t="shared" si="139"/>
        <v>3.9875201360855851E-3</v>
      </c>
      <c r="Q2204" s="4">
        <f t="shared" si="139"/>
        <v>-2.1014491472968028E-3</v>
      </c>
      <c r="R2204" s="4">
        <f t="shared" si="139"/>
        <v>1.1123947581004345E-3</v>
      </c>
      <c r="S2204" s="4">
        <f t="shared" si="139"/>
        <v>3.3517667942481694E-3</v>
      </c>
      <c r="T2204" s="4">
        <f t="shared" si="139"/>
        <v>3.6558099054312108E-3</v>
      </c>
      <c r="U2204" s="35"/>
      <c r="V2204" s="35"/>
      <c r="W2204" s="35"/>
      <c r="X2204" s="35"/>
    </row>
    <row r="2205" spans="4:24" x14ac:dyDescent="0.3">
      <c r="D2205" s="23">
        <v>42781</v>
      </c>
      <c r="E2205" s="5">
        <v>207.761551</v>
      </c>
      <c r="F2205" s="28">
        <v>66.144649999999999</v>
      </c>
      <c r="G2205" s="28">
        <v>117.45</v>
      </c>
      <c r="H2205" s="28">
        <v>122.7722</v>
      </c>
      <c r="I2205" s="28">
        <v>107.2667</v>
      </c>
      <c r="J2205" s="29"/>
      <c r="K2205" s="29"/>
      <c r="L2205" s="29"/>
      <c r="M2205" s="29"/>
      <c r="N2205" s="29"/>
      <c r="P2205" s="4">
        <f t="shared" si="139"/>
        <v>5.2068123962168674E-3</v>
      </c>
      <c r="Q2205" s="4">
        <f t="shared" si="139"/>
        <v>-1.6101711772053366E-3</v>
      </c>
      <c r="R2205" s="4">
        <f t="shared" si="139"/>
        <v>4.4372459526946916E-3</v>
      </c>
      <c r="S2205" s="4">
        <f t="shared" si="139"/>
        <v>5.8957122071473063E-3</v>
      </c>
      <c r="T2205" s="4">
        <f t="shared" si="139"/>
        <v>5.4583109536103366E-3</v>
      </c>
      <c r="U2205" s="35"/>
      <c r="V2205" s="35"/>
      <c r="W2205" s="35"/>
      <c r="X2205" s="35"/>
    </row>
    <row r="2206" spans="4:24" x14ac:dyDescent="0.3">
      <c r="D2206" s="23">
        <v>42782</v>
      </c>
      <c r="E2206" s="5">
        <v>207.584641</v>
      </c>
      <c r="F2206" s="28">
        <v>66.267650000000003</v>
      </c>
      <c r="G2206" s="28">
        <v>118.08</v>
      </c>
      <c r="H2206" s="28">
        <v>122.7342</v>
      </c>
      <c r="I2206" s="28">
        <v>107.1694</v>
      </c>
      <c r="J2206" s="29"/>
      <c r="K2206" s="29"/>
      <c r="L2206" s="29"/>
      <c r="M2206" s="29"/>
      <c r="N2206" s="29"/>
      <c r="P2206" s="4">
        <f t="shared" si="139"/>
        <v>-8.5186773879609046E-4</v>
      </c>
      <c r="Q2206" s="4">
        <f t="shared" si="139"/>
        <v>1.8578339833740809E-3</v>
      </c>
      <c r="R2206" s="4">
        <f t="shared" si="139"/>
        <v>5.3496497472404793E-3</v>
      </c>
      <c r="S2206" s="4">
        <f t="shared" si="139"/>
        <v>-3.0956423379154512E-4</v>
      </c>
      <c r="T2206" s="4">
        <f t="shared" si="139"/>
        <v>-9.0749651460382791E-4</v>
      </c>
      <c r="U2206" s="35"/>
      <c r="V2206" s="35"/>
      <c r="W2206" s="35"/>
      <c r="X2206" s="35"/>
    </row>
    <row r="2207" spans="4:24" x14ac:dyDescent="0.3">
      <c r="D2207" s="23">
        <v>42783</v>
      </c>
      <c r="E2207" s="5">
        <v>207.91192599999999</v>
      </c>
      <c r="F2207" s="28">
        <v>66.423389999999998</v>
      </c>
      <c r="G2207" s="28">
        <v>117.68</v>
      </c>
      <c r="H2207" s="28">
        <v>123.2659</v>
      </c>
      <c r="I2207" s="28">
        <v>107.3287</v>
      </c>
      <c r="J2207" s="29"/>
      <c r="K2207" s="29"/>
      <c r="L2207" s="29"/>
      <c r="M2207" s="29"/>
      <c r="N2207" s="29"/>
      <c r="P2207" s="4">
        <f t="shared" si="139"/>
        <v>1.5753924036135344E-3</v>
      </c>
      <c r="Q2207" s="4">
        <f t="shared" si="139"/>
        <v>2.3474090114128801E-3</v>
      </c>
      <c r="R2207" s="4">
        <f t="shared" si="139"/>
        <v>-3.3932845589801667E-3</v>
      </c>
      <c r="S2207" s="4">
        <f t="shared" si="139"/>
        <v>4.3227692018013965E-3</v>
      </c>
      <c r="T2207" s="4">
        <f t="shared" si="139"/>
        <v>1.4853281151422967E-3</v>
      </c>
      <c r="U2207" s="35"/>
      <c r="V2207" s="35"/>
      <c r="W2207" s="35"/>
      <c r="X2207" s="35"/>
    </row>
    <row r="2208" spans="4:24" x14ac:dyDescent="0.3">
      <c r="D2208" s="23">
        <v>42787</v>
      </c>
      <c r="E2208" s="5">
        <v>209.15000900000001</v>
      </c>
      <c r="F2208" s="28">
        <v>66.415270000000007</v>
      </c>
      <c r="G2208" s="28">
        <v>117.75</v>
      </c>
      <c r="H2208" s="28">
        <v>123.8737</v>
      </c>
      <c r="I2208" s="28">
        <v>107.9657</v>
      </c>
      <c r="J2208" s="29"/>
      <c r="K2208" s="29"/>
      <c r="L2208" s="29"/>
      <c r="M2208" s="29"/>
      <c r="N2208" s="29"/>
      <c r="P2208" s="4">
        <f t="shared" si="139"/>
        <v>5.9371835834504238E-3</v>
      </c>
      <c r="Q2208" s="4">
        <f t="shared" si="139"/>
        <v>-1.2225356699777565E-4</v>
      </c>
      <c r="R2208" s="4">
        <f t="shared" si="139"/>
        <v>5.9465660334491108E-4</v>
      </c>
      <c r="S2208" s="4">
        <f t="shared" si="139"/>
        <v>4.9186874576117512E-3</v>
      </c>
      <c r="T2208" s="4">
        <f t="shared" si="139"/>
        <v>5.9174958457359223E-3</v>
      </c>
      <c r="U2208" s="35"/>
      <c r="V2208" s="35"/>
      <c r="W2208" s="35"/>
      <c r="X2208" s="35"/>
    </row>
    <row r="2209" spans="4:24" x14ac:dyDescent="0.3">
      <c r="D2209" s="23">
        <v>42788</v>
      </c>
      <c r="E2209" s="5">
        <v>208.964325</v>
      </c>
      <c r="F2209" s="28">
        <v>66.456180000000003</v>
      </c>
      <c r="G2209" s="28">
        <v>117.91</v>
      </c>
      <c r="H2209" s="28">
        <v>123.9211</v>
      </c>
      <c r="I2209" s="28">
        <v>107.8241</v>
      </c>
      <c r="J2209" s="29"/>
      <c r="K2209" s="29"/>
      <c r="L2209" s="29"/>
      <c r="M2209" s="29"/>
      <c r="N2209" s="29"/>
      <c r="P2209" s="4">
        <f t="shared" si="139"/>
        <v>-8.8819730445836766E-4</v>
      </c>
      <c r="Q2209" s="4">
        <f t="shared" si="139"/>
        <v>6.1578316926190707E-4</v>
      </c>
      <c r="R2209" s="4">
        <f t="shared" si="139"/>
        <v>1.357888692054885E-3</v>
      </c>
      <c r="S2209" s="4">
        <f t="shared" si="139"/>
        <v>3.8257461882280523E-4</v>
      </c>
      <c r="T2209" s="4">
        <f t="shared" si="139"/>
        <v>-1.3123884476827598E-3</v>
      </c>
      <c r="U2209" s="35"/>
      <c r="V2209" s="35"/>
      <c r="W2209" s="35"/>
      <c r="X2209" s="35"/>
    </row>
    <row r="2210" spans="4:24" x14ac:dyDescent="0.3">
      <c r="D2210" s="23">
        <v>42789</v>
      </c>
      <c r="E2210" s="5">
        <v>209.105774</v>
      </c>
      <c r="F2210" s="28">
        <v>66.579220000000007</v>
      </c>
      <c r="G2210" s="28">
        <v>118.94</v>
      </c>
      <c r="H2210" s="28">
        <v>123.4559</v>
      </c>
      <c r="I2210" s="28">
        <v>107.7445</v>
      </c>
      <c r="J2210" s="29"/>
      <c r="K2210" s="29"/>
      <c r="L2210" s="29"/>
      <c r="M2210" s="29"/>
      <c r="N2210" s="29"/>
      <c r="P2210" s="4">
        <f t="shared" si="139"/>
        <v>6.7667602029268666E-4</v>
      </c>
      <c r="Q2210" s="4">
        <f t="shared" si="139"/>
        <v>1.8497337563075809E-3</v>
      </c>
      <c r="R2210" s="4">
        <f t="shared" si="139"/>
        <v>8.6975426898655509E-3</v>
      </c>
      <c r="S2210" s="4">
        <f t="shared" si="139"/>
        <v>-3.7610654861054112E-3</v>
      </c>
      <c r="T2210" s="4">
        <f t="shared" si="139"/>
        <v>-7.3851204319944259E-4</v>
      </c>
      <c r="U2210" s="35"/>
      <c r="V2210" s="35"/>
      <c r="W2210" s="35"/>
      <c r="X2210" s="35"/>
    </row>
    <row r="2211" spans="4:24" x14ac:dyDescent="0.3">
      <c r="D2211" s="23">
        <v>42790</v>
      </c>
      <c r="E2211" s="5">
        <v>209.37106299999999</v>
      </c>
      <c r="F2211" s="28">
        <v>66.825130000000001</v>
      </c>
      <c r="G2211" s="28">
        <v>119.7</v>
      </c>
      <c r="H2211" s="28">
        <v>123.69329999999999</v>
      </c>
      <c r="I2211" s="28">
        <v>107.92149999999999</v>
      </c>
      <c r="J2211" s="29"/>
      <c r="K2211" s="29"/>
      <c r="L2211" s="29"/>
      <c r="M2211" s="29"/>
      <c r="N2211" s="29"/>
      <c r="P2211" s="4">
        <f t="shared" si="139"/>
        <v>1.267879185093611E-3</v>
      </c>
      <c r="Q2211" s="4">
        <f t="shared" si="139"/>
        <v>3.6866905543572622E-3</v>
      </c>
      <c r="R2211" s="4">
        <f t="shared" si="139"/>
        <v>6.3694482854799285E-3</v>
      </c>
      <c r="S2211" s="4">
        <f t="shared" si="139"/>
        <v>1.9211073555036708E-3</v>
      </c>
      <c r="T2211" s="4">
        <f t="shared" si="139"/>
        <v>1.6414273899517811E-3</v>
      </c>
      <c r="U2211" s="35"/>
      <c r="V2211" s="35"/>
      <c r="W2211" s="35"/>
      <c r="X2211" s="35"/>
    </row>
    <row r="2212" spans="4:24" x14ac:dyDescent="0.3">
      <c r="D2212" s="23">
        <v>42793</v>
      </c>
      <c r="E2212" s="5">
        <v>209.698318</v>
      </c>
      <c r="F2212" s="28">
        <v>66.685839999999999</v>
      </c>
      <c r="G2212" s="28">
        <v>119.12</v>
      </c>
      <c r="H2212" s="28">
        <v>123.84520000000001</v>
      </c>
      <c r="I2212" s="28">
        <v>108.16030000000001</v>
      </c>
      <c r="J2212" s="29"/>
      <c r="K2212" s="29"/>
      <c r="L2212" s="29"/>
      <c r="M2212" s="29"/>
      <c r="N2212" s="29"/>
      <c r="P2212" s="4">
        <f t="shared" si="139"/>
        <v>1.5618180728985112E-3</v>
      </c>
      <c r="Q2212" s="4">
        <f t="shared" si="139"/>
        <v>-2.0865708718388449E-3</v>
      </c>
      <c r="R2212" s="4">
        <f t="shared" si="139"/>
        <v>-4.8572241881739073E-3</v>
      </c>
      <c r="S2212" s="4">
        <f t="shared" si="139"/>
        <v>1.2272839907029479E-3</v>
      </c>
      <c r="T2212" s="4">
        <f t="shared" si="139"/>
        <v>2.2102749719576358E-3</v>
      </c>
      <c r="U2212" s="35"/>
      <c r="V2212" s="35"/>
      <c r="W2212" s="35"/>
      <c r="X2212" s="35"/>
    </row>
    <row r="2213" spans="4:24" x14ac:dyDescent="0.3">
      <c r="D2213" s="23">
        <v>42794</v>
      </c>
      <c r="E2213" s="5">
        <v>209.13230899999999</v>
      </c>
      <c r="F2213" s="28">
        <v>66.636579999999995</v>
      </c>
      <c r="G2213" s="28">
        <v>119.23</v>
      </c>
      <c r="H2213" s="28">
        <v>123.4654</v>
      </c>
      <c r="I2213" s="28">
        <v>107.76220000000001</v>
      </c>
      <c r="J2213" s="29"/>
      <c r="K2213" s="29"/>
      <c r="L2213" s="29"/>
      <c r="M2213" s="29"/>
      <c r="N2213" s="29"/>
      <c r="P2213" s="4">
        <f t="shared" ref="P2213:T2228" si="140">LN(E2213/E2212)</f>
        <v>-2.7028078085892457E-3</v>
      </c>
      <c r="Q2213" s="4">
        <f t="shared" si="140"/>
        <v>-7.3896051754228115E-4</v>
      </c>
      <c r="R2213" s="4">
        <f t="shared" si="140"/>
        <v>9.2301244228700906E-4</v>
      </c>
      <c r="S2213" s="4">
        <f t="shared" si="140"/>
        <v>-3.0714437519352329E-3</v>
      </c>
      <c r="T2213" s="4">
        <f t="shared" si="140"/>
        <v>-3.6874383270577189E-3</v>
      </c>
      <c r="U2213" s="35"/>
      <c r="V2213" s="35"/>
      <c r="W2213" s="35"/>
      <c r="X2213" s="35"/>
    </row>
    <row r="2214" spans="4:24" x14ac:dyDescent="0.3">
      <c r="D2214" s="23">
        <v>42795</v>
      </c>
      <c r="E2214" s="5">
        <v>212.059662</v>
      </c>
      <c r="F2214" s="28">
        <v>66.363849999999999</v>
      </c>
      <c r="G2214" s="28">
        <v>119.06</v>
      </c>
      <c r="H2214" s="28">
        <v>124.8138</v>
      </c>
      <c r="I2214" s="28">
        <v>109.2132</v>
      </c>
      <c r="J2214" s="29"/>
      <c r="K2214" s="29"/>
      <c r="L2214" s="29"/>
      <c r="M2214" s="29"/>
      <c r="N2214" s="29"/>
      <c r="P2214" s="4">
        <f t="shared" si="140"/>
        <v>1.3900550523098843E-2</v>
      </c>
      <c r="Q2214" s="4">
        <f t="shared" si="140"/>
        <v>-4.1011954964656483E-3</v>
      </c>
      <c r="R2214" s="4">
        <f t="shared" si="140"/>
        <v>-1.4268330927965467E-3</v>
      </c>
      <c r="S2214" s="4">
        <f t="shared" si="140"/>
        <v>1.0862071873203663E-2</v>
      </c>
      <c r="T2214" s="4">
        <f t="shared" si="140"/>
        <v>1.3374987494002703E-2</v>
      </c>
      <c r="U2214" s="35"/>
      <c r="V2214" s="35"/>
      <c r="W2214" s="35"/>
      <c r="X2214" s="35"/>
    </row>
    <row r="2215" spans="4:24" x14ac:dyDescent="0.3">
      <c r="D2215" s="23">
        <v>42796</v>
      </c>
      <c r="E2215" s="5">
        <v>210.724289</v>
      </c>
      <c r="F2215" s="28">
        <v>66.240589999999997</v>
      </c>
      <c r="G2215" s="28">
        <v>117.58</v>
      </c>
      <c r="H2215" s="28">
        <v>124.187</v>
      </c>
      <c r="I2215" s="28">
        <v>108.5142</v>
      </c>
      <c r="J2215" s="29"/>
      <c r="K2215" s="29"/>
      <c r="L2215" s="29"/>
      <c r="M2215" s="29"/>
      <c r="N2215" s="29"/>
      <c r="P2215" s="4">
        <f t="shared" si="140"/>
        <v>-6.3170677957316464E-3</v>
      </c>
      <c r="Q2215" s="4">
        <f t="shared" si="140"/>
        <v>-1.8590634747988998E-3</v>
      </c>
      <c r="R2215" s="4">
        <f t="shared" si="140"/>
        <v>-1.2508614751135202E-2</v>
      </c>
      <c r="S2215" s="4">
        <f t="shared" si="140"/>
        <v>-5.0345326114020579E-3</v>
      </c>
      <c r="T2215" s="4">
        <f t="shared" si="140"/>
        <v>-6.4208951333015072E-3</v>
      </c>
      <c r="U2215" s="35"/>
      <c r="V2215" s="35"/>
      <c r="W2215" s="35"/>
      <c r="X2215" s="35"/>
    </row>
    <row r="2216" spans="4:24" x14ac:dyDescent="0.3">
      <c r="D2216" s="23">
        <v>42797</v>
      </c>
      <c r="E2216" s="5">
        <v>210.85690299999999</v>
      </c>
      <c r="F2216" s="28">
        <v>66.289929999999998</v>
      </c>
      <c r="G2216" s="28">
        <v>117.51</v>
      </c>
      <c r="H2216" s="28">
        <v>124.41500000000001</v>
      </c>
      <c r="I2216" s="28">
        <v>108.6027</v>
      </c>
      <c r="J2216" s="29"/>
      <c r="K2216" s="29"/>
      <c r="L2216" s="29"/>
      <c r="M2216" s="29"/>
      <c r="N2216" s="29"/>
      <c r="P2216" s="4">
        <f t="shared" si="140"/>
        <v>6.2912675845386453E-4</v>
      </c>
      <c r="Q2216" s="4">
        <f t="shared" si="140"/>
        <v>7.4458324436550206E-4</v>
      </c>
      <c r="R2216" s="4">
        <f t="shared" si="140"/>
        <v>-5.9551662825920294E-4</v>
      </c>
      <c r="S2216" s="4">
        <f t="shared" si="140"/>
        <v>1.8342576803527721E-3</v>
      </c>
      <c r="T2216" s="4">
        <f t="shared" si="140"/>
        <v>8.1522907614669637E-4</v>
      </c>
      <c r="U2216" s="35"/>
      <c r="V2216" s="35"/>
      <c r="W2216" s="35"/>
      <c r="X2216" s="35"/>
    </row>
    <row r="2217" spans="4:24" x14ac:dyDescent="0.3">
      <c r="D2217" s="23">
        <v>42800</v>
      </c>
      <c r="E2217" s="5">
        <v>210.22901899999999</v>
      </c>
      <c r="F2217" s="28">
        <v>66.248800000000003</v>
      </c>
      <c r="G2217" s="28">
        <v>116.72</v>
      </c>
      <c r="H2217" s="28">
        <v>124.1395</v>
      </c>
      <c r="I2217" s="28">
        <v>108.178</v>
      </c>
      <c r="J2217" s="29"/>
      <c r="K2217" s="29"/>
      <c r="L2217" s="29"/>
      <c r="M2217" s="29"/>
      <c r="N2217" s="29"/>
      <c r="P2217" s="4">
        <f t="shared" si="140"/>
        <v>-2.9822154222773679E-3</v>
      </c>
      <c r="Q2217" s="4">
        <f t="shared" si="140"/>
        <v>-6.206487917952367E-4</v>
      </c>
      <c r="R2217" s="4">
        <f t="shared" si="140"/>
        <v>-6.7455321313194634E-3</v>
      </c>
      <c r="S2217" s="4">
        <f t="shared" si="140"/>
        <v>-2.2168185474314445E-3</v>
      </c>
      <c r="T2217" s="4">
        <f t="shared" si="140"/>
        <v>-3.918250502531263E-3</v>
      </c>
      <c r="U2217" s="35"/>
      <c r="V2217" s="35"/>
      <c r="W2217" s="35"/>
      <c r="X2217" s="35"/>
    </row>
    <row r="2218" spans="4:24" x14ac:dyDescent="0.3">
      <c r="D2218" s="23">
        <v>42801</v>
      </c>
      <c r="E2218" s="5">
        <v>209.601089</v>
      </c>
      <c r="F2218" s="28">
        <v>66.125600000000006</v>
      </c>
      <c r="G2218" s="28">
        <v>115.78</v>
      </c>
      <c r="H2218" s="28">
        <v>123.9307</v>
      </c>
      <c r="I2218" s="28">
        <v>107.833</v>
      </c>
      <c r="J2218" s="29"/>
      <c r="K2218" s="29"/>
      <c r="L2218" s="29"/>
      <c r="M2218" s="29"/>
      <c r="N2218" s="29"/>
      <c r="P2218" s="4">
        <f t="shared" si="140"/>
        <v>-2.9913551042277079E-3</v>
      </c>
      <c r="Q2218" s="4">
        <f t="shared" si="140"/>
        <v>-1.8613876334332242E-3</v>
      </c>
      <c r="R2218" s="4">
        <f t="shared" si="140"/>
        <v>-8.0860655636716006E-3</v>
      </c>
      <c r="S2218" s="4">
        <f t="shared" si="140"/>
        <v>-1.683394856040197E-3</v>
      </c>
      <c r="T2218" s="4">
        <f t="shared" si="140"/>
        <v>-3.1942844887458033E-3</v>
      </c>
      <c r="U2218" s="35"/>
      <c r="V2218" s="35"/>
      <c r="W2218" s="35"/>
      <c r="X2218" s="35"/>
    </row>
    <row r="2219" spans="4:24" x14ac:dyDescent="0.3">
      <c r="D2219" s="23">
        <v>42802</v>
      </c>
      <c r="E2219" s="5">
        <v>209.211929</v>
      </c>
      <c r="F2219" s="28">
        <v>65.969499999999996</v>
      </c>
      <c r="G2219" s="28">
        <v>115.06</v>
      </c>
      <c r="H2219" s="28">
        <v>124.1491</v>
      </c>
      <c r="I2219" s="28">
        <v>107.5322</v>
      </c>
      <c r="J2219" s="29"/>
      <c r="K2219" s="29"/>
      <c r="L2219" s="29"/>
      <c r="M2219" s="29"/>
      <c r="N2219" s="29"/>
      <c r="P2219" s="4">
        <f t="shared" si="140"/>
        <v>-1.8583954904732615E-3</v>
      </c>
      <c r="Q2219" s="4">
        <f t="shared" si="140"/>
        <v>-2.363449857915847E-3</v>
      </c>
      <c r="R2219" s="4">
        <f t="shared" si="140"/>
        <v>-6.2381072157112142E-3</v>
      </c>
      <c r="S2219" s="4">
        <f t="shared" si="140"/>
        <v>1.7607242219859728E-3</v>
      </c>
      <c r="T2219" s="4">
        <f t="shared" si="140"/>
        <v>-2.7933964781382088E-3</v>
      </c>
      <c r="U2219" s="35"/>
      <c r="V2219" s="35"/>
      <c r="W2219" s="35"/>
      <c r="X2219" s="35"/>
    </row>
    <row r="2220" spans="4:24" x14ac:dyDescent="0.3">
      <c r="D2220" s="23">
        <v>42803</v>
      </c>
      <c r="E2220" s="5">
        <v>209.477249</v>
      </c>
      <c r="F2220" s="28">
        <v>65.764099999999999</v>
      </c>
      <c r="G2220" s="28">
        <v>114.47</v>
      </c>
      <c r="H2220" s="28">
        <v>124.244</v>
      </c>
      <c r="I2220" s="28">
        <v>107.5852</v>
      </c>
      <c r="J2220" s="29"/>
      <c r="K2220" s="29"/>
      <c r="L2220" s="29"/>
      <c r="M2220" s="29"/>
      <c r="N2220" s="29"/>
      <c r="P2220" s="4">
        <f t="shared" si="140"/>
        <v>1.2673842528333774E-3</v>
      </c>
      <c r="Q2220" s="4">
        <f t="shared" si="140"/>
        <v>-3.1184172671428275E-3</v>
      </c>
      <c r="R2220" s="4">
        <f t="shared" si="140"/>
        <v>-5.1409515047624111E-3</v>
      </c>
      <c r="S2220" s="4">
        <f t="shared" si="140"/>
        <v>7.6411143962867888E-4</v>
      </c>
      <c r="T2220" s="4">
        <f t="shared" si="140"/>
        <v>4.9275419907817645E-4</v>
      </c>
      <c r="U2220" s="35"/>
      <c r="V2220" s="35"/>
      <c r="W2220" s="35"/>
      <c r="X2220" s="35"/>
    </row>
    <row r="2221" spans="4:24" x14ac:dyDescent="0.3">
      <c r="D2221" s="23">
        <v>42804</v>
      </c>
      <c r="E2221" s="5">
        <v>210.21130400000001</v>
      </c>
      <c r="F2221" s="28">
        <v>65.895570000000006</v>
      </c>
      <c r="G2221" s="28">
        <v>114.72</v>
      </c>
      <c r="H2221" s="28">
        <v>124.7663</v>
      </c>
      <c r="I2221" s="28">
        <v>107.97450000000001</v>
      </c>
      <c r="J2221" s="29"/>
      <c r="K2221" s="29"/>
      <c r="L2221" s="29"/>
      <c r="M2221" s="29"/>
      <c r="N2221" s="29"/>
      <c r="P2221" s="4">
        <f t="shared" si="140"/>
        <v>3.4980975453635841E-3</v>
      </c>
      <c r="Q2221" s="4">
        <f t="shared" si="140"/>
        <v>1.997119447393243E-3</v>
      </c>
      <c r="R2221" s="4">
        <f t="shared" si="140"/>
        <v>2.1815969209252493E-3</v>
      </c>
      <c r="S2221" s="4">
        <f t="shared" si="140"/>
        <v>4.195013346505746E-3</v>
      </c>
      <c r="T2221" s="4">
        <f t="shared" si="140"/>
        <v>3.6119963355921892E-3</v>
      </c>
      <c r="U2221" s="35"/>
      <c r="V2221" s="35"/>
      <c r="W2221" s="35"/>
      <c r="X2221" s="35"/>
    </row>
    <row r="2222" spans="4:24" x14ac:dyDescent="0.3">
      <c r="D2222" s="23">
        <v>42807</v>
      </c>
      <c r="E2222" s="5">
        <v>210.317429</v>
      </c>
      <c r="F2222" s="28">
        <v>65.764099999999999</v>
      </c>
      <c r="G2222" s="28">
        <v>114.74</v>
      </c>
      <c r="H2222" s="28">
        <v>124.9752</v>
      </c>
      <c r="I2222" s="28">
        <v>108.05419999999999</v>
      </c>
      <c r="J2222" s="29"/>
      <c r="K2222" s="29"/>
      <c r="L2222" s="29"/>
      <c r="M2222" s="29"/>
      <c r="N2222" s="29"/>
      <c r="P2222" s="4">
        <f t="shared" si="140"/>
        <v>5.0472176536325039E-4</v>
      </c>
      <c r="Q2222" s="4">
        <f t="shared" si="140"/>
        <v>-1.9971194473932807E-3</v>
      </c>
      <c r="R2222" s="4">
        <f t="shared" si="140"/>
        <v>1.74322322414699E-4</v>
      </c>
      <c r="S2222" s="4">
        <f t="shared" si="140"/>
        <v>1.6729301995912964E-3</v>
      </c>
      <c r="T2222" s="4">
        <f t="shared" si="140"/>
        <v>7.3786495605460405E-4</v>
      </c>
      <c r="U2222" s="35"/>
      <c r="V2222" s="35"/>
      <c r="W2222" s="35"/>
      <c r="X2222" s="35"/>
    </row>
    <row r="2223" spans="4:24" x14ac:dyDescent="0.3">
      <c r="D2223" s="23">
        <v>42808</v>
      </c>
      <c r="E2223" s="5">
        <v>209.512619</v>
      </c>
      <c r="F2223" s="28">
        <v>65.755889999999994</v>
      </c>
      <c r="G2223" s="28">
        <v>114.12</v>
      </c>
      <c r="H2223" s="28">
        <v>124.6713</v>
      </c>
      <c r="I2223" s="28">
        <v>107.6648</v>
      </c>
      <c r="J2223" s="29"/>
      <c r="K2223" s="29"/>
      <c r="L2223" s="29"/>
      <c r="M2223" s="29"/>
      <c r="N2223" s="29"/>
      <c r="P2223" s="4">
        <f t="shared" si="140"/>
        <v>-3.8339846787448818E-3</v>
      </c>
      <c r="Q2223" s="4">
        <f t="shared" si="140"/>
        <v>-1.2484794152838732E-4</v>
      </c>
      <c r="R2223" s="4">
        <f t="shared" si="140"/>
        <v>-5.4181728284256724E-3</v>
      </c>
      <c r="S2223" s="4">
        <f t="shared" si="140"/>
        <v>-2.4346437872245982E-3</v>
      </c>
      <c r="T2223" s="4">
        <f t="shared" si="140"/>
        <v>-3.6102561475953336E-3</v>
      </c>
      <c r="U2223" s="35"/>
      <c r="V2223" s="35"/>
      <c r="W2223" s="35"/>
      <c r="X2223" s="35"/>
    </row>
    <row r="2224" spans="4:24" x14ac:dyDescent="0.3">
      <c r="D2224" s="23">
        <v>42809</v>
      </c>
      <c r="E2224" s="5">
        <v>211.32566800000001</v>
      </c>
      <c r="F2224" s="28">
        <v>66.166640000000001</v>
      </c>
      <c r="G2224" s="28">
        <v>116.25</v>
      </c>
      <c r="H2224" s="28">
        <v>125.4405</v>
      </c>
      <c r="I2224" s="28">
        <v>108.63809999999999</v>
      </c>
      <c r="J2224" s="29"/>
      <c r="K2224" s="29"/>
      <c r="L2224" s="29"/>
      <c r="M2224" s="29"/>
      <c r="N2224" s="29"/>
      <c r="P2224" s="4">
        <f t="shared" si="140"/>
        <v>8.6164223795023673E-3</v>
      </c>
      <c r="Q2224" s="4">
        <f t="shared" si="140"/>
        <v>6.2271596416661815E-3</v>
      </c>
      <c r="R2224" s="4">
        <f t="shared" si="140"/>
        <v>1.8492518122166332E-2</v>
      </c>
      <c r="S2224" s="4">
        <f t="shared" si="140"/>
        <v>6.1508687323484556E-3</v>
      </c>
      <c r="T2224" s="4">
        <f t="shared" si="140"/>
        <v>8.9994777601568182E-3</v>
      </c>
      <c r="U2224" s="35"/>
      <c r="V2224" s="35"/>
      <c r="W2224" s="35"/>
      <c r="X2224" s="35"/>
    </row>
    <row r="2225" spans="4:24" x14ac:dyDescent="0.3">
      <c r="D2225" s="23">
        <v>42810</v>
      </c>
      <c r="E2225" s="5">
        <v>210.90997300000001</v>
      </c>
      <c r="F2225" s="28">
        <v>66.068100000000001</v>
      </c>
      <c r="G2225" s="28">
        <v>116.73</v>
      </c>
      <c r="H2225" s="28">
        <v>125.355</v>
      </c>
      <c r="I2225" s="28">
        <v>108.50539999999999</v>
      </c>
      <c r="J2225" s="29"/>
      <c r="K2225" s="29"/>
      <c r="L2225" s="29"/>
      <c r="M2225" s="29"/>
      <c r="N2225" s="29"/>
      <c r="P2225" s="4">
        <f t="shared" si="140"/>
        <v>-1.9690196370962102E-3</v>
      </c>
      <c r="Q2225" s="4">
        <f t="shared" si="140"/>
        <v>-1.4903801866290433E-3</v>
      </c>
      <c r="R2225" s="4">
        <f t="shared" si="140"/>
        <v>4.1205311971061788E-3</v>
      </c>
      <c r="S2225" s="4">
        <f t="shared" si="140"/>
        <v>-6.8183044203228992E-4</v>
      </c>
      <c r="T2225" s="4">
        <f t="shared" si="140"/>
        <v>-1.2222333758048372E-3</v>
      </c>
      <c r="U2225" s="35"/>
      <c r="V2225" s="35"/>
      <c r="W2225" s="35"/>
      <c r="X2225" s="35"/>
    </row>
    <row r="2226" spans="4:24" x14ac:dyDescent="0.3">
      <c r="D2226" s="23">
        <v>42811</v>
      </c>
      <c r="E2226" s="5">
        <v>210.539581</v>
      </c>
      <c r="F2226" s="28">
        <v>66.199550000000002</v>
      </c>
      <c r="G2226" s="28">
        <v>116.99</v>
      </c>
      <c r="H2226" s="28">
        <v>125.3113</v>
      </c>
      <c r="I2226" s="28">
        <v>108.4434</v>
      </c>
      <c r="J2226" s="29"/>
      <c r="K2226" s="29"/>
      <c r="L2226" s="29"/>
      <c r="M2226" s="29"/>
      <c r="N2226" s="29"/>
      <c r="P2226" s="4">
        <f t="shared" si="140"/>
        <v>-1.7577054802690941E-3</v>
      </c>
      <c r="Q2226" s="4">
        <f t="shared" si="140"/>
        <v>1.9876370870221824E-3</v>
      </c>
      <c r="R2226" s="4">
        <f t="shared" si="140"/>
        <v>2.2248853949381206E-3</v>
      </c>
      <c r="S2226" s="4">
        <f t="shared" si="140"/>
        <v>-3.4867072632202361E-4</v>
      </c>
      <c r="T2226" s="4">
        <f t="shared" si="140"/>
        <v>-5.7156344435060577E-4</v>
      </c>
      <c r="U2226" s="35"/>
      <c r="V2226" s="35"/>
      <c r="W2226" s="35"/>
      <c r="X2226" s="35"/>
    </row>
    <row r="2227" spans="4:24" x14ac:dyDescent="0.3">
      <c r="D2227" s="23">
        <v>42814</v>
      </c>
      <c r="E2227" s="5">
        <v>210.30862400000001</v>
      </c>
      <c r="F2227" s="28">
        <v>66.330960000000005</v>
      </c>
      <c r="G2227" s="28">
        <v>117.51</v>
      </c>
      <c r="H2227" s="28">
        <v>125.4254</v>
      </c>
      <c r="I2227" s="28">
        <v>108.18689999999999</v>
      </c>
      <c r="J2227" s="29"/>
      <c r="K2227" s="29"/>
      <c r="L2227" s="29"/>
      <c r="M2227" s="29"/>
      <c r="N2227" s="29"/>
      <c r="P2227" s="4">
        <f t="shared" si="140"/>
        <v>-1.0975787490206104E-3</v>
      </c>
      <c r="Q2227" s="4">
        <f t="shared" si="140"/>
        <v>1.9830911850531965E-3</v>
      </c>
      <c r="R2227" s="4">
        <f t="shared" si="140"/>
        <v>4.4349752863396706E-3</v>
      </c>
      <c r="S2227" s="4">
        <f t="shared" si="140"/>
        <v>9.1011812691062048E-4</v>
      </c>
      <c r="T2227" s="4">
        <f t="shared" si="140"/>
        <v>-2.3680908891127598E-3</v>
      </c>
      <c r="U2227" s="35"/>
      <c r="V2227" s="35"/>
      <c r="W2227" s="35"/>
      <c r="X2227" s="35"/>
    </row>
    <row r="2228" spans="4:24" x14ac:dyDescent="0.3">
      <c r="D2228" s="23">
        <v>42815</v>
      </c>
      <c r="E2228" s="5">
        <v>207.60833700000001</v>
      </c>
      <c r="F2228" s="28">
        <v>66.487039999999993</v>
      </c>
      <c r="G2228" s="28">
        <v>118.54</v>
      </c>
      <c r="H2228" s="28">
        <v>123.5223</v>
      </c>
      <c r="I2228" s="28">
        <v>106.6739</v>
      </c>
      <c r="J2228" s="29"/>
      <c r="K2228" s="29"/>
      <c r="L2228" s="29"/>
      <c r="M2228" s="29"/>
      <c r="N2228" s="29"/>
      <c r="P2228" s="4">
        <f t="shared" si="140"/>
        <v>-1.2922780506613924E-2</v>
      </c>
      <c r="Q2228" s="4">
        <f t="shared" si="140"/>
        <v>2.3502849289511593E-3</v>
      </c>
      <c r="R2228" s="4">
        <f t="shared" si="140"/>
        <v>8.7270200138424448E-3</v>
      </c>
      <c r="S2228" s="4">
        <f t="shared" si="140"/>
        <v>-1.5289452952669362E-2</v>
      </c>
      <c r="T2228" s="4">
        <f t="shared" si="140"/>
        <v>-1.4083769667340585E-2</v>
      </c>
      <c r="U2228" s="35"/>
      <c r="V2228" s="35"/>
      <c r="W2228" s="35"/>
      <c r="X2228" s="35"/>
    </row>
    <row r="2229" spans="4:24" x14ac:dyDescent="0.3">
      <c r="D2229" s="23">
        <v>42816</v>
      </c>
      <c r="E2229" s="5">
        <v>208.09689299999999</v>
      </c>
      <c r="F2229" s="28">
        <v>66.577439999999996</v>
      </c>
      <c r="G2229" s="28">
        <v>118.83</v>
      </c>
      <c r="H2229" s="28">
        <v>124.3597</v>
      </c>
      <c r="I2229" s="28">
        <v>106.8155</v>
      </c>
      <c r="J2229" s="29"/>
      <c r="K2229" s="29"/>
      <c r="L2229" s="29"/>
      <c r="M2229" s="29"/>
      <c r="N2229" s="29"/>
      <c r="P2229" s="4">
        <f t="shared" ref="P2229:T2244" si="141">LN(E2229/E2228)</f>
        <v>2.3504935212480286E-3</v>
      </c>
      <c r="Q2229" s="4">
        <f t="shared" si="141"/>
        <v>1.3587399718970909E-3</v>
      </c>
      <c r="R2229" s="4">
        <f t="shared" si="141"/>
        <v>2.4434439422428927E-3</v>
      </c>
      <c r="S2229" s="4">
        <f t="shared" si="141"/>
        <v>6.7564662669765676E-3</v>
      </c>
      <c r="T2229" s="4">
        <f t="shared" si="141"/>
        <v>1.3265297552407299E-3</v>
      </c>
      <c r="U2229" s="35"/>
      <c r="V2229" s="35"/>
      <c r="W2229" s="35"/>
      <c r="X2229" s="35"/>
    </row>
    <row r="2230" spans="4:24" x14ac:dyDescent="0.3">
      <c r="D2230" s="23">
        <v>42817</v>
      </c>
      <c r="E2230" s="5">
        <v>207.87481700000001</v>
      </c>
      <c r="F2230" s="28">
        <v>66.544629999999998</v>
      </c>
      <c r="G2230" s="28">
        <v>118.67</v>
      </c>
      <c r="H2230" s="28">
        <v>124.0457</v>
      </c>
      <c r="I2230" s="28">
        <v>106.7801</v>
      </c>
      <c r="J2230" s="29"/>
      <c r="K2230" s="29"/>
      <c r="L2230" s="29"/>
      <c r="M2230" s="29"/>
      <c r="N2230" s="29"/>
      <c r="P2230" s="4">
        <f t="shared" si="141"/>
        <v>-1.0677457902063233E-3</v>
      </c>
      <c r="Q2230" s="4">
        <f t="shared" si="141"/>
        <v>-4.9293104688570945E-4</v>
      </c>
      <c r="R2230" s="4">
        <f t="shared" si="141"/>
        <v>-1.3473686248872826E-3</v>
      </c>
      <c r="S2230" s="4">
        <f t="shared" si="141"/>
        <v>-2.5281267415464596E-3</v>
      </c>
      <c r="T2230" s="4">
        <f t="shared" si="141"/>
        <v>-3.3146750517443451E-4</v>
      </c>
      <c r="U2230" s="35"/>
      <c r="V2230" s="35"/>
      <c r="W2230" s="35"/>
      <c r="X2230" s="35"/>
    </row>
    <row r="2231" spans="4:24" x14ac:dyDescent="0.3">
      <c r="D2231" s="23">
        <v>42818</v>
      </c>
      <c r="E2231" s="5">
        <v>207.72384600000001</v>
      </c>
      <c r="F2231" s="28">
        <v>66.528139999999993</v>
      </c>
      <c r="G2231" s="28">
        <v>118.86</v>
      </c>
      <c r="H2231" s="28">
        <v>124.3026</v>
      </c>
      <c r="I2231" s="28">
        <v>106.7908</v>
      </c>
      <c r="J2231" s="29"/>
      <c r="K2231" s="29"/>
      <c r="L2231" s="29"/>
      <c r="M2231" s="29"/>
      <c r="N2231" s="29"/>
      <c r="P2231" s="4">
        <f t="shared" si="141"/>
        <v>-7.2652306218153333E-4</v>
      </c>
      <c r="Q2231" s="4">
        <f t="shared" si="141"/>
        <v>-2.4783432530049504E-4</v>
      </c>
      <c r="R2231" s="4">
        <f t="shared" si="141"/>
        <v>1.5997982614667336E-3</v>
      </c>
      <c r="S2231" s="4">
        <f t="shared" si="141"/>
        <v>2.0688693390079238E-3</v>
      </c>
      <c r="T2231" s="4">
        <f t="shared" si="141"/>
        <v>1.0020091696901822E-4</v>
      </c>
      <c r="U2231" s="35"/>
      <c r="V2231" s="35"/>
      <c r="W2231" s="35"/>
      <c r="X2231" s="35"/>
    </row>
    <row r="2232" spans="4:24" x14ac:dyDescent="0.3">
      <c r="D2232" s="23">
        <v>42821</v>
      </c>
      <c r="E2232" s="5">
        <v>207.51066599999999</v>
      </c>
      <c r="F2232" s="28">
        <v>66.6678</v>
      </c>
      <c r="G2232" s="28">
        <v>119.53</v>
      </c>
      <c r="H2232" s="28">
        <v>124.50239999999999</v>
      </c>
      <c r="I2232" s="28">
        <v>106.6664</v>
      </c>
      <c r="J2232" s="29"/>
      <c r="K2232" s="29"/>
      <c r="L2232" s="29"/>
      <c r="M2232" s="29"/>
      <c r="N2232" s="29"/>
      <c r="P2232" s="4">
        <f t="shared" si="141"/>
        <v>-1.0267933544490771E-3</v>
      </c>
      <c r="Q2232" s="4">
        <f t="shared" si="141"/>
        <v>2.0970616849361424E-3</v>
      </c>
      <c r="R2232" s="4">
        <f t="shared" si="141"/>
        <v>5.6210559513750992E-3</v>
      </c>
      <c r="S2232" s="4">
        <f t="shared" si="141"/>
        <v>1.6060773935283536E-3</v>
      </c>
      <c r="T2232" s="4">
        <f t="shared" si="141"/>
        <v>-1.1655733709967544E-3</v>
      </c>
      <c r="U2232" s="35"/>
      <c r="V2232" s="35"/>
      <c r="W2232" s="35"/>
      <c r="X2232" s="35"/>
    </row>
    <row r="2233" spans="4:24" x14ac:dyDescent="0.3">
      <c r="D2233" s="23">
        <v>42822</v>
      </c>
      <c r="E2233" s="5">
        <v>209.02072100000001</v>
      </c>
      <c r="F2233" s="28">
        <v>66.544629999999998</v>
      </c>
      <c r="G2233" s="28">
        <v>119.04</v>
      </c>
      <c r="H2233" s="28">
        <v>125.2637</v>
      </c>
      <c r="I2233" s="28">
        <v>107.41289999999999</v>
      </c>
      <c r="J2233" s="29"/>
      <c r="K2233" s="29"/>
      <c r="L2233" s="29"/>
      <c r="M2233" s="29"/>
      <c r="N2233" s="29"/>
      <c r="P2233" s="4">
        <f t="shared" si="141"/>
        <v>7.2506498317519612E-3</v>
      </c>
      <c r="Q2233" s="4">
        <f t="shared" si="141"/>
        <v>-1.849227359635581E-3</v>
      </c>
      <c r="R2233" s="4">
        <f t="shared" si="141"/>
        <v>-4.1078148051078003E-3</v>
      </c>
      <c r="S2233" s="4">
        <f t="shared" si="141"/>
        <v>6.0961223934127232E-3</v>
      </c>
      <c r="T2233" s="4">
        <f t="shared" si="141"/>
        <v>6.9740794712338516E-3</v>
      </c>
      <c r="U2233" s="35"/>
      <c r="V2233" s="35"/>
      <c r="W2233" s="35"/>
      <c r="X2233" s="35"/>
    </row>
    <row r="2234" spans="4:24" x14ac:dyDescent="0.3">
      <c r="D2234" s="23">
        <v>42823</v>
      </c>
      <c r="E2234" s="5">
        <v>209.21608000000001</v>
      </c>
      <c r="F2234" s="28">
        <v>66.676060000000007</v>
      </c>
      <c r="G2234" s="28">
        <v>119.33</v>
      </c>
      <c r="H2234" s="28">
        <v>125.8442</v>
      </c>
      <c r="I2234" s="28">
        <v>107.6084</v>
      </c>
      <c r="J2234" s="29"/>
      <c r="K2234" s="29"/>
      <c r="L2234" s="29"/>
      <c r="M2234" s="29"/>
      <c r="N2234" s="29"/>
      <c r="P2234" s="4">
        <f t="shared" si="141"/>
        <v>9.3420289052021169E-4</v>
      </c>
      <c r="Q2234" s="4">
        <f t="shared" si="141"/>
        <v>1.9731175786615279E-3</v>
      </c>
      <c r="R2234" s="4">
        <f t="shared" si="141"/>
        <v>2.4331932967826117E-3</v>
      </c>
      <c r="S2234" s="4">
        <f t="shared" si="141"/>
        <v>4.6235186874518126E-3</v>
      </c>
      <c r="T2234" s="4">
        <f t="shared" si="141"/>
        <v>1.8184250013479487E-3</v>
      </c>
      <c r="U2234" s="35"/>
      <c r="V2234" s="35"/>
      <c r="W2234" s="35"/>
      <c r="X2234" s="35"/>
    </row>
    <row r="2235" spans="4:24" x14ac:dyDescent="0.3">
      <c r="D2235" s="23">
        <v>42824</v>
      </c>
      <c r="E2235" s="5">
        <v>209.88223300000001</v>
      </c>
      <c r="F2235" s="28">
        <v>66.569209999999998</v>
      </c>
      <c r="G2235" s="28">
        <v>118.47</v>
      </c>
      <c r="H2235" s="28">
        <v>126.0534</v>
      </c>
      <c r="I2235" s="28">
        <v>108.00830000000001</v>
      </c>
      <c r="J2235" s="29"/>
      <c r="K2235" s="29"/>
      <c r="L2235" s="29"/>
      <c r="M2235" s="29"/>
      <c r="N2235" s="29"/>
      <c r="P2235" s="4">
        <f t="shared" si="141"/>
        <v>3.1789846933058096E-3</v>
      </c>
      <c r="Q2235" s="4">
        <f t="shared" si="141"/>
        <v>-1.6038096197088297E-3</v>
      </c>
      <c r="R2235" s="4">
        <f t="shared" si="141"/>
        <v>-7.2330004148966178E-3</v>
      </c>
      <c r="S2235" s="4">
        <f t="shared" si="141"/>
        <v>1.6609927851378029E-3</v>
      </c>
      <c r="T2235" s="4">
        <f t="shared" si="141"/>
        <v>3.7093644280000466E-3</v>
      </c>
      <c r="U2235" s="35"/>
      <c r="V2235" s="35"/>
      <c r="W2235" s="35"/>
      <c r="X2235" s="35"/>
    </row>
    <row r="2236" spans="4:24" x14ac:dyDescent="0.3">
      <c r="D2236" s="23">
        <v>42825</v>
      </c>
      <c r="E2236" s="5">
        <v>209.39373800000001</v>
      </c>
      <c r="F2236" s="28">
        <v>66.610280000000003</v>
      </c>
      <c r="G2236" s="28">
        <v>118.72</v>
      </c>
      <c r="H2236" s="28">
        <v>125.9678</v>
      </c>
      <c r="I2236" s="28">
        <v>107.82170000000001</v>
      </c>
      <c r="J2236" s="29"/>
      <c r="K2236" s="29"/>
      <c r="L2236" s="29"/>
      <c r="M2236" s="29"/>
      <c r="N2236" s="29"/>
      <c r="P2236" s="4">
        <f t="shared" si="141"/>
        <v>-2.3301846746386825E-3</v>
      </c>
      <c r="Q2236" s="4">
        <f t="shared" si="141"/>
        <v>6.1676165454464034E-4</v>
      </c>
      <c r="R2236" s="4">
        <f t="shared" si="141"/>
        <v>2.1080154524025191E-3</v>
      </c>
      <c r="S2236" s="4">
        <f t="shared" si="141"/>
        <v>-6.7930795736026938E-4</v>
      </c>
      <c r="T2236" s="4">
        <f t="shared" si="141"/>
        <v>-1.7291391047887534E-3</v>
      </c>
      <c r="U2236" s="35"/>
      <c r="V2236" s="35"/>
      <c r="W2236" s="35"/>
      <c r="X2236" s="35"/>
    </row>
    <row r="2237" spans="4:24" x14ac:dyDescent="0.3">
      <c r="D2237" s="23">
        <v>42828</v>
      </c>
      <c r="E2237" s="5">
        <v>209.029526</v>
      </c>
      <c r="F2237" s="28">
        <v>66.85239</v>
      </c>
      <c r="G2237" s="28">
        <v>119.35</v>
      </c>
      <c r="H2237" s="28">
        <v>125.8917</v>
      </c>
      <c r="I2237" s="28">
        <v>107.5551</v>
      </c>
      <c r="J2237" s="29"/>
      <c r="K2237" s="29"/>
      <c r="L2237" s="29"/>
      <c r="M2237" s="29"/>
      <c r="N2237" s="29"/>
      <c r="P2237" s="4">
        <f t="shared" si="141"/>
        <v>-1.7408787862404236E-3</v>
      </c>
      <c r="Q2237" s="4">
        <f t="shared" si="141"/>
        <v>3.6281346024580083E-3</v>
      </c>
      <c r="R2237" s="4">
        <f t="shared" si="141"/>
        <v>5.2925733657688163E-3</v>
      </c>
      <c r="S2237" s="4">
        <f t="shared" si="141"/>
        <v>-6.0430519647558056E-4</v>
      </c>
      <c r="T2237" s="4">
        <f t="shared" si="141"/>
        <v>-2.4756625241329606E-3</v>
      </c>
      <c r="U2237" s="35"/>
      <c r="V2237" s="35"/>
      <c r="W2237" s="35"/>
      <c r="X2237" s="35"/>
    </row>
    <row r="2238" spans="4:24" x14ac:dyDescent="0.3">
      <c r="D2238" s="23">
        <v>42829</v>
      </c>
      <c r="E2238" s="5">
        <v>209.16279599999999</v>
      </c>
      <c r="F2238" s="28">
        <v>66.778270000000006</v>
      </c>
      <c r="G2238" s="28">
        <v>119.62</v>
      </c>
      <c r="H2238" s="28">
        <v>126.0915</v>
      </c>
      <c r="I2238" s="28">
        <v>107.6084</v>
      </c>
      <c r="J2238" s="29"/>
      <c r="K2238" s="29"/>
      <c r="L2238" s="29"/>
      <c r="M2238" s="29"/>
      <c r="N2238" s="29"/>
      <c r="P2238" s="4">
        <f t="shared" si="141"/>
        <v>6.3736227329167948E-4</v>
      </c>
      <c r="Q2238" s="4">
        <f t="shared" si="141"/>
        <v>-1.109326371672913E-3</v>
      </c>
      <c r="R2238" s="4">
        <f t="shared" si="141"/>
        <v>2.2596988315718622E-3</v>
      </c>
      <c r="S2238" s="4">
        <f t="shared" si="141"/>
        <v>1.5858203393866079E-3</v>
      </c>
      <c r="T2238" s="4">
        <f t="shared" si="141"/>
        <v>4.9543720092162845E-4</v>
      </c>
      <c r="U2238" s="35"/>
      <c r="V2238" s="35"/>
      <c r="W2238" s="35"/>
      <c r="X2238" s="35"/>
    </row>
    <row r="2239" spans="4:24" x14ac:dyDescent="0.3">
      <c r="D2239" s="23">
        <v>42830</v>
      </c>
      <c r="E2239" s="5">
        <v>208.54101600000001</v>
      </c>
      <c r="F2239" s="28">
        <v>66.835880000000003</v>
      </c>
      <c r="G2239" s="28">
        <v>119.62</v>
      </c>
      <c r="H2239" s="28">
        <v>125.57769999999999</v>
      </c>
      <c r="I2239" s="28">
        <v>107.173</v>
      </c>
      <c r="J2239" s="29"/>
      <c r="K2239" s="29"/>
      <c r="L2239" s="29"/>
      <c r="M2239" s="29"/>
      <c r="N2239" s="29"/>
      <c r="P2239" s="4">
        <f t="shared" si="141"/>
        <v>-2.9771356707354707E-3</v>
      </c>
      <c r="Q2239" s="4">
        <f t="shared" si="141"/>
        <v>8.6233387062668062E-4</v>
      </c>
      <c r="R2239" s="4">
        <f t="shared" si="141"/>
        <v>0</v>
      </c>
      <c r="S2239" s="4">
        <f t="shared" si="141"/>
        <v>-4.0831433790216795E-3</v>
      </c>
      <c r="T2239" s="4">
        <f t="shared" si="141"/>
        <v>-4.0543603535444306E-3</v>
      </c>
      <c r="U2239" s="35"/>
      <c r="V2239" s="35"/>
      <c r="W2239" s="35"/>
      <c r="X2239" s="35"/>
    </row>
    <row r="2240" spans="4:24" x14ac:dyDescent="0.3">
      <c r="D2240" s="23">
        <v>42831</v>
      </c>
      <c r="E2240" s="5">
        <v>209.12730400000001</v>
      </c>
      <c r="F2240" s="28">
        <v>66.860600000000005</v>
      </c>
      <c r="G2240" s="28">
        <v>119.18</v>
      </c>
      <c r="H2240" s="28">
        <v>125.6443</v>
      </c>
      <c r="I2240" s="28">
        <v>107.5107</v>
      </c>
      <c r="J2240" s="29"/>
      <c r="K2240" s="29"/>
      <c r="L2240" s="29"/>
      <c r="M2240" s="29"/>
      <c r="N2240" s="29"/>
      <c r="P2240" s="4">
        <f t="shared" si="141"/>
        <v>2.8074352638400397E-3</v>
      </c>
      <c r="Q2240" s="4">
        <f t="shared" si="141"/>
        <v>3.6979283645616407E-4</v>
      </c>
      <c r="R2240" s="4">
        <f t="shared" si="141"/>
        <v>-3.6850962975780578E-3</v>
      </c>
      <c r="S2240" s="4">
        <f t="shared" si="141"/>
        <v>5.3020835404725473E-4</v>
      </c>
      <c r="T2240" s="4">
        <f t="shared" si="141"/>
        <v>3.146026256595743E-3</v>
      </c>
      <c r="U2240" s="35"/>
      <c r="V2240" s="35"/>
      <c r="W2240" s="35"/>
      <c r="X2240" s="35"/>
    </row>
    <row r="2241" spans="4:24" x14ac:dyDescent="0.3">
      <c r="D2241" s="23">
        <v>42832</v>
      </c>
      <c r="E2241" s="5">
        <v>208.91404700000001</v>
      </c>
      <c r="F2241" s="28">
        <v>66.712370000000007</v>
      </c>
      <c r="G2241" s="28">
        <v>119.46</v>
      </c>
      <c r="H2241" s="28">
        <v>125.57769999999999</v>
      </c>
      <c r="I2241" s="28">
        <v>107.4307</v>
      </c>
      <c r="J2241" s="29"/>
      <c r="K2241" s="29"/>
      <c r="L2241" s="29"/>
      <c r="M2241" s="29"/>
      <c r="N2241" s="29"/>
      <c r="P2241" s="4">
        <f t="shared" si="141"/>
        <v>-1.0202675787404835E-3</v>
      </c>
      <c r="Q2241" s="4">
        <f t="shared" si="141"/>
        <v>-2.2194619292892118E-3</v>
      </c>
      <c r="R2241" s="4">
        <f t="shared" si="141"/>
        <v>2.3466319853269889E-3</v>
      </c>
      <c r="S2241" s="4">
        <f t="shared" si="141"/>
        <v>-5.3020835404720985E-4</v>
      </c>
      <c r="T2241" s="4">
        <f t="shared" si="141"/>
        <v>-7.4438897014816592E-4</v>
      </c>
      <c r="U2241" s="35"/>
      <c r="V2241" s="35"/>
      <c r="W2241" s="35"/>
      <c r="X2241" s="35"/>
    </row>
    <row r="2242" spans="4:24" x14ac:dyDescent="0.3">
      <c r="D2242" s="23">
        <v>42835</v>
      </c>
      <c r="E2242" s="5">
        <v>209.03843699999999</v>
      </c>
      <c r="F2242" s="28">
        <v>66.778270000000006</v>
      </c>
      <c r="G2242" s="28">
        <v>119.46</v>
      </c>
      <c r="H2242" s="28">
        <v>125.6253</v>
      </c>
      <c r="I2242" s="28">
        <v>107.56399999999999</v>
      </c>
      <c r="J2242" s="29"/>
      <c r="K2242" s="29"/>
      <c r="L2242" s="29"/>
      <c r="M2242" s="29"/>
      <c r="N2242" s="29"/>
      <c r="P2242" s="4">
        <f t="shared" si="141"/>
        <v>5.9523514482871527E-4</v>
      </c>
      <c r="Q2242" s="4">
        <f t="shared" si="141"/>
        <v>9.8733522220660489E-4</v>
      </c>
      <c r="R2242" s="4">
        <f t="shared" si="141"/>
        <v>0</v>
      </c>
      <c r="S2242" s="4">
        <f t="shared" si="141"/>
        <v>3.7897637026387571E-4</v>
      </c>
      <c r="T2242" s="4">
        <f t="shared" si="141"/>
        <v>1.2400307270925509E-3</v>
      </c>
      <c r="U2242" s="35"/>
      <c r="V2242" s="35"/>
      <c r="W2242" s="35"/>
      <c r="X2242" s="35"/>
    </row>
    <row r="2243" spans="4:24" x14ac:dyDescent="0.3">
      <c r="D2243" s="23">
        <v>42836</v>
      </c>
      <c r="E2243" s="5">
        <v>208.78976399999999</v>
      </c>
      <c r="F2243" s="28">
        <v>66.992329999999995</v>
      </c>
      <c r="G2243" s="28">
        <v>121.19</v>
      </c>
      <c r="H2243" s="28">
        <v>125.0829</v>
      </c>
      <c r="I2243" s="28">
        <v>107.5284</v>
      </c>
      <c r="J2243" s="29"/>
      <c r="K2243" s="29"/>
      <c r="L2243" s="29"/>
      <c r="M2243" s="29"/>
      <c r="N2243" s="29"/>
      <c r="P2243" s="4">
        <f t="shared" si="141"/>
        <v>-1.1903123282044107E-3</v>
      </c>
      <c r="Q2243" s="4">
        <f t="shared" si="141"/>
        <v>3.2004070058885953E-3</v>
      </c>
      <c r="R2243" s="4">
        <f t="shared" si="141"/>
        <v>1.4377974676236053E-2</v>
      </c>
      <c r="S2243" s="4">
        <f t="shared" si="141"/>
        <v>-4.3269493878247923E-3</v>
      </c>
      <c r="T2243" s="4">
        <f t="shared" si="141"/>
        <v>-3.3102053187426844E-4</v>
      </c>
      <c r="U2243" s="35"/>
      <c r="V2243" s="35"/>
      <c r="W2243" s="35"/>
      <c r="X2243" s="35"/>
    </row>
    <row r="2244" spans="4:24" x14ac:dyDescent="0.3">
      <c r="D2244" s="23">
        <v>42837</v>
      </c>
      <c r="E2244" s="5">
        <v>207.87481700000001</v>
      </c>
      <c r="F2244" s="28">
        <v>67.14873</v>
      </c>
      <c r="G2244" s="28">
        <v>122.02</v>
      </c>
      <c r="H2244" s="28">
        <v>124.57859999999999</v>
      </c>
      <c r="I2244" s="28">
        <v>106.9774</v>
      </c>
      <c r="J2244" s="29"/>
      <c r="K2244" s="29"/>
      <c r="L2244" s="29"/>
      <c r="M2244" s="29"/>
      <c r="N2244" s="29"/>
      <c r="P2244" s="4">
        <f t="shared" si="141"/>
        <v>-4.3917746423484411E-3</v>
      </c>
      <c r="Q2244" s="4">
        <f t="shared" si="141"/>
        <v>2.3318746828236816E-3</v>
      </c>
      <c r="R2244" s="4">
        <f t="shared" si="141"/>
        <v>6.8254037433103142E-3</v>
      </c>
      <c r="S2244" s="4">
        <f t="shared" si="141"/>
        <v>-4.0398754783798983E-3</v>
      </c>
      <c r="T2244" s="4">
        <f t="shared" si="141"/>
        <v>-5.1374015236250814E-3</v>
      </c>
      <c r="U2244" s="35"/>
      <c r="V2244" s="35"/>
      <c r="W2244" s="35"/>
      <c r="X2244" s="35"/>
    </row>
    <row r="2245" spans="4:24" x14ac:dyDescent="0.3">
      <c r="D2245" s="23">
        <v>42838</v>
      </c>
      <c r="E2245" s="5">
        <v>206.52475000000001</v>
      </c>
      <c r="F2245" s="28">
        <v>67.247559999999993</v>
      </c>
      <c r="G2245" s="28">
        <v>122.6</v>
      </c>
      <c r="H2245" s="28">
        <v>124.08369999999999</v>
      </c>
      <c r="I2245" s="28">
        <v>106.2487</v>
      </c>
      <c r="J2245" s="29"/>
      <c r="K2245" s="29"/>
      <c r="L2245" s="29"/>
      <c r="M2245" s="29"/>
      <c r="N2245" s="29"/>
      <c r="P2245" s="4">
        <f t="shared" ref="P2245:T2260" si="142">LN(E2245/E2244)</f>
        <v>-6.515797235329612E-3</v>
      </c>
      <c r="Q2245" s="4">
        <f t="shared" si="142"/>
        <v>1.470725387053048E-3</v>
      </c>
      <c r="R2245" s="4">
        <f t="shared" si="142"/>
        <v>4.7420577784046394E-3</v>
      </c>
      <c r="S2245" s="4">
        <f t="shared" si="142"/>
        <v>-3.9805041089850217E-3</v>
      </c>
      <c r="T2245" s="4">
        <f t="shared" si="142"/>
        <v>-6.8350247640588235E-3</v>
      </c>
      <c r="U2245" s="35"/>
      <c r="V2245" s="35"/>
      <c r="W2245" s="35"/>
      <c r="X2245" s="35"/>
    </row>
    <row r="2246" spans="4:24" x14ac:dyDescent="0.3">
      <c r="D2246" s="23">
        <v>42842</v>
      </c>
      <c r="E2246" s="5">
        <v>208.35453799999999</v>
      </c>
      <c r="F2246" s="28">
        <v>67.206329999999994</v>
      </c>
      <c r="G2246" s="28">
        <v>122.24</v>
      </c>
      <c r="H2246" s="28">
        <v>125.1114</v>
      </c>
      <c r="I2246" s="28">
        <v>107.173</v>
      </c>
      <c r="J2246" s="29"/>
      <c r="K2246" s="29"/>
      <c r="L2246" s="29"/>
      <c r="M2246" s="29"/>
      <c r="N2246" s="29"/>
      <c r="P2246" s="4">
        <f t="shared" si="142"/>
        <v>8.820878348180905E-3</v>
      </c>
      <c r="Q2246" s="4">
        <f t="shared" si="142"/>
        <v>-6.1329577437032397E-4</v>
      </c>
      <c r="R2246" s="4">
        <f t="shared" si="142"/>
        <v>-2.9406980839006723E-3</v>
      </c>
      <c r="S2246" s="4">
        <f t="shared" si="142"/>
        <v>8.2482025243644057E-3</v>
      </c>
      <c r="T2246" s="4">
        <f t="shared" si="142"/>
        <v>8.6617788060179696E-3</v>
      </c>
      <c r="U2246" s="35"/>
      <c r="V2246" s="35"/>
      <c r="W2246" s="35"/>
      <c r="X2246" s="35"/>
    </row>
    <row r="2247" spans="4:24" x14ac:dyDescent="0.3">
      <c r="D2247" s="23">
        <v>42843</v>
      </c>
      <c r="E2247" s="5">
        <v>207.732742</v>
      </c>
      <c r="F2247" s="28">
        <v>67.445120000000003</v>
      </c>
      <c r="G2247" s="28">
        <v>122.82</v>
      </c>
      <c r="H2247" s="28">
        <v>124.9212</v>
      </c>
      <c r="I2247" s="28">
        <v>106.9419</v>
      </c>
      <c r="J2247" s="29"/>
      <c r="K2247" s="29"/>
      <c r="L2247" s="29"/>
      <c r="M2247" s="29"/>
      <c r="N2247" s="29"/>
      <c r="P2247" s="4">
        <f t="shared" si="142"/>
        <v>-2.9887790026403059E-3</v>
      </c>
      <c r="Q2247" s="4">
        <f t="shared" si="142"/>
        <v>3.5467906261087826E-3</v>
      </c>
      <c r="R2247" s="4">
        <f t="shared" si="142"/>
        <v>4.7335434830427627E-3</v>
      </c>
      <c r="S2247" s="4">
        <f t="shared" si="142"/>
        <v>-1.5214019026913174E-3</v>
      </c>
      <c r="T2247" s="4">
        <f t="shared" si="142"/>
        <v>-2.158654906686108E-3</v>
      </c>
      <c r="U2247" s="35"/>
      <c r="V2247" s="35"/>
      <c r="W2247" s="35"/>
      <c r="X2247" s="35"/>
    </row>
    <row r="2248" spans="4:24" x14ac:dyDescent="0.3">
      <c r="D2248" s="23">
        <v>42844</v>
      </c>
      <c r="E2248" s="5">
        <v>207.35079999999999</v>
      </c>
      <c r="F2248" s="28">
        <v>67.321650000000005</v>
      </c>
      <c r="G2248" s="28">
        <v>121.73</v>
      </c>
      <c r="H2248" s="28">
        <v>125.121</v>
      </c>
      <c r="I2248" s="28">
        <v>106.85299999999999</v>
      </c>
      <c r="J2248" s="29"/>
      <c r="K2248" s="29"/>
      <c r="L2248" s="29"/>
      <c r="M2248" s="29"/>
      <c r="N2248" s="29"/>
      <c r="P2248" s="4">
        <f t="shared" si="142"/>
        <v>-1.8403143904722164E-3</v>
      </c>
      <c r="Q2248" s="4">
        <f t="shared" si="142"/>
        <v>-1.8323513214124013E-3</v>
      </c>
      <c r="R2248" s="4">
        <f t="shared" si="142"/>
        <v>-8.9143914797481325E-3</v>
      </c>
      <c r="S2248" s="4">
        <f t="shared" si="142"/>
        <v>1.5981305757544109E-3</v>
      </c>
      <c r="T2248" s="4">
        <f t="shared" si="142"/>
        <v>-8.316382207786266E-4</v>
      </c>
      <c r="U2248" s="35"/>
      <c r="V2248" s="35"/>
      <c r="W2248" s="35"/>
      <c r="X2248" s="35"/>
    </row>
    <row r="2249" spans="4:24" x14ac:dyDescent="0.3">
      <c r="D2249" s="23">
        <v>42845</v>
      </c>
      <c r="E2249" s="5">
        <v>209.03843699999999</v>
      </c>
      <c r="F2249" s="28">
        <v>67.231070000000003</v>
      </c>
      <c r="G2249" s="28">
        <v>121.96</v>
      </c>
      <c r="H2249" s="28">
        <v>126.1677</v>
      </c>
      <c r="I2249" s="28">
        <v>107.7328</v>
      </c>
      <c r="J2249" s="29"/>
      <c r="K2249" s="29"/>
      <c r="L2249" s="29"/>
      <c r="M2249" s="29"/>
      <c r="N2249" s="29"/>
      <c r="P2249" s="4">
        <f t="shared" si="142"/>
        <v>8.1060992508140538E-3</v>
      </c>
      <c r="Q2249" s="4">
        <f t="shared" si="142"/>
        <v>-1.3463869579641288E-3</v>
      </c>
      <c r="R2249" s="4">
        <f t="shared" si="142"/>
        <v>1.887644698548876E-3</v>
      </c>
      <c r="S2249" s="4">
        <f t="shared" si="142"/>
        <v>8.3307053079966532E-3</v>
      </c>
      <c r="T2249" s="4">
        <f t="shared" si="142"/>
        <v>8.2000293574174005E-3</v>
      </c>
      <c r="U2249" s="35"/>
      <c r="V2249" s="35"/>
      <c r="W2249" s="35"/>
      <c r="X2249" s="35"/>
    </row>
    <row r="2250" spans="4:24" x14ac:dyDescent="0.3">
      <c r="D2250" s="23">
        <v>42846</v>
      </c>
      <c r="E2250" s="5">
        <v>208.372299</v>
      </c>
      <c r="F2250" s="28">
        <v>67.247559999999993</v>
      </c>
      <c r="G2250" s="28">
        <v>122.31</v>
      </c>
      <c r="H2250" s="28">
        <v>126.1392</v>
      </c>
      <c r="I2250" s="28">
        <v>107.38630000000001</v>
      </c>
      <c r="J2250" s="29"/>
      <c r="K2250" s="29"/>
      <c r="L2250" s="29"/>
      <c r="M2250" s="29"/>
      <c r="N2250" s="29"/>
      <c r="P2250" s="4">
        <f t="shared" si="142"/>
        <v>-3.1917653671269305E-3</v>
      </c>
      <c r="Q2250" s="4">
        <f t="shared" si="142"/>
        <v>2.4524342763811234E-4</v>
      </c>
      <c r="R2250" s="4">
        <f t="shared" si="142"/>
        <v>2.8656833792178238E-3</v>
      </c>
      <c r="S2250" s="4">
        <f t="shared" si="142"/>
        <v>-2.2591534453638947E-4</v>
      </c>
      <c r="T2250" s="4">
        <f t="shared" si="142"/>
        <v>-3.2214740547134662E-3</v>
      </c>
      <c r="U2250" s="35"/>
      <c r="V2250" s="35"/>
      <c r="W2250" s="35"/>
      <c r="X2250" s="35"/>
    </row>
    <row r="2251" spans="4:24" x14ac:dyDescent="0.3">
      <c r="D2251" s="23">
        <v>42849</v>
      </c>
      <c r="E2251" s="5">
        <v>210.66392500000001</v>
      </c>
      <c r="F2251" s="28">
        <v>67.156980000000004</v>
      </c>
      <c r="G2251" s="28">
        <v>121.48</v>
      </c>
      <c r="H2251" s="28">
        <v>127.6617</v>
      </c>
      <c r="I2251" s="28">
        <v>108.52379999999999</v>
      </c>
      <c r="J2251" s="29"/>
      <c r="K2251" s="29"/>
      <c r="L2251" s="29"/>
      <c r="M2251" s="29"/>
      <c r="N2251" s="29"/>
      <c r="P2251" s="4">
        <f t="shared" si="142"/>
        <v>1.0937712374166079E-2</v>
      </c>
      <c r="Q2251" s="4">
        <f t="shared" si="142"/>
        <v>-1.3478713399633388E-3</v>
      </c>
      <c r="R2251" s="4">
        <f t="shared" si="142"/>
        <v>-6.8091653217237143E-3</v>
      </c>
      <c r="S2251" s="4">
        <f t="shared" si="142"/>
        <v>1.199773730563553E-2</v>
      </c>
      <c r="T2251" s="4">
        <f t="shared" si="142"/>
        <v>1.0536890347655117E-2</v>
      </c>
      <c r="U2251" s="35"/>
      <c r="V2251" s="35"/>
      <c r="W2251" s="35"/>
      <c r="X2251" s="35"/>
    </row>
    <row r="2252" spans="4:24" x14ac:dyDescent="0.3">
      <c r="D2252" s="23">
        <v>42850</v>
      </c>
      <c r="E2252" s="5">
        <v>211.88969399999999</v>
      </c>
      <c r="F2252" s="28">
        <v>66.951160000000002</v>
      </c>
      <c r="G2252" s="28">
        <v>120.25</v>
      </c>
      <c r="H2252" s="28">
        <v>128.58459999999999</v>
      </c>
      <c r="I2252" s="28">
        <v>109.19929999999999</v>
      </c>
      <c r="J2252" s="29"/>
      <c r="K2252" s="29"/>
      <c r="L2252" s="29"/>
      <c r="M2252" s="29"/>
      <c r="N2252" s="29"/>
      <c r="P2252" s="4">
        <f t="shared" si="142"/>
        <v>5.8017367887951759E-3</v>
      </c>
      <c r="Q2252" s="4">
        <f t="shared" si="142"/>
        <v>-3.0694656058378594E-3</v>
      </c>
      <c r="R2252" s="4">
        <f t="shared" si="142"/>
        <v>-1.0176731191677465E-2</v>
      </c>
      <c r="S2252" s="4">
        <f t="shared" si="142"/>
        <v>7.203257104844484E-3</v>
      </c>
      <c r="T2252" s="4">
        <f t="shared" si="142"/>
        <v>6.2051492693796203E-3</v>
      </c>
      <c r="U2252" s="35"/>
      <c r="V2252" s="35"/>
      <c r="W2252" s="35"/>
      <c r="X2252" s="35"/>
    </row>
    <row r="2253" spans="4:24" x14ac:dyDescent="0.3">
      <c r="D2253" s="23">
        <v>42851</v>
      </c>
      <c r="E2253" s="5">
        <v>211.75647000000001</v>
      </c>
      <c r="F2253" s="28">
        <v>67.017049999999998</v>
      </c>
      <c r="G2253" s="28">
        <v>120.84</v>
      </c>
      <c r="H2253" s="28">
        <v>128.40389999999999</v>
      </c>
      <c r="I2253" s="28">
        <v>109.2259</v>
      </c>
      <c r="J2253" s="29"/>
      <c r="K2253" s="29"/>
      <c r="L2253" s="29"/>
      <c r="M2253" s="29"/>
      <c r="N2253" s="29"/>
      <c r="P2253" s="4">
        <f t="shared" si="142"/>
        <v>-6.2893997733238192E-4</v>
      </c>
      <c r="Q2253" s="4">
        <f t="shared" si="142"/>
        <v>9.8366627893173449E-4</v>
      </c>
      <c r="R2253" s="4">
        <f t="shared" si="142"/>
        <v>4.8944475326006421E-3</v>
      </c>
      <c r="S2253" s="4">
        <f t="shared" si="142"/>
        <v>-1.4062888400071664E-3</v>
      </c>
      <c r="T2253" s="4">
        <f t="shared" si="142"/>
        <v>2.4356164152759127E-4</v>
      </c>
      <c r="U2253" s="35"/>
      <c r="V2253" s="35"/>
      <c r="W2253" s="35"/>
      <c r="X2253" s="35"/>
    </row>
    <row r="2254" spans="4:24" x14ac:dyDescent="0.3">
      <c r="D2254" s="23">
        <v>42852</v>
      </c>
      <c r="E2254" s="5">
        <v>211.93408199999999</v>
      </c>
      <c r="F2254" s="28">
        <v>67.066410000000005</v>
      </c>
      <c r="G2254" s="28">
        <v>120.39</v>
      </c>
      <c r="H2254" s="28">
        <v>129.1746</v>
      </c>
      <c r="I2254" s="28">
        <v>109.3326</v>
      </c>
      <c r="J2254" s="29"/>
      <c r="K2254" s="29"/>
      <c r="L2254" s="29"/>
      <c r="M2254" s="29"/>
      <c r="N2254" s="29"/>
      <c r="P2254" s="4">
        <f t="shared" si="142"/>
        <v>8.3840439474292883E-4</v>
      </c>
      <c r="Q2254" s="4">
        <f t="shared" si="142"/>
        <v>7.3625788340694529E-4</v>
      </c>
      <c r="R2254" s="4">
        <f t="shared" si="142"/>
        <v>-3.730883571536231E-3</v>
      </c>
      <c r="S2254" s="4">
        <f t="shared" si="142"/>
        <v>5.9842129676783776E-3</v>
      </c>
      <c r="T2254" s="4">
        <f t="shared" si="142"/>
        <v>9.7639770109052661E-4</v>
      </c>
      <c r="U2254" s="35"/>
      <c r="V2254" s="35"/>
      <c r="W2254" s="35"/>
      <c r="X2254" s="35"/>
    </row>
    <row r="2255" spans="4:24" x14ac:dyDescent="0.3">
      <c r="D2255" s="23">
        <v>42853</v>
      </c>
      <c r="E2255" s="5">
        <v>211.472229</v>
      </c>
      <c r="F2255" s="28">
        <v>67.140500000000003</v>
      </c>
      <c r="G2255" s="28">
        <v>120.77</v>
      </c>
      <c r="H2255" s="28">
        <v>129.40299999999999</v>
      </c>
      <c r="I2255" s="28">
        <v>108.9682</v>
      </c>
      <c r="J2255" s="29"/>
      <c r="K2255" s="29"/>
      <c r="L2255" s="29"/>
      <c r="M2255" s="29"/>
      <c r="N2255" s="29"/>
      <c r="P2255" s="4">
        <f t="shared" si="142"/>
        <v>-2.1816074592190199E-3</v>
      </c>
      <c r="Q2255" s="4">
        <f t="shared" si="142"/>
        <v>1.1041161371907918E-3</v>
      </c>
      <c r="R2255" s="4">
        <f t="shared" si="142"/>
        <v>3.1514373403487388E-3</v>
      </c>
      <c r="S2255" s="4">
        <f t="shared" si="142"/>
        <v>1.766588129829066E-3</v>
      </c>
      <c r="T2255" s="4">
        <f t="shared" si="142"/>
        <v>-3.338515831891879E-3</v>
      </c>
      <c r="U2255" s="35"/>
      <c r="V2255" s="35"/>
      <c r="W2255" s="35"/>
      <c r="X2255" s="35"/>
    </row>
    <row r="2256" spans="4:24" x14ac:dyDescent="0.3">
      <c r="D2256" s="23">
        <v>42856</v>
      </c>
      <c r="E2256" s="5">
        <v>212.005157</v>
      </c>
      <c r="F2256" s="28">
        <v>67.015079999999998</v>
      </c>
      <c r="G2256" s="28">
        <v>119.67</v>
      </c>
      <c r="H2256" s="28">
        <v>130.55439999999999</v>
      </c>
      <c r="I2256" s="28">
        <v>109.2526</v>
      </c>
      <c r="J2256" s="29"/>
      <c r="K2256" s="29"/>
      <c r="L2256" s="29"/>
      <c r="M2256" s="29"/>
      <c r="N2256" s="29"/>
      <c r="P2256" s="4">
        <f t="shared" si="142"/>
        <v>2.516914947308864E-3</v>
      </c>
      <c r="Q2256" s="4">
        <f t="shared" si="142"/>
        <v>-1.8697699572309263E-3</v>
      </c>
      <c r="R2256" s="4">
        <f t="shared" si="142"/>
        <v>-9.1499557018588414E-3</v>
      </c>
      <c r="S2256" s="4">
        <f t="shared" si="142"/>
        <v>8.8584324151706993E-3</v>
      </c>
      <c r="T2256" s="4">
        <f t="shared" si="142"/>
        <v>2.6065357749442421E-3</v>
      </c>
      <c r="U2256" s="35"/>
      <c r="V2256" s="35"/>
      <c r="W2256" s="35"/>
      <c r="X2256" s="35"/>
    </row>
    <row r="2257" spans="4:24" x14ac:dyDescent="0.3">
      <c r="D2257" s="23">
        <v>42857</v>
      </c>
      <c r="E2257" s="5">
        <v>212.08512899999999</v>
      </c>
      <c r="F2257" s="28">
        <v>67.130619999999993</v>
      </c>
      <c r="G2257" s="28">
        <v>119.65</v>
      </c>
      <c r="H2257" s="28">
        <v>130.77330000000001</v>
      </c>
      <c r="I2257" s="28">
        <v>109.2526</v>
      </c>
      <c r="J2257" s="29"/>
      <c r="K2257" s="29"/>
      <c r="L2257" s="29"/>
      <c r="M2257" s="29"/>
      <c r="N2257" s="29"/>
      <c r="P2257" s="4">
        <f t="shared" si="142"/>
        <v>3.7714611057096864E-4</v>
      </c>
      <c r="Q2257" s="4">
        <f t="shared" si="142"/>
        <v>1.7226050267851703E-3</v>
      </c>
      <c r="R2257" s="4">
        <f t="shared" si="142"/>
        <v>-1.6714023104261793E-4</v>
      </c>
      <c r="S2257" s="4">
        <f t="shared" si="142"/>
        <v>1.6752916066464685E-3</v>
      </c>
      <c r="T2257" s="4">
        <f t="shared" si="142"/>
        <v>0</v>
      </c>
      <c r="U2257" s="35"/>
      <c r="V2257" s="35"/>
      <c r="W2257" s="35"/>
      <c r="X2257" s="35"/>
    </row>
    <row r="2258" spans="4:24" x14ac:dyDescent="0.3">
      <c r="D2258" s="23">
        <v>42858</v>
      </c>
      <c r="E2258" s="5">
        <v>211.82756000000001</v>
      </c>
      <c r="F2258" s="28">
        <v>67.056359999999998</v>
      </c>
      <c r="G2258" s="28">
        <v>117.98</v>
      </c>
      <c r="H2258" s="28">
        <v>130.3546</v>
      </c>
      <c r="I2258" s="28">
        <v>108.986</v>
      </c>
      <c r="J2258" s="29"/>
      <c r="K2258" s="29"/>
      <c r="L2258" s="29"/>
      <c r="M2258" s="29"/>
      <c r="N2258" s="29"/>
      <c r="P2258" s="4">
        <f t="shared" si="142"/>
        <v>-1.2151984990293649E-3</v>
      </c>
      <c r="Q2258" s="4">
        <f t="shared" si="142"/>
        <v>-1.1068139037175352E-3</v>
      </c>
      <c r="R2258" s="4">
        <f t="shared" si="142"/>
        <v>-1.4055695779453146E-2</v>
      </c>
      <c r="S2258" s="4">
        <f t="shared" si="142"/>
        <v>-3.2068603839284929E-3</v>
      </c>
      <c r="T2258" s="4">
        <f t="shared" si="142"/>
        <v>-2.4431987065180725E-3</v>
      </c>
      <c r="U2258" s="35"/>
      <c r="V2258" s="35"/>
      <c r="W2258" s="35"/>
      <c r="X2258" s="35"/>
    </row>
    <row r="2259" spans="4:24" x14ac:dyDescent="0.3">
      <c r="D2259" s="23">
        <v>42859</v>
      </c>
      <c r="E2259" s="5">
        <v>212.076187</v>
      </c>
      <c r="F2259" s="28">
        <v>66.982119999999995</v>
      </c>
      <c r="G2259" s="28">
        <v>116.79</v>
      </c>
      <c r="H2259" s="28">
        <v>130.40209999999999</v>
      </c>
      <c r="I2259" s="28">
        <v>109.066</v>
      </c>
      <c r="J2259" s="29"/>
      <c r="K2259" s="29"/>
      <c r="L2259" s="29"/>
      <c r="M2259" s="29"/>
      <c r="N2259" s="29"/>
      <c r="P2259" s="4">
        <f t="shared" si="142"/>
        <v>1.1730352952481031E-3</v>
      </c>
      <c r="Q2259" s="4">
        <f t="shared" si="142"/>
        <v>-1.1077417110610698E-3</v>
      </c>
      <c r="R2259" s="4">
        <f t="shared" si="142"/>
        <v>-1.0137668284455116E-2</v>
      </c>
      <c r="S2259" s="4">
        <f t="shared" si="142"/>
        <v>3.6432429560117544E-4</v>
      </c>
      <c r="T2259" s="4">
        <f t="shared" si="142"/>
        <v>7.3376995936249602E-4</v>
      </c>
      <c r="U2259" s="35"/>
      <c r="V2259" s="35"/>
      <c r="W2259" s="35"/>
      <c r="X2259" s="35"/>
    </row>
    <row r="2260" spans="4:24" x14ac:dyDescent="0.3">
      <c r="D2260" s="23">
        <v>42860</v>
      </c>
      <c r="E2260" s="5">
        <v>212.91116299999999</v>
      </c>
      <c r="F2260" s="28">
        <v>67.023349999999994</v>
      </c>
      <c r="G2260" s="28">
        <v>117.01</v>
      </c>
      <c r="H2260" s="28">
        <v>130.87790000000001</v>
      </c>
      <c r="I2260" s="28">
        <v>109.60809999999999</v>
      </c>
      <c r="J2260" s="29"/>
      <c r="K2260" s="29"/>
      <c r="L2260" s="29"/>
      <c r="M2260" s="29"/>
      <c r="N2260" s="29"/>
      <c r="P2260" s="4">
        <f t="shared" si="142"/>
        <v>3.9294208373954293E-3</v>
      </c>
      <c r="Q2260" s="4">
        <f t="shared" si="142"/>
        <v>6.1534803468819442E-4</v>
      </c>
      <c r="R2260" s="4">
        <f t="shared" si="142"/>
        <v>1.8819509403924812E-3</v>
      </c>
      <c r="S2260" s="4">
        <f t="shared" si="142"/>
        <v>3.6420738360788689E-3</v>
      </c>
      <c r="T2260" s="4">
        <f t="shared" si="142"/>
        <v>4.9580733201925586E-3</v>
      </c>
      <c r="U2260" s="35"/>
      <c r="V2260" s="35"/>
      <c r="W2260" s="35"/>
      <c r="X2260" s="35"/>
    </row>
    <row r="2261" spans="4:24" x14ac:dyDescent="0.3">
      <c r="D2261" s="23">
        <v>42863</v>
      </c>
      <c r="E2261" s="5">
        <v>212.87570199999999</v>
      </c>
      <c r="F2261" s="28">
        <v>66.907849999999996</v>
      </c>
      <c r="G2261" s="28">
        <v>116.75</v>
      </c>
      <c r="H2261" s="28">
        <v>131.1634</v>
      </c>
      <c r="I2261" s="28">
        <v>109.4392</v>
      </c>
      <c r="J2261" s="29"/>
      <c r="K2261" s="29"/>
      <c r="L2261" s="29"/>
      <c r="M2261" s="29"/>
      <c r="N2261" s="29"/>
      <c r="P2261" s="4">
        <f t="shared" ref="P2261:T2276" si="143">LN(E2261/E2260)</f>
        <v>-1.6656690469769341E-4</v>
      </c>
      <c r="Q2261" s="4">
        <f t="shared" si="143"/>
        <v>-1.7247665761620362E-3</v>
      </c>
      <c r="R2261" s="4">
        <f t="shared" si="143"/>
        <v>-2.2245046818598962E-3</v>
      </c>
      <c r="S2261" s="4">
        <f t="shared" si="143"/>
        <v>2.1790466843861411E-3</v>
      </c>
      <c r="T2261" s="4">
        <f t="shared" si="143"/>
        <v>-1.5421329865540313E-3</v>
      </c>
      <c r="U2261" s="35"/>
      <c r="V2261" s="35"/>
      <c r="W2261" s="35"/>
      <c r="X2261" s="35"/>
    </row>
    <row r="2262" spans="4:24" x14ac:dyDescent="0.3">
      <c r="D2262" s="23">
        <v>42864</v>
      </c>
      <c r="E2262" s="5">
        <v>212.680206</v>
      </c>
      <c r="F2262" s="28">
        <v>66.874859999999998</v>
      </c>
      <c r="G2262" s="28">
        <v>116.05</v>
      </c>
      <c r="H2262" s="28">
        <v>131.62020000000001</v>
      </c>
      <c r="I2262" s="28">
        <v>109.4037</v>
      </c>
      <c r="J2262" s="29"/>
      <c r="K2262" s="29"/>
      <c r="L2262" s="29"/>
      <c r="M2262" s="29"/>
      <c r="N2262" s="29"/>
      <c r="P2262" s="4">
        <f t="shared" si="143"/>
        <v>-9.1877946035899278E-4</v>
      </c>
      <c r="Q2262" s="4">
        <f t="shared" si="143"/>
        <v>-4.9318780683529591E-4</v>
      </c>
      <c r="R2262" s="4">
        <f t="shared" si="143"/>
        <v>-6.0137638285606915E-3</v>
      </c>
      <c r="S2262" s="4">
        <f t="shared" si="143"/>
        <v>3.4766283749032229E-3</v>
      </c>
      <c r="T2262" s="4">
        <f t="shared" si="143"/>
        <v>-3.2443364908233942E-4</v>
      </c>
      <c r="U2262" s="35"/>
      <c r="V2262" s="35"/>
      <c r="W2262" s="35"/>
      <c r="X2262" s="35"/>
    </row>
    <row r="2263" spans="4:24" x14ac:dyDescent="0.3">
      <c r="D2263" s="23">
        <v>42865</v>
      </c>
      <c r="E2263" s="5">
        <v>213.06222500000001</v>
      </c>
      <c r="F2263" s="28">
        <v>66.866590000000002</v>
      </c>
      <c r="G2263" s="28">
        <v>116.04</v>
      </c>
      <c r="H2263" s="28">
        <v>131.6962</v>
      </c>
      <c r="I2263" s="28">
        <v>109.64360000000001</v>
      </c>
      <c r="J2263" s="29"/>
      <c r="K2263" s="29"/>
      <c r="L2263" s="29"/>
      <c r="M2263" s="29"/>
      <c r="N2263" s="29"/>
      <c r="P2263" s="4">
        <f t="shared" si="143"/>
        <v>1.7946019692241431E-3</v>
      </c>
      <c r="Q2263" s="4">
        <f t="shared" si="143"/>
        <v>-1.2367145728626561E-4</v>
      </c>
      <c r="R2263" s="4">
        <f t="shared" si="143"/>
        <v>-8.6173467242688472E-5</v>
      </c>
      <c r="S2263" s="4">
        <f t="shared" si="143"/>
        <v>5.7725232541840413E-4</v>
      </c>
      <c r="T2263" s="4">
        <f t="shared" si="143"/>
        <v>2.1903953704669522E-3</v>
      </c>
      <c r="U2263" s="35"/>
      <c r="V2263" s="35"/>
      <c r="W2263" s="35"/>
      <c r="X2263" s="35"/>
    </row>
    <row r="2264" spans="4:24" x14ac:dyDescent="0.3">
      <c r="D2264" s="23">
        <v>42866</v>
      </c>
      <c r="E2264" s="5">
        <v>212.62698399999999</v>
      </c>
      <c r="F2264" s="28">
        <v>66.916120000000006</v>
      </c>
      <c r="G2264" s="28">
        <v>116.5</v>
      </c>
      <c r="H2264" s="28">
        <v>131.5916</v>
      </c>
      <c r="I2264" s="28">
        <v>109.3237</v>
      </c>
      <c r="J2264" s="29"/>
      <c r="K2264" s="29"/>
      <c r="L2264" s="29"/>
      <c r="M2264" s="29"/>
      <c r="N2264" s="29"/>
      <c r="P2264" s="4">
        <f t="shared" si="143"/>
        <v>-2.0448775419357264E-3</v>
      </c>
      <c r="Q2264" s="4">
        <f t="shared" si="143"/>
        <v>7.4045446176117821E-4</v>
      </c>
      <c r="R2264" s="4">
        <f t="shared" si="143"/>
        <v>3.9563137525519196E-3</v>
      </c>
      <c r="S2264" s="4">
        <f t="shared" si="143"/>
        <v>-7.9456781136964339E-4</v>
      </c>
      <c r="T2264" s="4">
        <f t="shared" si="143"/>
        <v>-2.9218995493429014E-3</v>
      </c>
      <c r="U2264" s="35"/>
      <c r="V2264" s="35"/>
      <c r="W2264" s="35"/>
      <c r="X2264" s="35"/>
    </row>
    <row r="2265" spans="4:24" x14ac:dyDescent="0.3">
      <c r="D2265" s="23">
        <v>42867</v>
      </c>
      <c r="E2265" s="5">
        <v>212.27162200000001</v>
      </c>
      <c r="F2265" s="28">
        <v>67.114099999999993</v>
      </c>
      <c r="G2265" s="28">
        <v>116.83</v>
      </c>
      <c r="H2265" s="28">
        <v>131.88659999999999</v>
      </c>
      <c r="I2265" s="28">
        <v>109.1104</v>
      </c>
      <c r="J2265" s="29"/>
      <c r="K2265" s="29"/>
      <c r="L2265" s="29"/>
      <c r="M2265" s="29"/>
      <c r="N2265" s="29"/>
      <c r="P2265" s="4">
        <f t="shared" si="143"/>
        <v>-1.6726912154448161E-3</v>
      </c>
      <c r="Q2265" s="4">
        <f t="shared" si="143"/>
        <v>2.954261270209205E-3</v>
      </c>
      <c r="R2265" s="4">
        <f t="shared" si="143"/>
        <v>2.8286137233016506E-3</v>
      </c>
      <c r="S2265" s="4">
        <f t="shared" si="143"/>
        <v>2.2392753804262953E-3</v>
      </c>
      <c r="T2265" s="4">
        <f t="shared" si="143"/>
        <v>-1.9529923926441253E-3</v>
      </c>
      <c r="U2265" s="35"/>
      <c r="V2265" s="35"/>
      <c r="W2265" s="35"/>
      <c r="X2265" s="35"/>
    </row>
    <row r="2266" spans="4:24" x14ac:dyDescent="0.3">
      <c r="D2266" s="23">
        <v>42870</v>
      </c>
      <c r="E2266" s="5">
        <v>213.444153</v>
      </c>
      <c r="F2266" s="28">
        <v>67.097610000000003</v>
      </c>
      <c r="G2266" s="28">
        <v>117.14</v>
      </c>
      <c r="H2266" s="28">
        <v>132.30529999999999</v>
      </c>
      <c r="I2266" s="28">
        <v>109.697</v>
      </c>
      <c r="J2266" s="29"/>
      <c r="K2266" s="29"/>
      <c r="L2266" s="29"/>
      <c r="M2266" s="29"/>
      <c r="N2266" s="29"/>
      <c r="P2266" s="4">
        <f t="shared" si="143"/>
        <v>5.5085295579126274E-3</v>
      </c>
      <c r="Q2266" s="4">
        <f t="shared" si="143"/>
        <v>-2.4573116731720383E-4</v>
      </c>
      <c r="R2266" s="4">
        <f t="shared" si="143"/>
        <v>2.6499139325791934E-3</v>
      </c>
      <c r="S2266" s="4">
        <f t="shared" si="143"/>
        <v>3.1696683399411538E-3</v>
      </c>
      <c r="T2266" s="4">
        <f t="shared" si="143"/>
        <v>5.3618059109926145E-3</v>
      </c>
      <c r="U2266" s="35"/>
      <c r="V2266" s="35"/>
      <c r="W2266" s="35"/>
      <c r="X2266" s="35"/>
    </row>
    <row r="2267" spans="4:24" x14ac:dyDescent="0.3">
      <c r="D2267" s="23">
        <v>42871</v>
      </c>
      <c r="E2267" s="5">
        <v>213.248718</v>
      </c>
      <c r="F2267" s="28">
        <v>67.163579999999996</v>
      </c>
      <c r="G2267" s="28">
        <v>117.65</v>
      </c>
      <c r="H2267" s="28">
        <v>132.8571</v>
      </c>
      <c r="I2267" s="28">
        <v>109.6347</v>
      </c>
      <c r="J2267" s="29"/>
      <c r="K2267" s="29"/>
      <c r="L2267" s="29"/>
      <c r="M2267" s="29"/>
      <c r="N2267" s="29"/>
      <c r="P2267" s="4">
        <f t="shared" si="143"/>
        <v>-9.160453663470614E-4</v>
      </c>
      <c r="Q2267" s="4">
        <f t="shared" si="143"/>
        <v>9.8271146425940072E-4</v>
      </c>
      <c r="R2267" s="4">
        <f t="shared" si="143"/>
        <v>4.3443145117353895E-3</v>
      </c>
      <c r="S2267" s="4">
        <f t="shared" si="143"/>
        <v>4.161983724148474E-3</v>
      </c>
      <c r="T2267" s="4">
        <f t="shared" si="143"/>
        <v>-5.6808935211363537E-4</v>
      </c>
      <c r="U2267" s="35"/>
      <c r="V2267" s="35"/>
      <c r="W2267" s="35"/>
      <c r="X2267" s="35"/>
    </row>
    <row r="2268" spans="4:24" x14ac:dyDescent="0.3">
      <c r="D2268" s="23">
        <v>42872</v>
      </c>
      <c r="E2268" s="5">
        <v>209.46478300000001</v>
      </c>
      <c r="F2268" s="28">
        <v>67.526610000000005</v>
      </c>
      <c r="G2268" s="28">
        <v>119.79</v>
      </c>
      <c r="H2268" s="28">
        <v>129.47909999999999</v>
      </c>
      <c r="I2268" s="28">
        <v>107.6618</v>
      </c>
      <c r="J2268" s="29"/>
      <c r="K2268" s="29"/>
      <c r="L2268" s="29"/>
      <c r="M2268" s="29"/>
      <c r="N2268" s="29"/>
      <c r="P2268" s="4">
        <f t="shared" si="143"/>
        <v>-1.790354963728823E-2</v>
      </c>
      <c r="Q2268" s="4">
        <f t="shared" si="143"/>
        <v>5.3906060878807609E-3</v>
      </c>
      <c r="R2268" s="4">
        <f t="shared" si="143"/>
        <v>1.8026094569868204E-2</v>
      </c>
      <c r="S2268" s="4">
        <f t="shared" si="143"/>
        <v>-2.5754636357849966E-2</v>
      </c>
      <c r="T2268" s="4">
        <f t="shared" si="143"/>
        <v>-1.8159097949728711E-2</v>
      </c>
      <c r="U2268" s="35"/>
      <c r="V2268" s="35"/>
      <c r="W2268" s="35"/>
      <c r="X2268" s="35"/>
    </row>
    <row r="2269" spans="4:24" x14ac:dyDescent="0.3">
      <c r="D2269" s="23">
        <v>42873</v>
      </c>
      <c r="E2269" s="5">
        <v>210.30862400000001</v>
      </c>
      <c r="F2269" s="28">
        <v>67.468879999999999</v>
      </c>
      <c r="G2269" s="28">
        <v>118.81</v>
      </c>
      <c r="H2269" s="28">
        <v>130.61150000000001</v>
      </c>
      <c r="I2269" s="28">
        <v>107.9817</v>
      </c>
      <c r="J2269" s="29"/>
      <c r="K2269" s="29"/>
      <c r="L2269" s="29"/>
      <c r="M2269" s="29"/>
      <c r="N2269" s="29"/>
      <c r="P2269" s="4">
        <f t="shared" si="143"/>
        <v>4.0204649584353715E-3</v>
      </c>
      <c r="Q2269" s="4">
        <f t="shared" si="143"/>
        <v>-8.5528788434653376E-4</v>
      </c>
      <c r="R2269" s="4">
        <f t="shared" si="143"/>
        <v>-8.2146312730436433E-3</v>
      </c>
      <c r="S2269" s="4">
        <f t="shared" si="143"/>
        <v>8.7077899424326637E-3</v>
      </c>
      <c r="T2269" s="4">
        <f t="shared" si="143"/>
        <v>2.9669360278934379E-3</v>
      </c>
      <c r="U2269" s="35"/>
      <c r="V2269" s="35"/>
      <c r="W2269" s="35"/>
      <c r="X2269" s="35"/>
    </row>
    <row r="2270" spans="4:24" x14ac:dyDescent="0.3">
      <c r="D2270" s="23">
        <v>42874</v>
      </c>
      <c r="E2270" s="5">
        <v>211.67649800000001</v>
      </c>
      <c r="F2270" s="28">
        <v>67.510109999999997</v>
      </c>
      <c r="G2270" s="28">
        <v>119.4</v>
      </c>
      <c r="H2270" s="28">
        <v>131.1634</v>
      </c>
      <c r="I2270" s="28">
        <v>108.75490000000001</v>
      </c>
      <c r="J2270" s="29"/>
      <c r="K2270" s="29"/>
      <c r="L2270" s="29"/>
      <c r="M2270" s="29"/>
      <c r="N2270" s="29"/>
      <c r="P2270" s="4">
        <f t="shared" si="143"/>
        <v>6.4830664385009994E-3</v>
      </c>
      <c r="Q2270" s="4">
        <f t="shared" si="143"/>
        <v>6.1090990949460688E-4</v>
      </c>
      <c r="R2270" s="4">
        <f t="shared" si="143"/>
        <v>4.9536224883057148E-3</v>
      </c>
      <c r="S2270" s="4">
        <f t="shared" si="143"/>
        <v>4.2166060819494641E-3</v>
      </c>
      <c r="T2270" s="4">
        <f t="shared" si="143"/>
        <v>7.1349581025569476E-3</v>
      </c>
      <c r="U2270" s="35"/>
      <c r="V2270" s="35"/>
      <c r="W2270" s="35"/>
      <c r="X2270" s="35"/>
    </row>
    <row r="2271" spans="4:24" x14ac:dyDescent="0.3">
      <c r="D2271" s="23">
        <v>42877</v>
      </c>
      <c r="E2271" s="5">
        <v>212.751282</v>
      </c>
      <c r="F2271" s="28">
        <v>67.452349999999996</v>
      </c>
      <c r="G2271" s="28">
        <v>119.9</v>
      </c>
      <c r="H2271" s="28">
        <v>132.2672</v>
      </c>
      <c r="I2271" s="28">
        <v>109.3326</v>
      </c>
      <c r="J2271" s="29"/>
      <c r="K2271" s="29"/>
      <c r="L2271" s="29"/>
      <c r="M2271" s="29"/>
      <c r="N2271" s="29"/>
      <c r="P2271" s="4">
        <f t="shared" si="143"/>
        <v>5.0646368972303013E-3</v>
      </c>
      <c r="Q2271" s="4">
        <f t="shared" si="143"/>
        <v>-8.5594177116254553E-4</v>
      </c>
      <c r="R2271" s="4">
        <f t="shared" si="143"/>
        <v>4.1788610749668477E-3</v>
      </c>
      <c r="S2271" s="4">
        <f t="shared" si="143"/>
        <v>8.3802448147197034E-3</v>
      </c>
      <c r="T2271" s="4">
        <f t="shared" si="143"/>
        <v>5.2978859514661737E-3</v>
      </c>
      <c r="U2271" s="35"/>
      <c r="V2271" s="35"/>
      <c r="W2271" s="35"/>
      <c r="X2271" s="35"/>
    </row>
    <row r="2272" spans="4:24" x14ac:dyDescent="0.3">
      <c r="D2272" s="23">
        <v>42878</v>
      </c>
      <c r="E2272" s="5">
        <v>213.22207599999999</v>
      </c>
      <c r="F2272" s="28">
        <v>67.312100000000001</v>
      </c>
      <c r="G2272" s="28">
        <v>119.14</v>
      </c>
      <c r="H2272" s="28">
        <v>132.40039999999999</v>
      </c>
      <c r="I2272" s="28">
        <v>109.5192</v>
      </c>
      <c r="J2272" s="29"/>
      <c r="K2272" s="29"/>
      <c r="L2272" s="29"/>
      <c r="M2272" s="29"/>
      <c r="N2272" s="29"/>
      <c r="P2272" s="4">
        <f t="shared" si="143"/>
        <v>2.210439610137623E-3</v>
      </c>
      <c r="Q2272" s="4">
        <f t="shared" si="143"/>
        <v>-2.0814102032602325E-3</v>
      </c>
      <c r="R2272" s="4">
        <f t="shared" si="143"/>
        <v>-6.35878983292721E-3</v>
      </c>
      <c r="S2272" s="4">
        <f t="shared" si="143"/>
        <v>1.006545653837215E-3</v>
      </c>
      <c r="T2272" s="4">
        <f t="shared" si="143"/>
        <v>1.7052639751488955E-3</v>
      </c>
      <c r="U2272" s="35"/>
      <c r="V2272" s="35"/>
      <c r="W2272" s="35"/>
      <c r="X2272" s="35"/>
    </row>
    <row r="2273" spans="4:24" x14ac:dyDescent="0.3">
      <c r="D2273" s="23">
        <v>42879</v>
      </c>
      <c r="E2273" s="5">
        <v>213.719482</v>
      </c>
      <c r="F2273" s="28">
        <v>67.452349999999996</v>
      </c>
      <c r="G2273" s="28">
        <v>119.61</v>
      </c>
      <c r="H2273" s="28">
        <v>133.0094</v>
      </c>
      <c r="I2273" s="28">
        <v>109.83920000000001</v>
      </c>
      <c r="J2273" s="29"/>
      <c r="K2273" s="29"/>
      <c r="L2273" s="29"/>
      <c r="M2273" s="29"/>
      <c r="N2273" s="29"/>
      <c r="P2273" s="4">
        <f t="shared" si="143"/>
        <v>2.3300904572426894E-3</v>
      </c>
      <c r="Q2273" s="4">
        <f t="shared" si="143"/>
        <v>2.0814102032602477E-3</v>
      </c>
      <c r="R2273" s="4">
        <f t="shared" si="143"/>
        <v>3.9371778608319596E-3</v>
      </c>
      <c r="S2273" s="4">
        <f t="shared" si="143"/>
        <v>4.5891377696230598E-3</v>
      </c>
      <c r="T2273" s="4">
        <f t="shared" si="143"/>
        <v>2.9176017603821055E-3</v>
      </c>
      <c r="U2273" s="35"/>
      <c r="V2273" s="35"/>
      <c r="W2273" s="35"/>
      <c r="X2273" s="35"/>
    </row>
    <row r="2274" spans="4:24" x14ac:dyDescent="0.3">
      <c r="D2274" s="23">
        <v>42880</v>
      </c>
      <c r="E2274" s="5">
        <v>214.74096700000001</v>
      </c>
      <c r="F2274" s="28">
        <v>67.452349999999996</v>
      </c>
      <c r="G2274" s="28">
        <v>119.48</v>
      </c>
      <c r="H2274" s="28">
        <v>134.14179999999999</v>
      </c>
      <c r="I2274" s="28">
        <v>110.3013</v>
      </c>
      <c r="J2274" s="29"/>
      <c r="K2274" s="29"/>
      <c r="L2274" s="29"/>
      <c r="M2274" s="29"/>
      <c r="N2274" s="29"/>
      <c r="P2274" s="4">
        <f t="shared" si="143"/>
        <v>4.7681737612550743E-3</v>
      </c>
      <c r="Q2274" s="4">
        <f t="shared" si="143"/>
        <v>0</v>
      </c>
      <c r="R2274" s="4">
        <f t="shared" si="143"/>
        <v>-1.0874567134642669E-3</v>
      </c>
      <c r="S2274" s="4">
        <f t="shared" si="143"/>
        <v>8.4776469817184116E-3</v>
      </c>
      <c r="T2274" s="4">
        <f t="shared" si="143"/>
        <v>4.1982341160821442E-3</v>
      </c>
      <c r="U2274" s="35"/>
      <c r="V2274" s="35"/>
      <c r="W2274" s="35"/>
      <c r="X2274" s="35"/>
    </row>
    <row r="2275" spans="4:24" x14ac:dyDescent="0.3">
      <c r="D2275" s="23">
        <v>42881</v>
      </c>
      <c r="E2275" s="5">
        <v>214.69654800000001</v>
      </c>
      <c r="F2275" s="28">
        <v>67.485370000000003</v>
      </c>
      <c r="G2275" s="28">
        <v>120.54</v>
      </c>
      <c r="H2275" s="28">
        <v>134.37970000000001</v>
      </c>
      <c r="I2275" s="28">
        <v>110.2835</v>
      </c>
      <c r="J2275" s="29"/>
      <c r="K2275" s="29"/>
      <c r="L2275" s="29"/>
      <c r="M2275" s="29"/>
      <c r="N2275" s="29"/>
      <c r="P2275" s="4">
        <f t="shared" si="143"/>
        <v>-2.068706091428424E-4</v>
      </c>
      <c r="Q2275" s="4">
        <f t="shared" si="143"/>
        <v>4.8941097654677749E-4</v>
      </c>
      <c r="R2275" s="4">
        <f t="shared" si="143"/>
        <v>8.8326547069890026E-3</v>
      </c>
      <c r="S2275" s="4">
        <f t="shared" si="143"/>
        <v>1.7719256167196191E-3</v>
      </c>
      <c r="T2275" s="4">
        <f t="shared" si="143"/>
        <v>-1.6138918038436525E-4</v>
      </c>
      <c r="U2275" s="35"/>
      <c r="V2275" s="35"/>
      <c r="W2275" s="35"/>
      <c r="X2275" s="35"/>
    </row>
    <row r="2276" spans="4:24" x14ac:dyDescent="0.3">
      <c r="D2276" s="23">
        <v>42885</v>
      </c>
      <c r="E2276" s="5">
        <v>214.51002500000001</v>
      </c>
      <c r="F2276" s="28">
        <v>67.584360000000004</v>
      </c>
      <c r="G2276" s="28">
        <v>120.14</v>
      </c>
      <c r="H2276" s="28">
        <v>134.4939</v>
      </c>
      <c r="I2276" s="28">
        <v>110.1058</v>
      </c>
      <c r="J2276" s="29"/>
      <c r="K2276" s="29"/>
      <c r="L2276" s="29"/>
      <c r="M2276" s="29"/>
      <c r="N2276" s="29"/>
      <c r="P2276" s="4">
        <f t="shared" si="143"/>
        <v>-8.6915263407219957E-4</v>
      </c>
      <c r="Q2276" s="4">
        <f t="shared" si="143"/>
        <v>1.4657616880255652E-3</v>
      </c>
      <c r="R2276" s="4">
        <f t="shared" si="143"/>
        <v>-3.323918632882714E-3</v>
      </c>
      <c r="S2276" s="4">
        <f t="shared" si="143"/>
        <v>8.4946983911555432E-4</v>
      </c>
      <c r="T2276" s="4">
        <f t="shared" si="143"/>
        <v>-1.6126013241915291E-3</v>
      </c>
      <c r="U2276" s="35"/>
      <c r="V2276" s="35"/>
      <c r="W2276" s="35"/>
      <c r="X2276" s="35"/>
    </row>
    <row r="2277" spans="4:24" x14ac:dyDescent="0.3">
      <c r="D2277" s="23">
        <v>42886</v>
      </c>
      <c r="E2277" s="5">
        <v>214.45671100000001</v>
      </c>
      <c r="F2277" s="28">
        <v>67.617369999999994</v>
      </c>
      <c r="G2277" s="28">
        <v>120.62</v>
      </c>
      <c r="H2277" s="28">
        <v>134.44630000000001</v>
      </c>
      <c r="I2277" s="28">
        <v>110.0702</v>
      </c>
      <c r="J2277" s="29"/>
      <c r="K2277" s="29"/>
      <c r="L2277" s="29"/>
      <c r="M2277" s="29"/>
      <c r="N2277" s="29"/>
      <c r="P2277" s="4">
        <f t="shared" ref="P2277:T2292" si="144">LN(E2277/E2276)</f>
        <v>-2.4856939151802901E-4</v>
      </c>
      <c r="Q2277" s="4">
        <f t="shared" si="144"/>
        <v>4.8830737085860066E-4</v>
      </c>
      <c r="R2277" s="4">
        <f t="shared" si="144"/>
        <v>3.9873786008253441E-3</v>
      </c>
      <c r="S2277" s="4">
        <f t="shared" si="144"/>
        <v>-3.5398204133877347E-4</v>
      </c>
      <c r="T2277" s="4">
        <f t="shared" si="144"/>
        <v>-3.2337766432520695E-4</v>
      </c>
      <c r="U2277" s="35"/>
      <c r="V2277" s="35"/>
      <c r="W2277" s="35"/>
      <c r="X2277" s="35"/>
    </row>
    <row r="2278" spans="4:24" x14ac:dyDescent="0.3">
      <c r="D2278" s="23">
        <v>42887</v>
      </c>
      <c r="E2278" s="5">
        <v>216.16213999999999</v>
      </c>
      <c r="F2278" s="28">
        <v>67.635549999999995</v>
      </c>
      <c r="G2278" s="28">
        <v>120.72</v>
      </c>
      <c r="H2278" s="28">
        <v>134.96960000000001</v>
      </c>
      <c r="I2278" s="28">
        <v>111.09229999999999</v>
      </c>
      <c r="J2278" s="29"/>
      <c r="K2278" s="29"/>
      <c r="L2278" s="29"/>
      <c r="M2278" s="29"/>
      <c r="N2278" s="29"/>
      <c r="P2278" s="4">
        <f t="shared" si="144"/>
        <v>7.920869755732942E-3</v>
      </c>
      <c r="Q2278" s="4">
        <f t="shared" si="144"/>
        <v>2.6882968751413535E-4</v>
      </c>
      <c r="R2278" s="4">
        <f t="shared" si="144"/>
        <v>8.2870643675261955E-4</v>
      </c>
      <c r="S2278" s="4">
        <f t="shared" si="144"/>
        <v>3.8847050830355043E-3</v>
      </c>
      <c r="T2278" s="4">
        <f t="shared" si="144"/>
        <v>9.2430432538761244E-3</v>
      </c>
      <c r="U2278" s="35"/>
      <c r="V2278" s="35"/>
      <c r="W2278" s="35"/>
      <c r="X2278" s="35"/>
    </row>
    <row r="2279" spans="4:24" x14ac:dyDescent="0.3">
      <c r="D2279" s="23">
        <v>42888</v>
      </c>
      <c r="E2279" s="5">
        <v>216.88162199999999</v>
      </c>
      <c r="F2279" s="28">
        <v>67.858800000000002</v>
      </c>
      <c r="G2279" s="28">
        <v>121.61</v>
      </c>
      <c r="H2279" s="28">
        <v>136.5112</v>
      </c>
      <c r="I2279" s="28">
        <v>111.4567</v>
      </c>
      <c r="J2279" s="29"/>
      <c r="K2279" s="29"/>
      <c r="L2279" s="29"/>
      <c r="M2279" s="29"/>
      <c r="N2279" s="29"/>
      <c r="P2279" s="4">
        <f t="shared" si="144"/>
        <v>3.3229097156559019E-3</v>
      </c>
      <c r="Q2279" s="4">
        <f t="shared" si="144"/>
        <v>3.2953433412976538E-3</v>
      </c>
      <c r="R2279" s="4">
        <f t="shared" si="144"/>
        <v>7.3453885333148198E-3</v>
      </c>
      <c r="S2279" s="4">
        <f t="shared" si="144"/>
        <v>1.1357094645789651E-2</v>
      </c>
      <c r="T2279" s="4">
        <f t="shared" si="144"/>
        <v>3.2747873561250057E-3</v>
      </c>
      <c r="U2279" s="35"/>
      <c r="V2279" s="35"/>
      <c r="W2279" s="35"/>
      <c r="X2279" s="35"/>
    </row>
    <row r="2280" spans="4:24" x14ac:dyDescent="0.3">
      <c r="D2280" s="23">
        <v>42891</v>
      </c>
      <c r="E2280" s="5">
        <v>216.721756</v>
      </c>
      <c r="F2280" s="28">
        <v>67.751310000000004</v>
      </c>
      <c r="G2280" s="28">
        <v>121.73</v>
      </c>
      <c r="H2280" s="28">
        <v>136.48259999999999</v>
      </c>
      <c r="I2280" s="28">
        <v>111.3145</v>
      </c>
      <c r="J2280" s="29"/>
      <c r="K2280" s="29"/>
      <c r="L2280" s="29"/>
      <c r="M2280" s="29"/>
      <c r="N2280" s="29"/>
      <c r="P2280" s="4">
        <f t="shared" si="144"/>
        <v>-7.3738358765143704E-4</v>
      </c>
      <c r="Q2280" s="4">
        <f t="shared" si="144"/>
        <v>-1.5852803675362687E-3</v>
      </c>
      <c r="R2280" s="4">
        <f t="shared" si="144"/>
        <v>9.8627442859677492E-4</v>
      </c>
      <c r="S2280" s="4">
        <f t="shared" si="144"/>
        <v>-2.0952856881465879E-4</v>
      </c>
      <c r="T2280" s="4">
        <f t="shared" si="144"/>
        <v>-1.2766463466860434E-3</v>
      </c>
      <c r="U2280" s="35"/>
      <c r="V2280" s="35"/>
      <c r="W2280" s="35"/>
      <c r="X2280" s="35"/>
    </row>
    <row r="2281" spans="4:24" x14ac:dyDescent="0.3">
      <c r="D2281" s="23">
        <v>42892</v>
      </c>
      <c r="E2281" s="5">
        <v>216.02894599999999</v>
      </c>
      <c r="F2281" s="28">
        <v>67.875299999999996</v>
      </c>
      <c r="G2281" s="28">
        <v>123.1</v>
      </c>
      <c r="H2281" s="28">
        <v>135.9402</v>
      </c>
      <c r="I2281" s="28">
        <v>111.0301</v>
      </c>
      <c r="J2281" s="29"/>
      <c r="K2281" s="29"/>
      <c r="L2281" s="29"/>
      <c r="M2281" s="29"/>
      <c r="N2281" s="29"/>
      <c r="P2281" s="4">
        <f t="shared" si="144"/>
        <v>-3.2018923999213985E-3</v>
      </c>
      <c r="Q2281" s="4">
        <f t="shared" si="144"/>
        <v>1.8284027676003123E-3</v>
      </c>
      <c r="R2281" s="4">
        <f t="shared" si="144"/>
        <v>1.1191555768902696E-2</v>
      </c>
      <c r="S2281" s="4">
        <f t="shared" si="144"/>
        <v>-3.9820508175082096E-3</v>
      </c>
      <c r="T2281" s="4">
        <f t="shared" si="144"/>
        <v>-2.5581925992450593E-3</v>
      </c>
      <c r="U2281" s="35"/>
      <c r="V2281" s="35"/>
      <c r="W2281" s="35"/>
      <c r="X2281" s="35"/>
    </row>
    <row r="2282" spans="4:24" x14ac:dyDescent="0.3">
      <c r="D2282" s="23">
        <v>42893</v>
      </c>
      <c r="E2282" s="5">
        <v>216.42865</v>
      </c>
      <c r="F2282" s="28">
        <v>67.784350000000003</v>
      </c>
      <c r="G2282" s="28">
        <v>122.45</v>
      </c>
      <c r="H2282" s="28">
        <v>136.47309999999999</v>
      </c>
      <c r="I2282" s="28">
        <v>111.1545</v>
      </c>
      <c r="J2282" s="29"/>
      <c r="K2282" s="29"/>
      <c r="L2282" s="29"/>
      <c r="M2282" s="29"/>
      <c r="N2282" s="29"/>
      <c r="P2282" s="4">
        <f t="shared" si="144"/>
        <v>1.8485239594084417E-3</v>
      </c>
      <c r="Q2282" s="4">
        <f t="shared" si="144"/>
        <v>-1.3408557905984541E-3</v>
      </c>
      <c r="R2282" s="4">
        <f t="shared" si="144"/>
        <v>-5.2942497922309657E-3</v>
      </c>
      <c r="S2282" s="4">
        <f t="shared" si="144"/>
        <v>3.9124424524596309E-3</v>
      </c>
      <c r="T2282" s="4">
        <f t="shared" si="144"/>
        <v>1.1197896973873698E-3</v>
      </c>
      <c r="U2282" s="35"/>
      <c r="V2282" s="35"/>
      <c r="W2282" s="35"/>
      <c r="X2282" s="35"/>
    </row>
    <row r="2283" spans="4:24" x14ac:dyDescent="0.3">
      <c r="D2283" s="23">
        <v>42894</v>
      </c>
      <c r="E2283" s="5">
        <v>216.535202</v>
      </c>
      <c r="F2283" s="28">
        <v>67.734759999999994</v>
      </c>
      <c r="G2283" s="28">
        <v>121.65</v>
      </c>
      <c r="H2283" s="28">
        <v>136.61580000000001</v>
      </c>
      <c r="I2283" s="28">
        <v>111.35</v>
      </c>
      <c r="J2283" s="29"/>
      <c r="K2283" s="29"/>
      <c r="L2283" s="29"/>
      <c r="M2283" s="29"/>
      <c r="N2283" s="29"/>
      <c r="P2283" s="4">
        <f t="shared" si="144"/>
        <v>4.9219814383527562E-4</v>
      </c>
      <c r="Q2283" s="4">
        <f t="shared" si="144"/>
        <v>-7.3185253671476005E-4</v>
      </c>
      <c r="R2283" s="4">
        <f t="shared" si="144"/>
        <v>-6.5547141686450577E-3</v>
      </c>
      <c r="S2283" s="4">
        <f t="shared" si="144"/>
        <v>1.0450810193166008E-3</v>
      </c>
      <c r="T2283" s="4">
        <f t="shared" si="144"/>
        <v>1.7572682827405987E-3</v>
      </c>
      <c r="U2283" s="35"/>
      <c r="V2283" s="35"/>
      <c r="W2283" s="35"/>
      <c r="X2283" s="35"/>
    </row>
    <row r="2284" spans="4:24" x14ac:dyDescent="0.3">
      <c r="D2284" s="23">
        <v>42895</v>
      </c>
      <c r="E2284" s="5">
        <v>216.20657299999999</v>
      </c>
      <c r="F2284" s="28">
        <v>67.676919999999996</v>
      </c>
      <c r="G2284" s="28">
        <v>120.54</v>
      </c>
      <c r="H2284" s="28">
        <v>133.19970000000001</v>
      </c>
      <c r="I2284" s="28">
        <v>111.2612</v>
      </c>
      <c r="J2284" s="29"/>
      <c r="K2284" s="29"/>
      <c r="L2284" s="29"/>
      <c r="M2284" s="29"/>
      <c r="N2284" s="29"/>
      <c r="P2284" s="4">
        <f t="shared" si="144"/>
        <v>-1.5188229200847599E-3</v>
      </c>
      <c r="Q2284" s="4">
        <f t="shared" si="144"/>
        <v>-8.5428381831813293E-4</v>
      </c>
      <c r="R2284" s="4">
        <f t="shared" si="144"/>
        <v>-9.1664211746335274E-3</v>
      </c>
      <c r="S2284" s="4">
        <f t="shared" si="144"/>
        <v>-2.5323100774996572E-2</v>
      </c>
      <c r="T2284" s="4">
        <f t="shared" si="144"/>
        <v>-7.9780356702650738E-4</v>
      </c>
      <c r="U2284" s="35"/>
      <c r="V2284" s="35"/>
      <c r="W2284" s="35"/>
      <c r="X2284" s="35"/>
    </row>
    <row r="2285" spans="4:24" x14ac:dyDescent="0.3">
      <c r="D2285" s="23">
        <v>42898</v>
      </c>
      <c r="E2285" s="5">
        <v>216.16213999999999</v>
      </c>
      <c r="F2285" s="28">
        <v>67.660359999999997</v>
      </c>
      <c r="G2285" s="28">
        <v>120.36</v>
      </c>
      <c r="H2285" s="28">
        <v>132.48599999999999</v>
      </c>
      <c r="I2285" s="28">
        <v>111.24339999999999</v>
      </c>
      <c r="J2285" s="29"/>
      <c r="K2285" s="29"/>
      <c r="L2285" s="29"/>
      <c r="M2285" s="29"/>
      <c r="N2285" s="29"/>
      <c r="P2285" s="4">
        <f t="shared" si="144"/>
        <v>-2.0553291124198971E-4</v>
      </c>
      <c r="Q2285" s="4">
        <f t="shared" si="144"/>
        <v>-2.4472192854246123E-4</v>
      </c>
      <c r="R2285" s="4">
        <f t="shared" si="144"/>
        <v>-1.4943962930536569E-3</v>
      </c>
      <c r="S2285" s="4">
        <f t="shared" si="144"/>
        <v>-5.3725263850328414E-3</v>
      </c>
      <c r="T2285" s="4">
        <f t="shared" si="144"/>
        <v>-1.5999669254459248E-4</v>
      </c>
      <c r="U2285" s="35"/>
      <c r="V2285" s="35"/>
      <c r="W2285" s="35"/>
      <c r="X2285" s="35"/>
    </row>
    <row r="2286" spans="4:24" x14ac:dyDescent="0.3">
      <c r="D2286" s="23">
        <v>42899</v>
      </c>
      <c r="E2286" s="5">
        <v>217.219131</v>
      </c>
      <c r="F2286" s="28">
        <v>67.676919999999996</v>
      </c>
      <c r="G2286" s="28">
        <v>120.48</v>
      </c>
      <c r="H2286" s="28">
        <v>133.56129999999999</v>
      </c>
      <c r="I2286" s="28">
        <v>111.7944</v>
      </c>
      <c r="J2286" s="29"/>
      <c r="K2286" s="29"/>
      <c r="L2286" s="29"/>
      <c r="M2286" s="29"/>
      <c r="N2286" s="29"/>
      <c r="P2286" s="4">
        <f t="shared" si="144"/>
        <v>4.8778900545499108E-3</v>
      </c>
      <c r="Q2286" s="4">
        <f t="shared" si="144"/>
        <v>2.4472192854253165E-4</v>
      </c>
      <c r="R2286" s="4">
        <f t="shared" si="144"/>
        <v>9.9651228973907601E-4</v>
      </c>
      <c r="S2286" s="4">
        <f t="shared" si="144"/>
        <v>8.0835690147461042E-3</v>
      </c>
      <c r="T2286" s="4">
        <f t="shared" si="144"/>
        <v>4.9408765772367101E-3</v>
      </c>
      <c r="U2286" s="35"/>
      <c r="V2286" s="35"/>
      <c r="W2286" s="35"/>
      <c r="X2286" s="35"/>
    </row>
    <row r="2287" spans="4:24" x14ac:dyDescent="0.3">
      <c r="D2287" s="23">
        <v>42900</v>
      </c>
      <c r="E2287" s="5">
        <v>216.94378699999999</v>
      </c>
      <c r="F2287" s="28">
        <v>67.924899999999994</v>
      </c>
      <c r="G2287" s="28">
        <v>119.82</v>
      </c>
      <c r="H2287" s="28">
        <v>132.98089999999999</v>
      </c>
      <c r="I2287" s="28">
        <v>111.6344</v>
      </c>
      <c r="J2287" s="29"/>
      <c r="K2287" s="29"/>
      <c r="L2287" s="29"/>
      <c r="M2287" s="29"/>
      <c r="N2287" s="29"/>
      <c r="P2287" s="4">
        <f t="shared" si="144"/>
        <v>-1.268390392174399E-3</v>
      </c>
      <c r="Q2287" s="4">
        <f t="shared" si="144"/>
        <v>3.6574771111259029E-3</v>
      </c>
      <c r="R2287" s="4">
        <f t="shared" si="144"/>
        <v>-5.4931473958047053E-3</v>
      </c>
      <c r="S2287" s="4">
        <f t="shared" si="144"/>
        <v>-4.3550395947792976E-3</v>
      </c>
      <c r="T2287" s="4">
        <f t="shared" si="144"/>
        <v>-1.4322238435707684E-3</v>
      </c>
      <c r="U2287" s="35"/>
      <c r="V2287" s="35"/>
      <c r="W2287" s="35"/>
      <c r="X2287" s="35"/>
    </row>
    <row r="2288" spans="4:24" x14ac:dyDescent="0.3">
      <c r="D2288" s="23">
        <v>42901</v>
      </c>
      <c r="E2288" s="5">
        <v>216.52629099999999</v>
      </c>
      <c r="F2288" s="28">
        <v>67.850489999999994</v>
      </c>
      <c r="G2288" s="28">
        <v>119.32</v>
      </c>
      <c r="H2288" s="28">
        <v>132.39089999999999</v>
      </c>
      <c r="I2288" s="28">
        <v>111.3856</v>
      </c>
      <c r="J2288" s="29"/>
      <c r="K2288" s="29"/>
      <c r="L2288" s="29"/>
      <c r="M2288" s="29"/>
      <c r="N2288" s="29"/>
      <c r="P2288" s="4">
        <f t="shared" si="144"/>
        <v>-1.9262973399398235E-3</v>
      </c>
      <c r="Q2288" s="4">
        <f t="shared" si="144"/>
        <v>-1.0960750317058304E-3</v>
      </c>
      <c r="R2288" s="4">
        <f t="shared" si="144"/>
        <v>-4.1816570092310474E-3</v>
      </c>
      <c r="S2288" s="4">
        <f t="shared" si="144"/>
        <v>-4.4465988634428332E-3</v>
      </c>
      <c r="T2288" s="4">
        <f t="shared" si="144"/>
        <v>-2.2311909534117372E-3</v>
      </c>
      <c r="U2288" s="35"/>
      <c r="V2288" s="35"/>
      <c r="W2288" s="35"/>
      <c r="X2288" s="35"/>
    </row>
    <row r="2289" spans="4:24" x14ac:dyDescent="0.3">
      <c r="D2289" s="23">
        <v>42902</v>
      </c>
      <c r="E2289" s="5">
        <v>216.57363900000001</v>
      </c>
      <c r="F2289" s="28">
        <v>67.924899999999994</v>
      </c>
      <c r="G2289" s="28">
        <v>119.34</v>
      </c>
      <c r="H2289" s="28">
        <v>131.81649999999999</v>
      </c>
      <c r="I2289" s="28">
        <v>111.3145</v>
      </c>
      <c r="J2289" s="29"/>
      <c r="K2289" s="29"/>
      <c r="L2289" s="29"/>
      <c r="M2289" s="29"/>
      <c r="N2289" s="29"/>
      <c r="P2289" s="4">
        <f t="shared" si="144"/>
        <v>2.1864699995990272E-4</v>
      </c>
      <c r="Q2289" s="4">
        <f t="shared" si="144"/>
        <v>1.0960750317058753E-3</v>
      </c>
      <c r="R2289" s="4">
        <f t="shared" si="144"/>
        <v>1.6760244738808113E-4</v>
      </c>
      <c r="S2289" s="4">
        <f t="shared" si="144"/>
        <v>-4.3481061088235804E-3</v>
      </c>
      <c r="T2289" s="4">
        <f t="shared" si="144"/>
        <v>-6.3852690156606436E-4</v>
      </c>
      <c r="U2289" s="35"/>
      <c r="V2289" s="35"/>
      <c r="W2289" s="35"/>
      <c r="X2289" s="35"/>
    </row>
    <row r="2290" spans="4:24" x14ac:dyDescent="0.3">
      <c r="D2290" s="23">
        <v>42905</v>
      </c>
      <c r="E2290" s="5">
        <v>218.37664799999999</v>
      </c>
      <c r="F2290" s="28">
        <v>67.825680000000006</v>
      </c>
      <c r="G2290" s="28">
        <v>118.43</v>
      </c>
      <c r="H2290" s="28">
        <v>134.0206</v>
      </c>
      <c r="I2290" s="28">
        <v>112.221</v>
      </c>
      <c r="J2290" s="29"/>
      <c r="K2290" s="29"/>
      <c r="L2290" s="29"/>
      <c r="M2290" s="29"/>
      <c r="N2290" s="29"/>
      <c r="P2290" s="4">
        <f t="shared" si="144"/>
        <v>8.2906915178491535E-3</v>
      </c>
      <c r="Q2290" s="4">
        <f t="shared" si="144"/>
        <v>-1.4617988028960429E-3</v>
      </c>
      <c r="R2290" s="4">
        <f t="shared" si="144"/>
        <v>-7.6544933605320782E-3</v>
      </c>
      <c r="S2290" s="4">
        <f t="shared" si="144"/>
        <v>1.6582715564575051E-2</v>
      </c>
      <c r="T2290" s="4">
        <f t="shared" si="144"/>
        <v>8.1106130281747967E-3</v>
      </c>
      <c r="U2290" s="35"/>
      <c r="V2290" s="35"/>
      <c r="W2290" s="35"/>
      <c r="X2290" s="35"/>
    </row>
    <row r="2291" spans="4:24" x14ac:dyDescent="0.3">
      <c r="D2291" s="23">
        <v>42906</v>
      </c>
      <c r="E2291" s="5">
        <v>216.903854</v>
      </c>
      <c r="F2291" s="28">
        <v>67.924899999999994</v>
      </c>
      <c r="G2291" s="28">
        <v>118.18</v>
      </c>
      <c r="H2291" s="28">
        <v>132.971</v>
      </c>
      <c r="I2291" s="28">
        <v>111.4567</v>
      </c>
      <c r="J2291" s="29"/>
      <c r="K2291" s="29"/>
      <c r="L2291" s="29"/>
      <c r="M2291" s="29"/>
      <c r="N2291" s="29"/>
      <c r="P2291" s="4">
        <f t="shared" si="144"/>
        <v>-6.7671288452387009E-3</v>
      </c>
      <c r="Q2291" s="4">
        <f t="shared" si="144"/>
        <v>1.4617988028960975E-3</v>
      </c>
      <c r="R2291" s="4">
        <f t="shared" si="144"/>
        <v>-2.1131828158751469E-3</v>
      </c>
      <c r="S2291" s="4">
        <f t="shared" si="144"/>
        <v>-7.8624601450628454E-3</v>
      </c>
      <c r="T2291" s="4">
        <f t="shared" si="144"/>
        <v>-6.8339666814886645E-3</v>
      </c>
      <c r="U2291" s="35"/>
      <c r="V2291" s="35"/>
      <c r="W2291" s="35"/>
      <c r="X2291" s="35"/>
    </row>
    <row r="2292" spans="4:24" x14ac:dyDescent="0.3">
      <c r="D2292" s="23">
        <v>42907</v>
      </c>
      <c r="E2292" s="5">
        <v>216.85029599999999</v>
      </c>
      <c r="F2292" s="28">
        <v>67.957970000000003</v>
      </c>
      <c r="G2292" s="28">
        <v>118.52</v>
      </c>
      <c r="H2292" s="28">
        <v>134.2878</v>
      </c>
      <c r="I2292" s="28">
        <v>111.3272</v>
      </c>
      <c r="J2292" s="29"/>
      <c r="K2292" s="29"/>
      <c r="L2292" s="29"/>
      <c r="M2292" s="29"/>
      <c r="N2292" s="29"/>
      <c r="P2292" s="4">
        <f t="shared" si="144"/>
        <v>-2.4695095261772007E-4</v>
      </c>
      <c r="Q2292" s="4">
        <f t="shared" si="144"/>
        <v>4.8674274620367028E-4</v>
      </c>
      <c r="R2292" s="4">
        <f t="shared" si="144"/>
        <v>2.8728367878358579E-3</v>
      </c>
      <c r="S2292" s="4">
        <f t="shared" si="144"/>
        <v>9.8541986693308492E-3</v>
      </c>
      <c r="T2292" s="4">
        <f t="shared" si="144"/>
        <v>-1.1625616984482668E-3</v>
      </c>
      <c r="U2292" s="35"/>
      <c r="V2292" s="35"/>
      <c r="W2292" s="35"/>
      <c r="X2292" s="35"/>
    </row>
    <row r="2293" spans="4:24" x14ac:dyDescent="0.3">
      <c r="D2293" s="23">
        <v>42908</v>
      </c>
      <c r="E2293" s="5">
        <v>216.752106</v>
      </c>
      <c r="F2293" s="28">
        <v>67.982789999999994</v>
      </c>
      <c r="G2293" s="28">
        <v>118.92</v>
      </c>
      <c r="H2293" s="28">
        <v>134.24959999999999</v>
      </c>
      <c r="I2293" s="28">
        <v>111.3719</v>
      </c>
      <c r="J2293" s="29"/>
      <c r="K2293" s="29"/>
      <c r="L2293" s="29"/>
      <c r="M2293" s="29"/>
      <c r="N2293" s="29"/>
      <c r="P2293" s="4">
        <f t="shared" ref="P2293:T2308" si="145">LN(E2293/E2292)</f>
        <v>-4.5290340286623386E-4</v>
      </c>
      <c r="Q2293" s="4">
        <f t="shared" si="145"/>
        <v>3.6515906304761828E-4</v>
      </c>
      <c r="R2293" s="4">
        <f t="shared" si="145"/>
        <v>3.3692754245324267E-3</v>
      </c>
      <c r="S2293" s="4">
        <f t="shared" si="145"/>
        <v>-2.8450413430450191E-4</v>
      </c>
      <c r="T2293" s="4">
        <f t="shared" si="145"/>
        <v>4.0143853837108605E-4</v>
      </c>
      <c r="U2293" s="35"/>
      <c r="V2293" s="35"/>
      <c r="W2293" s="35"/>
      <c r="X2293" s="35"/>
    </row>
    <row r="2294" spans="4:24" x14ac:dyDescent="0.3">
      <c r="D2294" s="23">
        <v>42909</v>
      </c>
      <c r="E2294" s="5">
        <v>217.01097100000001</v>
      </c>
      <c r="F2294" s="28">
        <v>67.999290000000002</v>
      </c>
      <c r="G2294" s="28">
        <v>119.43</v>
      </c>
      <c r="H2294" s="28">
        <v>134.76480000000001</v>
      </c>
      <c r="I2294" s="28">
        <v>111.6486</v>
      </c>
      <c r="J2294" s="29"/>
      <c r="K2294" s="29"/>
      <c r="L2294" s="29"/>
      <c r="M2294" s="29"/>
      <c r="N2294" s="29"/>
      <c r="P2294" s="4">
        <f t="shared" si="145"/>
        <v>1.1935779897291523E-3</v>
      </c>
      <c r="Q2294" s="4">
        <f t="shared" si="145"/>
        <v>2.4267903654635485E-4</v>
      </c>
      <c r="R2294" s="4">
        <f t="shared" si="145"/>
        <v>4.2794275504386414E-3</v>
      </c>
      <c r="S2294" s="4">
        <f t="shared" si="145"/>
        <v>3.8302829133138941E-3</v>
      </c>
      <c r="T2294" s="4">
        <f t="shared" si="145"/>
        <v>2.4813875134948142E-3</v>
      </c>
      <c r="U2294" s="35"/>
      <c r="V2294" s="35"/>
      <c r="W2294" s="35"/>
      <c r="X2294" s="35"/>
    </row>
    <row r="2295" spans="4:24" x14ac:dyDescent="0.3">
      <c r="D2295" s="23">
        <v>42912</v>
      </c>
      <c r="E2295" s="5">
        <v>217.15379300000001</v>
      </c>
      <c r="F2295" s="28">
        <v>68.073729999999998</v>
      </c>
      <c r="G2295" s="28">
        <v>118.36</v>
      </c>
      <c r="H2295" s="28">
        <v>134.13509999999999</v>
      </c>
      <c r="I2295" s="28">
        <v>111.729</v>
      </c>
      <c r="J2295" s="29"/>
      <c r="K2295" s="29"/>
      <c r="L2295" s="29"/>
      <c r="M2295" s="29"/>
      <c r="N2295" s="29"/>
      <c r="P2295" s="4">
        <f t="shared" si="145"/>
        <v>6.5791615070696506E-4</v>
      </c>
      <c r="Q2295" s="4">
        <f t="shared" si="145"/>
        <v>1.0941185464389579E-3</v>
      </c>
      <c r="R2295" s="4">
        <f t="shared" si="145"/>
        <v>-8.999598148326661E-3</v>
      </c>
      <c r="S2295" s="4">
        <f t="shared" si="145"/>
        <v>-4.6835357771821276E-3</v>
      </c>
      <c r="T2295" s="4">
        <f t="shared" si="145"/>
        <v>7.1985734891869468E-4</v>
      </c>
      <c r="U2295" s="35"/>
      <c r="V2295" s="35"/>
      <c r="W2295" s="35"/>
      <c r="X2295" s="35"/>
    </row>
    <row r="2296" spans="4:24" x14ac:dyDescent="0.3">
      <c r="D2296" s="23">
        <v>42913</v>
      </c>
      <c r="E2296" s="5">
        <v>215.404358</v>
      </c>
      <c r="F2296" s="28">
        <v>67.842259999999996</v>
      </c>
      <c r="G2296" s="28">
        <v>118.81</v>
      </c>
      <c r="H2296" s="28">
        <v>131.702</v>
      </c>
      <c r="I2296" s="28">
        <v>110.8094</v>
      </c>
      <c r="J2296" s="29"/>
      <c r="K2296" s="29"/>
      <c r="L2296" s="29"/>
      <c r="M2296" s="29"/>
      <c r="N2296" s="29"/>
      <c r="P2296" s="4">
        <f t="shared" si="145"/>
        <v>-8.0888293729624566E-3</v>
      </c>
      <c r="Q2296" s="4">
        <f t="shared" si="145"/>
        <v>-3.4060778835610763E-3</v>
      </c>
      <c r="R2296" s="4">
        <f t="shared" si="145"/>
        <v>3.7947509381871915E-3</v>
      </c>
      <c r="S2296" s="4">
        <f t="shared" si="145"/>
        <v>-1.8305706342056083E-2</v>
      </c>
      <c r="T2296" s="4">
        <f t="shared" si="145"/>
        <v>-8.2646881117075487E-3</v>
      </c>
      <c r="U2296" s="35"/>
      <c r="V2296" s="35"/>
      <c r="W2296" s="35"/>
      <c r="X2296" s="35"/>
    </row>
    <row r="2297" spans="4:24" x14ac:dyDescent="0.3">
      <c r="D2297" s="23">
        <v>42914</v>
      </c>
      <c r="E2297" s="5">
        <v>217.332336</v>
      </c>
      <c r="F2297" s="28">
        <v>67.842259999999996</v>
      </c>
      <c r="G2297" s="28">
        <v>118.9</v>
      </c>
      <c r="H2297" s="28">
        <v>133.60079999999999</v>
      </c>
      <c r="I2297" s="28">
        <v>111.854</v>
      </c>
      <c r="J2297" s="29"/>
      <c r="K2297" s="29"/>
      <c r="L2297" s="29"/>
      <c r="M2297" s="29"/>
      <c r="N2297" s="29"/>
      <c r="P2297" s="4">
        <f t="shared" si="145"/>
        <v>8.9106876470606382E-3</v>
      </c>
      <c r="Q2297" s="4">
        <f t="shared" si="145"/>
        <v>0</v>
      </c>
      <c r="R2297" s="4">
        <f t="shared" si="145"/>
        <v>7.5722522654024006E-4</v>
      </c>
      <c r="S2297" s="4">
        <f t="shared" si="145"/>
        <v>1.4314454445787116E-2</v>
      </c>
      <c r="T2297" s="4">
        <f t="shared" si="145"/>
        <v>9.382841218371336E-3</v>
      </c>
      <c r="U2297" s="35"/>
      <c r="V2297" s="35"/>
      <c r="W2297" s="35"/>
      <c r="X2297" s="35"/>
    </row>
    <row r="2298" spans="4:24" x14ac:dyDescent="0.3">
      <c r="D2298" s="23">
        <v>42915</v>
      </c>
      <c r="E2298" s="5">
        <v>215.422211</v>
      </c>
      <c r="F2298" s="28">
        <v>67.701660000000004</v>
      </c>
      <c r="G2298" s="28">
        <v>118.32</v>
      </c>
      <c r="H2298" s="28">
        <v>131.28219999999999</v>
      </c>
      <c r="I2298" s="28">
        <v>110.9611</v>
      </c>
      <c r="J2298" s="29"/>
      <c r="K2298" s="29"/>
      <c r="L2298" s="29"/>
      <c r="M2298" s="29"/>
      <c r="N2298" s="29"/>
      <c r="P2298" s="4">
        <f t="shared" si="145"/>
        <v>-8.8278097500373749E-3</v>
      </c>
      <c r="Q2298" s="4">
        <f t="shared" si="145"/>
        <v>-2.0746050494682691E-3</v>
      </c>
      <c r="R2298" s="4">
        <f t="shared" si="145"/>
        <v>-4.8899852941919038E-3</v>
      </c>
      <c r="S2298" s="4">
        <f t="shared" si="145"/>
        <v>-1.7507044392803931E-2</v>
      </c>
      <c r="T2298" s="4">
        <f t="shared" si="145"/>
        <v>-8.0147600384062549E-3</v>
      </c>
      <c r="U2298" s="35"/>
      <c r="V2298" s="35"/>
      <c r="W2298" s="35"/>
      <c r="X2298" s="35"/>
    </row>
    <row r="2299" spans="4:24" x14ac:dyDescent="0.3">
      <c r="D2299" s="23">
        <v>42916</v>
      </c>
      <c r="E2299" s="5">
        <v>215.823868</v>
      </c>
      <c r="F2299" s="28">
        <v>67.652079999999998</v>
      </c>
      <c r="G2299" s="28">
        <v>118.02</v>
      </c>
      <c r="H2299" s="28">
        <v>131.32990000000001</v>
      </c>
      <c r="I2299" s="28">
        <v>111.1129</v>
      </c>
      <c r="J2299" s="29"/>
      <c r="K2299" s="29"/>
      <c r="L2299" s="29"/>
      <c r="M2299" s="29"/>
      <c r="N2299" s="29"/>
      <c r="P2299" s="4">
        <f t="shared" si="145"/>
        <v>1.8627745767560212E-3</v>
      </c>
      <c r="Q2299" s="4">
        <f t="shared" si="145"/>
        <v>-7.3259892511983306E-4</v>
      </c>
      <c r="R2299" s="4">
        <f t="shared" si="145"/>
        <v>-2.5387167735216316E-3</v>
      </c>
      <c r="S2299" s="4">
        <f t="shared" si="145"/>
        <v>3.6327344036770145E-4</v>
      </c>
      <c r="T2299" s="4">
        <f t="shared" si="145"/>
        <v>1.367112076540188E-3</v>
      </c>
      <c r="U2299" s="35"/>
      <c r="V2299" s="35"/>
      <c r="W2299" s="35"/>
      <c r="X2299" s="35"/>
    </row>
    <row r="2300" spans="4:24" x14ac:dyDescent="0.3">
      <c r="D2300" s="23">
        <v>42919</v>
      </c>
      <c r="E2300" s="5">
        <v>216.18983499999999</v>
      </c>
      <c r="F2300" s="28">
        <v>67.659559999999999</v>
      </c>
      <c r="G2300" s="28">
        <v>116.09</v>
      </c>
      <c r="H2300" s="28">
        <v>129.94640000000001</v>
      </c>
      <c r="I2300" s="28">
        <v>111.38079999999999</v>
      </c>
      <c r="J2300" s="29"/>
      <c r="K2300" s="29"/>
      <c r="L2300" s="29"/>
      <c r="M2300" s="29"/>
      <c r="N2300" s="29"/>
      <c r="P2300" s="4">
        <f t="shared" si="145"/>
        <v>1.6942383308643772E-3</v>
      </c>
      <c r="Q2300" s="4">
        <f t="shared" si="145"/>
        <v>1.1055959424654718E-4</v>
      </c>
      <c r="R2300" s="4">
        <f t="shared" si="145"/>
        <v>-1.648834927907826E-2</v>
      </c>
      <c r="S2300" s="4">
        <f t="shared" si="145"/>
        <v>-1.0590420415045817E-2</v>
      </c>
      <c r="T2300" s="4">
        <f t="shared" si="145"/>
        <v>2.4081592374779531E-3</v>
      </c>
      <c r="U2300" s="35"/>
      <c r="V2300" s="35"/>
      <c r="W2300" s="35"/>
      <c r="X2300" s="35"/>
    </row>
    <row r="2301" spans="4:24" x14ac:dyDescent="0.3">
      <c r="D2301" s="23">
        <v>42921</v>
      </c>
      <c r="E2301" s="5">
        <v>216.68966699999999</v>
      </c>
      <c r="F2301" s="28">
        <v>67.701040000000006</v>
      </c>
      <c r="G2301" s="28">
        <v>116.52</v>
      </c>
      <c r="H2301" s="28">
        <v>131.22489999999999</v>
      </c>
      <c r="I2301" s="28">
        <v>111.50579999999999</v>
      </c>
      <c r="J2301" s="29"/>
      <c r="K2301" s="29"/>
      <c r="L2301" s="29"/>
      <c r="M2301" s="29"/>
      <c r="N2301" s="29"/>
      <c r="P2301" s="4">
        <f t="shared" si="145"/>
        <v>2.3093365235625899E-3</v>
      </c>
      <c r="Q2301" s="4">
        <f t="shared" si="145"/>
        <v>6.12881463268015E-4</v>
      </c>
      <c r="R2301" s="4">
        <f t="shared" si="145"/>
        <v>3.6971797412894193E-3</v>
      </c>
      <c r="S2301" s="4">
        <f t="shared" si="145"/>
        <v>9.7905873470714808E-3</v>
      </c>
      <c r="T2301" s="4">
        <f t="shared" si="145"/>
        <v>1.1216467307152381E-3</v>
      </c>
      <c r="U2301" s="35"/>
      <c r="V2301" s="35"/>
      <c r="W2301" s="35"/>
      <c r="X2301" s="35"/>
    </row>
    <row r="2302" spans="4:24" x14ac:dyDescent="0.3">
      <c r="D2302" s="23">
        <v>42922</v>
      </c>
      <c r="E2302" s="5">
        <v>214.708145</v>
      </c>
      <c r="F2302" s="28">
        <v>67.543350000000004</v>
      </c>
      <c r="G2302" s="28">
        <v>116.47</v>
      </c>
      <c r="H2302" s="28">
        <v>130.04169999999999</v>
      </c>
      <c r="I2302" s="28">
        <v>110.4076</v>
      </c>
      <c r="J2302" s="29"/>
      <c r="K2302" s="29"/>
      <c r="L2302" s="29"/>
      <c r="M2302" s="29"/>
      <c r="N2302" s="29"/>
      <c r="P2302" s="4">
        <f t="shared" si="145"/>
        <v>-9.1865831511469074E-3</v>
      </c>
      <c r="Q2302" s="4">
        <f t="shared" si="145"/>
        <v>-2.3319277266637666E-3</v>
      </c>
      <c r="R2302" s="4">
        <f t="shared" si="145"/>
        <v>-4.2920297667333661E-4</v>
      </c>
      <c r="S2302" s="4">
        <f t="shared" si="145"/>
        <v>-9.0574768372578933E-3</v>
      </c>
      <c r="T2302" s="4">
        <f t="shared" si="145"/>
        <v>-9.8976354312060345E-3</v>
      </c>
      <c r="U2302" s="35"/>
      <c r="V2302" s="35"/>
      <c r="W2302" s="35"/>
      <c r="X2302" s="35"/>
    </row>
    <row r="2303" spans="4:24" x14ac:dyDescent="0.3">
      <c r="D2303" s="23">
        <v>42923</v>
      </c>
      <c r="E2303" s="5">
        <v>216.10058599999999</v>
      </c>
      <c r="F2303" s="28">
        <v>67.526719999999997</v>
      </c>
      <c r="G2303" s="28">
        <v>115.28</v>
      </c>
      <c r="H2303" s="28">
        <v>131.4444</v>
      </c>
      <c r="I2303" s="28">
        <v>111.1754</v>
      </c>
      <c r="J2303" s="29"/>
      <c r="K2303" s="29"/>
      <c r="L2303" s="29"/>
      <c r="M2303" s="29"/>
      <c r="N2303" s="29"/>
      <c r="P2303" s="4">
        <f t="shared" si="145"/>
        <v>6.4643343957490771E-3</v>
      </c>
      <c r="Q2303" s="4">
        <f t="shared" si="145"/>
        <v>-2.4624256260532076E-4</v>
      </c>
      <c r="R2303" s="4">
        <f t="shared" si="145"/>
        <v>-1.0269777423293781E-2</v>
      </c>
      <c r="S2303" s="4">
        <f t="shared" si="145"/>
        <v>1.072878026779423E-2</v>
      </c>
      <c r="T2303" s="4">
        <f t="shared" si="145"/>
        <v>6.9301622681758974E-3</v>
      </c>
      <c r="U2303" s="35"/>
      <c r="V2303" s="35"/>
      <c r="W2303" s="35"/>
      <c r="X2303" s="35"/>
    </row>
    <row r="2304" spans="4:24" x14ac:dyDescent="0.3">
      <c r="D2304" s="23">
        <v>42926</v>
      </c>
      <c r="E2304" s="5">
        <v>216.332626</v>
      </c>
      <c r="F2304" s="28">
        <v>67.559920000000005</v>
      </c>
      <c r="G2304" s="28">
        <v>115.47</v>
      </c>
      <c r="H2304" s="28">
        <v>132.3031</v>
      </c>
      <c r="I2304" s="28">
        <v>111.25579999999999</v>
      </c>
      <c r="J2304" s="29"/>
      <c r="K2304" s="29"/>
      <c r="L2304" s="29"/>
      <c r="M2304" s="29"/>
      <c r="N2304" s="29"/>
      <c r="P2304" s="4">
        <f t="shared" si="145"/>
        <v>1.0731831683199412E-3</v>
      </c>
      <c r="Q2304" s="4">
        <f t="shared" si="145"/>
        <v>4.9153640461354622E-4</v>
      </c>
      <c r="R2304" s="4">
        <f t="shared" si="145"/>
        <v>1.6468042724977377E-3</v>
      </c>
      <c r="S2304" s="4">
        <f t="shared" si="145"/>
        <v>6.5115539225593568E-3</v>
      </c>
      <c r="T2304" s="4">
        <f t="shared" si="145"/>
        <v>7.2292019735987936E-4</v>
      </c>
      <c r="U2304" s="35"/>
      <c r="V2304" s="35"/>
      <c r="W2304" s="35"/>
      <c r="X2304" s="35"/>
    </row>
    <row r="2305" spans="4:24" x14ac:dyDescent="0.3">
      <c r="D2305" s="23">
        <v>42927</v>
      </c>
      <c r="E2305" s="5">
        <v>216.171997</v>
      </c>
      <c r="F2305" s="28">
        <v>67.626369999999994</v>
      </c>
      <c r="G2305" s="28">
        <v>115.62</v>
      </c>
      <c r="H2305" s="28">
        <v>132.67519999999999</v>
      </c>
      <c r="I2305" s="28">
        <v>111.229</v>
      </c>
      <c r="J2305" s="29"/>
      <c r="K2305" s="29"/>
      <c r="L2305" s="29"/>
      <c r="M2305" s="29"/>
      <c r="N2305" s="29"/>
      <c r="P2305" s="4">
        <f t="shared" si="145"/>
        <v>-7.427851580921155E-4</v>
      </c>
      <c r="Q2305" s="4">
        <f t="shared" si="145"/>
        <v>9.8308793520059329E-4</v>
      </c>
      <c r="R2305" s="4">
        <f t="shared" si="145"/>
        <v>1.2981956905655997E-3</v>
      </c>
      <c r="S2305" s="4">
        <f t="shared" si="145"/>
        <v>2.8085337145675889E-3</v>
      </c>
      <c r="T2305" s="4">
        <f t="shared" si="145"/>
        <v>-2.4091533560595123E-4</v>
      </c>
      <c r="U2305" s="35"/>
      <c r="V2305" s="35"/>
      <c r="W2305" s="35"/>
      <c r="X2305" s="35"/>
    </row>
    <row r="2306" spans="4:24" x14ac:dyDescent="0.3">
      <c r="D2306" s="23">
        <v>42928</v>
      </c>
      <c r="E2306" s="5">
        <v>217.79646299999999</v>
      </c>
      <c r="F2306" s="28">
        <v>67.784109999999998</v>
      </c>
      <c r="G2306" s="28">
        <v>116.03</v>
      </c>
      <c r="H2306" s="28">
        <v>134.24959999999999</v>
      </c>
      <c r="I2306" s="28">
        <v>112.0236</v>
      </c>
      <c r="J2306" s="29"/>
      <c r="K2306" s="29"/>
      <c r="L2306" s="29"/>
      <c r="M2306" s="29"/>
      <c r="N2306" s="29"/>
      <c r="P2306" s="4">
        <f t="shared" si="145"/>
        <v>7.4865974706394217E-3</v>
      </c>
      <c r="Q2306" s="4">
        <f t="shared" si="145"/>
        <v>2.3298059552112273E-3</v>
      </c>
      <c r="R2306" s="4">
        <f t="shared" si="145"/>
        <v>3.5398267051239868E-3</v>
      </c>
      <c r="S2306" s="4">
        <f t="shared" si="145"/>
        <v>1.1796717712884357E-2</v>
      </c>
      <c r="T2306" s="4">
        <f t="shared" si="145"/>
        <v>7.1184242004406657E-3</v>
      </c>
      <c r="U2306" s="35"/>
      <c r="V2306" s="35"/>
      <c r="W2306" s="35"/>
      <c r="X2306" s="35"/>
    </row>
    <row r="2307" spans="4:24" x14ac:dyDescent="0.3">
      <c r="D2307" s="23">
        <v>42929</v>
      </c>
      <c r="E2307" s="5">
        <v>218.16239899999999</v>
      </c>
      <c r="F2307" s="28">
        <v>67.759190000000004</v>
      </c>
      <c r="G2307" s="28">
        <v>115.82</v>
      </c>
      <c r="H2307" s="28">
        <v>134.5454</v>
      </c>
      <c r="I2307" s="28">
        <v>112.2022</v>
      </c>
      <c r="J2307" s="29"/>
      <c r="K2307" s="29"/>
      <c r="L2307" s="29"/>
      <c r="M2307" s="29"/>
      <c r="N2307" s="29"/>
      <c r="P2307" s="4">
        <f t="shared" si="145"/>
        <v>1.6787642956165212E-3</v>
      </c>
      <c r="Q2307" s="4">
        <f t="shared" si="145"/>
        <v>-3.6770537947324701E-4</v>
      </c>
      <c r="R2307" s="4">
        <f t="shared" si="145"/>
        <v>-1.8115165618103515E-3</v>
      </c>
      <c r="S2307" s="4">
        <f t="shared" si="145"/>
        <v>2.2009346855961453E-3</v>
      </c>
      <c r="T2307" s="4">
        <f t="shared" si="145"/>
        <v>1.5930373558302158E-3</v>
      </c>
      <c r="U2307" s="35"/>
      <c r="V2307" s="35"/>
      <c r="W2307" s="35"/>
      <c r="X2307" s="35"/>
    </row>
    <row r="2308" spans="4:24" x14ac:dyDescent="0.3">
      <c r="D2308" s="23">
        <v>42930</v>
      </c>
      <c r="E2308" s="5">
        <v>219.179901</v>
      </c>
      <c r="F2308" s="28">
        <v>67.784109999999998</v>
      </c>
      <c r="G2308" s="28">
        <v>116.77</v>
      </c>
      <c r="H2308" s="28">
        <v>135.6045</v>
      </c>
      <c r="I2308" s="28">
        <v>112.7022</v>
      </c>
      <c r="J2308" s="29"/>
      <c r="K2308" s="29"/>
      <c r="L2308" s="29"/>
      <c r="M2308" s="29"/>
      <c r="N2308" s="29"/>
      <c r="P2308" s="4">
        <f t="shared" si="145"/>
        <v>4.6531233584062876E-3</v>
      </c>
      <c r="Q2308" s="4">
        <f t="shared" si="145"/>
        <v>3.677053794732502E-4</v>
      </c>
      <c r="R2308" s="4">
        <f t="shared" si="145"/>
        <v>8.1689262899798942E-3</v>
      </c>
      <c r="S2308" s="4">
        <f t="shared" si="145"/>
        <v>7.8408722420627297E-3</v>
      </c>
      <c r="T2308" s="4">
        <f t="shared" si="145"/>
        <v>4.4463409675183259E-3</v>
      </c>
      <c r="U2308" s="35"/>
      <c r="V2308" s="35"/>
      <c r="W2308" s="35"/>
      <c r="X2308" s="35"/>
    </row>
    <row r="2309" spans="4:24" x14ac:dyDescent="0.3">
      <c r="D2309" s="23">
        <v>42933</v>
      </c>
      <c r="E2309" s="5">
        <v>219.15316799999999</v>
      </c>
      <c r="F2309" s="28">
        <v>67.875370000000004</v>
      </c>
      <c r="G2309" s="28">
        <v>117.29</v>
      </c>
      <c r="H2309" s="28">
        <v>135.6713</v>
      </c>
      <c r="I2309" s="28">
        <v>112.7022</v>
      </c>
      <c r="J2309" s="29"/>
      <c r="K2309" s="29"/>
      <c r="L2309" s="29"/>
      <c r="M2309" s="29"/>
      <c r="N2309" s="29"/>
      <c r="P2309" s="4">
        <f t="shared" ref="P2309:T2324" si="146">LN(E2309/E2308)</f>
        <v>-1.21975739106938E-4</v>
      </c>
      <c r="Q2309" s="4">
        <f t="shared" si="146"/>
        <v>1.3454277396079859E-3</v>
      </c>
      <c r="R2309" s="4">
        <f t="shared" si="146"/>
        <v>4.4433124457903305E-3</v>
      </c>
      <c r="S2309" s="4">
        <f t="shared" si="146"/>
        <v>4.9248772909461064E-4</v>
      </c>
      <c r="T2309" s="4">
        <f t="shared" si="146"/>
        <v>0</v>
      </c>
      <c r="U2309" s="35"/>
      <c r="V2309" s="35"/>
      <c r="W2309" s="35"/>
      <c r="X2309" s="35"/>
    </row>
    <row r="2310" spans="4:24" x14ac:dyDescent="0.3">
      <c r="D2310" s="23">
        <v>42934</v>
      </c>
      <c r="E2310" s="5">
        <v>219.26918000000001</v>
      </c>
      <c r="F2310" s="28">
        <v>68.033140000000003</v>
      </c>
      <c r="G2310" s="28">
        <v>118.11</v>
      </c>
      <c r="H2310" s="28">
        <v>136.57769999999999</v>
      </c>
      <c r="I2310" s="28">
        <v>112.7736</v>
      </c>
      <c r="J2310" s="29"/>
      <c r="K2310" s="29"/>
      <c r="L2310" s="29"/>
      <c r="M2310" s="29"/>
      <c r="N2310" s="29"/>
      <c r="P2310" s="4">
        <f t="shared" si="146"/>
        <v>5.2922485925713562E-4</v>
      </c>
      <c r="Q2310" s="4">
        <f t="shared" si="146"/>
        <v>2.3217099631134344E-3</v>
      </c>
      <c r="R2310" s="4">
        <f t="shared" si="146"/>
        <v>6.9668930903421626E-3</v>
      </c>
      <c r="S2310" s="4">
        <f t="shared" si="146"/>
        <v>6.6586349184060041E-3</v>
      </c>
      <c r="T2310" s="4">
        <f t="shared" si="146"/>
        <v>6.3332741151429707E-4</v>
      </c>
      <c r="U2310" s="35"/>
      <c r="V2310" s="35"/>
      <c r="W2310" s="35"/>
      <c r="X2310" s="35"/>
    </row>
    <row r="2311" spans="4:24" x14ac:dyDescent="0.3">
      <c r="D2311" s="23">
        <v>42935</v>
      </c>
      <c r="E2311" s="5">
        <v>220.45631399999999</v>
      </c>
      <c r="F2311" s="28">
        <v>68.041449999999998</v>
      </c>
      <c r="G2311" s="28">
        <v>118.08</v>
      </c>
      <c r="H2311" s="28">
        <v>137.3792</v>
      </c>
      <c r="I2311" s="28">
        <v>113.4254</v>
      </c>
      <c r="J2311" s="29"/>
      <c r="K2311" s="29"/>
      <c r="L2311" s="29"/>
      <c r="M2311" s="29"/>
      <c r="N2311" s="29"/>
      <c r="P2311" s="4">
        <f t="shared" si="146"/>
        <v>5.3994453373296279E-3</v>
      </c>
      <c r="Q2311" s="4">
        <f t="shared" si="146"/>
        <v>1.2213889470952534E-4</v>
      </c>
      <c r="R2311" s="4">
        <f t="shared" si="146"/>
        <v>-2.5403277159352275E-4</v>
      </c>
      <c r="S2311" s="4">
        <f t="shared" si="146"/>
        <v>5.851302060974786E-3</v>
      </c>
      <c r="T2311" s="4">
        <f t="shared" si="146"/>
        <v>5.7630829846751046E-3</v>
      </c>
      <c r="U2311" s="35"/>
      <c r="V2311" s="35"/>
      <c r="W2311" s="35"/>
      <c r="X2311" s="35"/>
    </row>
    <row r="2312" spans="4:24" x14ac:dyDescent="0.3">
      <c r="D2312" s="23">
        <v>42936</v>
      </c>
      <c r="E2312" s="5">
        <v>220.55448899999999</v>
      </c>
      <c r="F2312" s="28">
        <v>68.08296</v>
      </c>
      <c r="G2312" s="28">
        <v>118.24</v>
      </c>
      <c r="H2312" s="28">
        <v>137.56049999999999</v>
      </c>
      <c r="I2312" s="28">
        <v>113.49679999999999</v>
      </c>
      <c r="J2312" s="29"/>
      <c r="K2312" s="29"/>
      <c r="L2312" s="29"/>
      <c r="M2312" s="29"/>
      <c r="N2312" s="29"/>
      <c r="P2312" s="4">
        <f t="shared" si="146"/>
        <v>4.4522719604094544E-4</v>
      </c>
      <c r="Q2312" s="4">
        <f t="shared" si="146"/>
        <v>6.0988328671779933E-4</v>
      </c>
      <c r="R2312" s="4">
        <f t="shared" si="146"/>
        <v>1.3540963477292301E-3</v>
      </c>
      <c r="S2312" s="4">
        <f t="shared" si="146"/>
        <v>1.3188348301703726E-3</v>
      </c>
      <c r="T2312" s="4">
        <f t="shared" si="146"/>
        <v>6.2929058819495608E-4</v>
      </c>
      <c r="U2312" s="35"/>
      <c r="V2312" s="35"/>
      <c r="W2312" s="35"/>
      <c r="X2312" s="35"/>
    </row>
    <row r="2313" spans="4:24" x14ac:dyDescent="0.3">
      <c r="D2313" s="23">
        <v>42937</v>
      </c>
      <c r="E2313" s="5">
        <v>220.358124</v>
      </c>
      <c r="F2313" s="28">
        <v>68.157660000000007</v>
      </c>
      <c r="G2313" s="28">
        <v>119.26</v>
      </c>
      <c r="H2313" s="28">
        <v>137.5033</v>
      </c>
      <c r="I2313" s="28">
        <v>113.345</v>
      </c>
      <c r="J2313" s="29"/>
      <c r="K2313" s="29"/>
      <c r="L2313" s="29"/>
      <c r="M2313" s="29"/>
      <c r="N2313" s="29"/>
      <c r="P2313" s="4">
        <f t="shared" si="146"/>
        <v>-8.9072077864430182E-4</v>
      </c>
      <c r="Q2313" s="4">
        <f t="shared" si="146"/>
        <v>1.0965893649869641E-3</v>
      </c>
      <c r="R2313" s="4">
        <f t="shared" si="146"/>
        <v>8.589526495068384E-3</v>
      </c>
      <c r="S2313" s="4">
        <f t="shared" si="146"/>
        <v>-4.1590351638059938E-4</v>
      </c>
      <c r="T2313" s="4">
        <f t="shared" si="146"/>
        <v>-1.3383778709159947E-3</v>
      </c>
      <c r="U2313" s="35"/>
      <c r="V2313" s="35"/>
      <c r="W2313" s="35"/>
      <c r="X2313" s="35"/>
    </row>
    <row r="2314" spans="4:24" x14ac:dyDescent="0.3">
      <c r="D2314" s="23">
        <v>42940</v>
      </c>
      <c r="E2314" s="5">
        <v>220.30458100000001</v>
      </c>
      <c r="F2314" s="28">
        <v>68.124470000000002</v>
      </c>
      <c r="G2314" s="28">
        <v>119.31</v>
      </c>
      <c r="H2314" s="28">
        <v>138.13300000000001</v>
      </c>
      <c r="I2314" s="28">
        <v>113.3539</v>
      </c>
      <c r="J2314" s="29"/>
      <c r="K2314" s="29"/>
      <c r="L2314" s="29"/>
      <c r="M2314" s="29"/>
      <c r="N2314" s="29"/>
      <c r="P2314" s="4">
        <f t="shared" si="146"/>
        <v>-2.4301126306333379E-4</v>
      </c>
      <c r="Q2314" s="4">
        <f t="shared" si="146"/>
        <v>-4.8707780919157571E-4</v>
      </c>
      <c r="R2314" s="4">
        <f t="shared" si="146"/>
        <v>4.1916419274917228E-4</v>
      </c>
      <c r="S2314" s="4">
        <f t="shared" si="146"/>
        <v>4.5690723282083333E-3</v>
      </c>
      <c r="T2314" s="4">
        <f t="shared" si="146"/>
        <v>7.8518246048525192E-5</v>
      </c>
      <c r="U2314" s="35"/>
      <c r="V2314" s="35"/>
      <c r="W2314" s="35"/>
      <c r="X2314" s="35"/>
    </row>
    <row r="2315" spans="4:24" x14ac:dyDescent="0.3">
      <c r="D2315" s="23">
        <v>42941</v>
      </c>
      <c r="E2315" s="5">
        <v>220.84011799999999</v>
      </c>
      <c r="F2315" s="28">
        <v>67.867130000000003</v>
      </c>
      <c r="G2315" s="28">
        <v>118.92</v>
      </c>
      <c r="H2315" s="28">
        <v>137.78</v>
      </c>
      <c r="I2315" s="28">
        <v>113.7289</v>
      </c>
      <c r="J2315" s="29"/>
      <c r="K2315" s="29"/>
      <c r="L2315" s="29"/>
      <c r="M2315" s="29"/>
      <c r="N2315" s="29"/>
      <c r="P2315" s="4">
        <f t="shared" si="146"/>
        <v>2.4279437757837672E-3</v>
      </c>
      <c r="Q2315" s="4">
        <f t="shared" si="146"/>
        <v>-3.7846500396937627E-3</v>
      </c>
      <c r="R2315" s="4">
        <f t="shared" si="146"/>
        <v>-3.2741497578120627E-3</v>
      </c>
      <c r="S2315" s="4">
        <f t="shared" si="146"/>
        <v>-2.5587789817892023E-3</v>
      </c>
      <c r="T2315" s="4">
        <f t="shared" si="146"/>
        <v>3.3027630527944804E-3</v>
      </c>
      <c r="U2315" s="35"/>
      <c r="V2315" s="35"/>
      <c r="W2315" s="35"/>
      <c r="X2315" s="35"/>
    </row>
    <row r="2316" spans="4:24" x14ac:dyDescent="0.3">
      <c r="D2316" s="23">
        <v>42942</v>
      </c>
      <c r="E2316" s="5">
        <v>220.84903</v>
      </c>
      <c r="F2316" s="28">
        <v>68.033140000000003</v>
      </c>
      <c r="G2316" s="28">
        <v>119.88</v>
      </c>
      <c r="H2316" s="28">
        <v>138.22839999999999</v>
      </c>
      <c r="I2316" s="28">
        <v>113.6486</v>
      </c>
      <c r="J2316" s="29"/>
      <c r="K2316" s="29"/>
      <c r="L2316" s="29"/>
      <c r="M2316" s="29"/>
      <c r="N2316" s="29"/>
      <c r="P2316" s="4">
        <f t="shared" si="146"/>
        <v>4.0354172347599158E-5</v>
      </c>
      <c r="Q2316" s="4">
        <f t="shared" si="146"/>
        <v>2.4431163024709675E-3</v>
      </c>
      <c r="R2316" s="4">
        <f t="shared" si="146"/>
        <v>8.0402443185655439E-3</v>
      </c>
      <c r="S2316" s="4">
        <f t="shared" si="146"/>
        <v>3.2491793328466869E-3</v>
      </c>
      <c r="T2316" s="4">
        <f t="shared" si="146"/>
        <v>-7.0631441843041064E-4</v>
      </c>
      <c r="U2316" s="35"/>
      <c r="V2316" s="35"/>
      <c r="W2316" s="35"/>
      <c r="X2316" s="35"/>
    </row>
    <row r="2317" spans="4:24" x14ac:dyDescent="0.3">
      <c r="D2317" s="23">
        <v>42943</v>
      </c>
      <c r="E2317" s="5">
        <v>220.64372299999999</v>
      </c>
      <c r="F2317" s="28">
        <v>67.950100000000006</v>
      </c>
      <c r="G2317" s="28">
        <v>119.79</v>
      </c>
      <c r="H2317" s="28">
        <v>137.36009999999999</v>
      </c>
      <c r="I2317" s="28">
        <v>113.4521</v>
      </c>
      <c r="J2317" s="29"/>
      <c r="K2317" s="29"/>
      <c r="L2317" s="29"/>
      <c r="M2317" s="29"/>
      <c r="N2317" s="29"/>
      <c r="P2317" s="4">
        <f t="shared" si="146"/>
        <v>-9.30058368588249E-4</v>
      </c>
      <c r="Q2317" s="4">
        <f t="shared" si="146"/>
        <v>-1.2213271329928842E-3</v>
      </c>
      <c r="R2317" s="4">
        <f t="shared" si="146"/>
        <v>-7.5103270522276907E-4</v>
      </c>
      <c r="S2317" s="4">
        <f t="shared" si="146"/>
        <v>-6.3014448949635753E-3</v>
      </c>
      <c r="T2317" s="4">
        <f t="shared" si="146"/>
        <v>-1.7305102893795284E-3</v>
      </c>
      <c r="U2317" s="35"/>
      <c r="V2317" s="35"/>
      <c r="W2317" s="35"/>
      <c r="X2317" s="35"/>
    </row>
    <row r="2318" spans="4:24" x14ac:dyDescent="0.3">
      <c r="D2318" s="23">
        <v>42944</v>
      </c>
      <c r="E2318" s="5">
        <v>220.38494900000001</v>
      </c>
      <c r="F2318" s="28">
        <v>68.074619999999996</v>
      </c>
      <c r="G2318" s="28">
        <v>120.69</v>
      </c>
      <c r="H2318" s="28">
        <v>137.2457</v>
      </c>
      <c r="I2318" s="28">
        <v>113.2646</v>
      </c>
      <c r="J2318" s="29"/>
      <c r="K2318" s="29"/>
      <c r="L2318" s="29"/>
      <c r="M2318" s="29"/>
      <c r="N2318" s="29"/>
      <c r="P2318" s="4">
        <f t="shared" si="146"/>
        <v>-1.1735020697094696E-3</v>
      </c>
      <c r="Q2318" s="4">
        <f t="shared" si="146"/>
        <v>1.8308441992378897E-3</v>
      </c>
      <c r="R2318" s="4">
        <f t="shared" si="146"/>
        <v>7.4850648865669271E-3</v>
      </c>
      <c r="S2318" s="4">
        <f t="shared" si="146"/>
        <v>-8.3319439442399389E-4</v>
      </c>
      <c r="T2318" s="4">
        <f t="shared" si="146"/>
        <v>-1.6540470353352509E-3</v>
      </c>
      <c r="U2318" s="35"/>
      <c r="V2318" s="35"/>
      <c r="W2318" s="35"/>
      <c r="X2318" s="35"/>
    </row>
    <row r="2319" spans="4:24" x14ac:dyDescent="0.3">
      <c r="D2319" s="23">
        <v>42947</v>
      </c>
      <c r="E2319" s="5">
        <v>220.25993299999999</v>
      </c>
      <c r="F2319" s="28">
        <v>68.066320000000005</v>
      </c>
      <c r="G2319" s="28">
        <v>120.75</v>
      </c>
      <c r="H2319" s="28">
        <v>136.6636</v>
      </c>
      <c r="I2319" s="28">
        <v>113.2021</v>
      </c>
      <c r="J2319" s="29"/>
      <c r="K2319" s="29"/>
      <c r="L2319" s="29"/>
      <c r="M2319" s="29"/>
      <c r="N2319" s="29"/>
      <c r="P2319" s="4">
        <f t="shared" si="146"/>
        <v>-5.6742292245335019E-4</v>
      </c>
      <c r="Q2319" s="4">
        <f t="shared" si="146"/>
        <v>-1.2193246220096107E-4</v>
      </c>
      <c r="R2319" s="4">
        <f t="shared" si="146"/>
        <v>4.9701790287551273E-4</v>
      </c>
      <c r="S2319" s="4">
        <f t="shared" si="146"/>
        <v>-4.2503184544140536E-3</v>
      </c>
      <c r="T2319" s="4">
        <f t="shared" si="146"/>
        <v>-5.5195754242680513E-4</v>
      </c>
      <c r="U2319" s="35"/>
      <c r="V2319" s="35"/>
      <c r="W2319" s="35"/>
      <c r="X2319" s="35"/>
    </row>
    <row r="2320" spans="4:24" x14ac:dyDescent="0.3">
      <c r="D2320" s="23">
        <v>42948</v>
      </c>
      <c r="E2320" s="5">
        <v>220.75083900000001</v>
      </c>
      <c r="F2320" s="28">
        <v>68.343119999999999</v>
      </c>
      <c r="G2320" s="28">
        <v>120.65</v>
      </c>
      <c r="H2320" s="28">
        <v>136.9785</v>
      </c>
      <c r="I2320" s="28">
        <v>113.43429999999999</v>
      </c>
      <c r="J2320" s="29"/>
      <c r="K2320" s="29"/>
      <c r="L2320" s="29"/>
      <c r="M2320" s="29"/>
      <c r="N2320" s="29"/>
      <c r="P2320" s="4">
        <f t="shared" si="146"/>
        <v>2.2262776055591241E-3</v>
      </c>
      <c r="Q2320" s="4">
        <f t="shared" si="146"/>
        <v>4.0583757241057896E-3</v>
      </c>
      <c r="R2320" s="4">
        <f t="shared" si="146"/>
        <v>-8.2850046164123416E-4</v>
      </c>
      <c r="S2320" s="4">
        <f t="shared" si="146"/>
        <v>2.3015474519838324E-3</v>
      </c>
      <c r="T2320" s="4">
        <f t="shared" si="146"/>
        <v>2.0490978611273905E-3</v>
      </c>
      <c r="U2320" s="35"/>
      <c r="V2320" s="35"/>
      <c r="W2320" s="35"/>
      <c r="X2320" s="35"/>
    </row>
    <row r="2321" spans="4:24" x14ac:dyDescent="0.3">
      <c r="D2321" s="23">
        <v>42949</v>
      </c>
      <c r="E2321" s="5">
        <v>220.85797099999999</v>
      </c>
      <c r="F2321" s="28">
        <v>68.301450000000003</v>
      </c>
      <c r="G2321" s="28">
        <v>120.4</v>
      </c>
      <c r="H2321" s="28">
        <v>137.35059999999999</v>
      </c>
      <c r="I2321" s="28">
        <v>113.3271</v>
      </c>
      <c r="J2321" s="29"/>
      <c r="K2321" s="29"/>
      <c r="L2321" s="29"/>
      <c r="M2321" s="29"/>
      <c r="N2321" s="29"/>
      <c r="P2321" s="4">
        <f t="shared" si="146"/>
        <v>4.851896052599992E-4</v>
      </c>
      <c r="Q2321" s="4">
        <f t="shared" si="146"/>
        <v>-6.0990350793597666E-4</v>
      </c>
      <c r="R2321" s="4">
        <f t="shared" si="146"/>
        <v>-2.0742591963200433E-3</v>
      </c>
      <c r="S2321" s="4">
        <f t="shared" si="146"/>
        <v>2.7128017275554386E-3</v>
      </c>
      <c r="T2321" s="4">
        <f t="shared" si="146"/>
        <v>-9.4548726534503637E-4</v>
      </c>
      <c r="U2321" s="35"/>
      <c r="V2321" s="35"/>
      <c r="W2321" s="35"/>
      <c r="X2321" s="35"/>
    </row>
    <row r="2322" spans="4:24" x14ac:dyDescent="0.3">
      <c r="D2322" s="23">
        <v>42950</v>
      </c>
      <c r="E2322" s="5">
        <v>220.42953499999999</v>
      </c>
      <c r="F2322" s="28">
        <v>68.443179999999998</v>
      </c>
      <c r="G2322" s="28">
        <v>120.59</v>
      </c>
      <c r="H2322" s="28">
        <v>136.81630000000001</v>
      </c>
      <c r="I2322" s="28">
        <v>113.0682</v>
      </c>
      <c r="J2322" s="29"/>
      <c r="K2322" s="29"/>
      <c r="L2322" s="29"/>
      <c r="M2322" s="29"/>
      <c r="N2322" s="29"/>
      <c r="P2322" s="4">
        <f t="shared" si="146"/>
        <v>-1.9417551088113418E-3</v>
      </c>
      <c r="Q2322" s="4">
        <f t="shared" si="146"/>
        <v>2.0729157810571333E-3</v>
      </c>
      <c r="R2322" s="4">
        <f t="shared" si="146"/>
        <v>1.5768292407805481E-3</v>
      </c>
      <c r="S2322" s="4">
        <f t="shared" si="146"/>
        <v>-3.8976307964418266E-3</v>
      </c>
      <c r="T2322" s="4">
        <f t="shared" si="146"/>
        <v>-2.2871509511027E-3</v>
      </c>
      <c r="U2322" s="35"/>
      <c r="V2322" s="35"/>
      <c r="W2322" s="35"/>
      <c r="X2322" s="35"/>
    </row>
    <row r="2323" spans="4:24" x14ac:dyDescent="0.3">
      <c r="D2323" s="23">
        <v>42951</v>
      </c>
      <c r="E2323" s="5">
        <v>220.83120700000001</v>
      </c>
      <c r="F2323" s="28">
        <v>68.334789999999998</v>
      </c>
      <c r="G2323" s="28">
        <v>119.65</v>
      </c>
      <c r="H2323" s="28">
        <v>137.0643</v>
      </c>
      <c r="I2323" s="28">
        <v>113.30929999999999</v>
      </c>
      <c r="J2323" s="29"/>
      <c r="K2323" s="29"/>
      <c r="L2323" s="29"/>
      <c r="M2323" s="29"/>
      <c r="N2323" s="29"/>
      <c r="P2323" s="4">
        <f t="shared" si="146"/>
        <v>1.8205658138688505E-3</v>
      </c>
      <c r="Q2323" s="4">
        <f t="shared" si="146"/>
        <v>-1.5849046844157771E-3</v>
      </c>
      <c r="R2323" s="4">
        <f t="shared" si="146"/>
        <v>-7.8255477611188715E-3</v>
      </c>
      <c r="S2323" s="4">
        <f t="shared" si="146"/>
        <v>1.8110086496199349E-3</v>
      </c>
      <c r="T2323" s="4">
        <f t="shared" si="146"/>
        <v>2.1300711524772017E-3</v>
      </c>
      <c r="U2323" s="35"/>
      <c r="V2323" s="35"/>
      <c r="W2323" s="35"/>
      <c r="X2323" s="35"/>
    </row>
    <row r="2324" spans="4:24" x14ac:dyDescent="0.3">
      <c r="D2324" s="23">
        <v>42954</v>
      </c>
      <c r="E2324" s="5">
        <v>221.24174500000001</v>
      </c>
      <c r="F2324" s="28">
        <v>68.359800000000007</v>
      </c>
      <c r="G2324" s="28">
        <v>119.51</v>
      </c>
      <c r="H2324" s="28">
        <v>137.93260000000001</v>
      </c>
      <c r="I2324" s="28">
        <v>113.5325</v>
      </c>
      <c r="J2324" s="29"/>
      <c r="K2324" s="29"/>
      <c r="L2324" s="29"/>
      <c r="M2324" s="29"/>
      <c r="N2324" s="29"/>
      <c r="P2324" s="4">
        <f t="shared" si="146"/>
        <v>1.8573319908465516E-3</v>
      </c>
      <c r="Q2324" s="4">
        <f t="shared" si="146"/>
        <v>3.6592523931017613E-4</v>
      </c>
      <c r="R2324" s="4">
        <f t="shared" si="146"/>
        <v>-1.1707644755927042E-3</v>
      </c>
      <c r="S2324" s="4">
        <f t="shared" si="146"/>
        <v>6.3150012643305668E-3</v>
      </c>
      <c r="T2324" s="4">
        <f t="shared" si="146"/>
        <v>1.9678919143680173E-3</v>
      </c>
      <c r="U2324" s="35"/>
      <c r="V2324" s="35"/>
      <c r="W2324" s="35"/>
      <c r="X2324" s="35"/>
    </row>
    <row r="2325" spans="4:24" x14ac:dyDescent="0.3">
      <c r="D2325" s="23">
        <v>42955</v>
      </c>
      <c r="E2325" s="5">
        <v>220.697281</v>
      </c>
      <c r="F2325" s="28">
        <v>68.268109999999993</v>
      </c>
      <c r="G2325" s="28">
        <v>119.86</v>
      </c>
      <c r="H2325" s="28">
        <v>137.69409999999999</v>
      </c>
      <c r="I2325" s="28">
        <v>113.22</v>
      </c>
      <c r="J2325" s="29"/>
      <c r="K2325" s="29"/>
      <c r="L2325" s="29"/>
      <c r="M2325" s="29"/>
      <c r="N2325" s="29"/>
      <c r="P2325" s="4">
        <f t="shared" ref="P2325:T2340" si="147">LN(E2325/E2324)</f>
        <v>-2.4639791619677077E-3</v>
      </c>
      <c r="Q2325" s="4">
        <f t="shared" si="147"/>
        <v>-1.3421857037070161E-3</v>
      </c>
      <c r="R2325" s="4">
        <f t="shared" si="147"/>
        <v>2.9243451512494514E-3</v>
      </c>
      <c r="S2325" s="4">
        <f t="shared" si="147"/>
        <v>-1.7306020028197795E-3</v>
      </c>
      <c r="T2325" s="4">
        <f t="shared" si="147"/>
        <v>-2.7563109367705033E-3</v>
      </c>
      <c r="U2325" s="35"/>
      <c r="V2325" s="35"/>
      <c r="W2325" s="35"/>
      <c r="X2325" s="35"/>
    </row>
    <row r="2326" spans="4:24" x14ac:dyDescent="0.3">
      <c r="D2326" s="23">
        <v>42956</v>
      </c>
      <c r="E2326" s="5">
        <v>220.68841599999999</v>
      </c>
      <c r="F2326" s="28">
        <v>68.318110000000004</v>
      </c>
      <c r="G2326" s="28">
        <v>121.31</v>
      </c>
      <c r="H2326" s="28">
        <v>137.5128</v>
      </c>
      <c r="I2326" s="28">
        <v>113.095</v>
      </c>
      <c r="J2326" s="29"/>
      <c r="K2326" s="29"/>
      <c r="L2326" s="29"/>
      <c r="M2326" s="29"/>
      <c r="N2326" s="29"/>
      <c r="P2326" s="4">
        <f t="shared" si="147"/>
        <v>-4.0168950020160351E-5</v>
      </c>
      <c r="Q2326" s="4">
        <f t="shared" si="147"/>
        <v>7.3213831136785708E-4</v>
      </c>
      <c r="R2326" s="4">
        <f t="shared" si="147"/>
        <v>1.2024857752788862E-2</v>
      </c>
      <c r="S2326" s="4">
        <f t="shared" si="147"/>
        <v>-1.3175543652960908E-3</v>
      </c>
      <c r="T2326" s="4">
        <f t="shared" si="147"/>
        <v>-1.1046551285692188E-3</v>
      </c>
      <c r="U2326" s="35"/>
      <c r="V2326" s="35"/>
      <c r="W2326" s="35"/>
      <c r="X2326" s="35"/>
    </row>
    <row r="2327" spans="4:24" x14ac:dyDescent="0.3">
      <c r="D2327" s="23">
        <v>42957</v>
      </c>
      <c r="E2327" s="5">
        <v>217.57330300000001</v>
      </c>
      <c r="F2327" s="28">
        <v>68.418170000000003</v>
      </c>
      <c r="G2327" s="28">
        <v>122.21</v>
      </c>
      <c r="H2327" s="28">
        <v>134.56450000000001</v>
      </c>
      <c r="I2327" s="28">
        <v>111.43429999999999</v>
      </c>
      <c r="J2327" s="29"/>
      <c r="K2327" s="29"/>
      <c r="L2327" s="29"/>
      <c r="M2327" s="29"/>
      <c r="N2327" s="29"/>
      <c r="P2327" s="4">
        <f t="shared" si="147"/>
        <v>-1.4216005309694801E-2</v>
      </c>
      <c r="Q2327" s="4">
        <f t="shared" si="147"/>
        <v>1.4635474631966251E-3</v>
      </c>
      <c r="R2327" s="4">
        <f t="shared" si="147"/>
        <v>7.3916236670810475E-3</v>
      </c>
      <c r="S2327" s="4">
        <f t="shared" si="147"/>
        <v>-2.1673365687012558E-2</v>
      </c>
      <c r="T2327" s="4">
        <f t="shared" si="147"/>
        <v>-1.4792993916672189E-2</v>
      </c>
      <c r="U2327" s="35"/>
      <c r="V2327" s="35"/>
      <c r="W2327" s="35"/>
      <c r="X2327" s="35"/>
    </row>
    <row r="2328" spans="4:24" x14ac:dyDescent="0.3">
      <c r="D2328" s="23">
        <v>42958</v>
      </c>
      <c r="E2328" s="5">
        <v>217.89463799999999</v>
      </c>
      <c r="F2328" s="28">
        <v>68.476489999999998</v>
      </c>
      <c r="G2328" s="28">
        <v>122.79</v>
      </c>
      <c r="H2328" s="28">
        <v>135.58539999999999</v>
      </c>
      <c r="I2328" s="28">
        <v>111.6397</v>
      </c>
      <c r="J2328" s="29"/>
      <c r="K2328" s="29"/>
      <c r="L2328" s="29"/>
      <c r="M2328" s="29"/>
      <c r="N2328" s="29"/>
      <c r="P2328" s="4">
        <f t="shared" si="147"/>
        <v>1.4758149937979914E-3</v>
      </c>
      <c r="Q2328" s="4">
        <f t="shared" si="147"/>
        <v>8.5204205230841868E-4</v>
      </c>
      <c r="R2328" s="4">
        <f t="shared" si="147"/>
        <v>4.734702722512237E-3</v>
      </c>
      <c r="S2328" s="4">
        <f t="shared" si="147"/>
        <v>7.5580620969720215E-3</v>
      </c>
      <c r="T2328" s="4">
        <f t="shared" si="147"/>
        <v>1.8415418923527875E-3</v>
      </c>
      <c r="U2328" s="35"/>
      <c r="V2328" s="35"/>
      <c r="W2328" s="35"/>
      <c r="X2328" s="35"/>
    </row>
    <row r="2329" spans="4:24" x14ac:dyDescent="0.3">
      <c r="D2329" s="23">
        <v>42961</v>
      </c>
      <c r="E2329" s="5">
        <v>220.054642</v>
      </c>
      <c r="F2329" s="28">
        <v>68.426490000000001</v>
      </c>
      <c r="G2329" s="28">
        <v>121.92</v>
      </c>
      <c r="H2329" s="28">
        <v>137.33160000000001</v>
      </c>
      <c r="I2329" s="28">
        <v>112.7825</v>
      </c>
      <c r="J2329" s="29"/>
      <c r="K2329" s="29"/>
      <c r="L2329" s="29"/>
      <c r="M2329" s="29"/>
      <c r="N2329" s="29"/>
      <c r="P2329" s="4">
        <f t="shared" si="147"/>
        <v>9.864254210606431E-3</v>
      </c>
      <c r="Q2329" s="4">
        <f t="shared" si="147"/>
        <v>-7.304443222948178E-4</v>
      </c>
      <c r="R2329" s="4">
        <f t="shared" si="147"/>
        <v>-7.1104872340852533E-3</v>
      </c>
      <c r="S2329" s="4">
        <f t="shared" si="147"/>
        <v>1.2796739149556683E-2</v>
      </c>
      <c r="T2329" s="4">
        <f t="shared" si="147"/>
        <v>1.0184463728620924E-2</v>
      </c>
      <c r="U2329" s="35"/>
      <c r="V2329" s="35"/>
      <c r="W2329" s="35"/>
      <c r="X2329" s="35"/>
    </row>
    <row r="2330" spans="4:24" x14ac:dyDescent="0.3">
      <c r="D2330" s="23">
        <v>42962</v>
      </c>
      <c r="E2330" s="5">
        <v>220.027863</v>
      </c>
      <c r="F2330" s="28">
        <v>68.309749999999994</v>
      </c>
      <c r="G2330" s="28">
        <v>120.98</v>
      </c>
      <c r="H2330" s="28">
        <v>137.42689999999999</v>
      </c>
      <c r="I2330" s="28">
        <v>112.6754</v>
      </c>
      <c r="J2330" s="29"/>
      <c r="K2330" s="29"/>
      <c r="L2330" s="29"/>
      <c r="M2330" s="29"/>
      <c r="N2330" s="29"/>
      <c r="P2330" s="4">
        <f t="shared" si="147"/>
        <v>-1.2169990730740159E-4</v>
      </c>
      <c r="Q2330" s="4">
        <f t="shared" si="147"/>
        <v>-1.7075214056525639E-3</v>
      </c>
      <c r="R2330" s="4">
        <f t="shared" si="147"/>
        <v>-7.7398492595679835E-3</v>
      </c>
      <c r="S2330" s="4">
        <f t="shared" si="147"/>
        <v>6.93700131727921E-4</v>
      </c>
      <c r="T2330" s="4">
        <f t="shared" si="147"/>
        <v>-9.5006658055403199E-4</v>
      </c>
      <c r="U2330" s="35"/>
      <c r="V2330" s="35"/>
      <c r="W2330" s="35"/>
      <c r="X2330" s="35"/>
    </row>
    <row r="2331" spans="4:24" x14ac:dyDescent="0.3">
      <c r="D2331" s="23">
        <v>42963</v>
      </c>
      <c r="E2331" s="5">
        <v>220.41172800000001</v>
      </c>
      <c r="F2331" s="28">
        <v>68.409809999999993</v>
      </c>
      <c r="G2331" s="28">
        <v>121.87</v>
      </c>
      <c r="H2331" s="28">
        <v>137.66540000000001</v>
      </c>
      <c r="I2331" s="28">
        <v>112.8807</v>
      </c>
      <c r="J2331" s="29"/>
      <c r="K2331" s="29"/>
      <c r="L2331" s="29"/>
      <c r="M2331" s="29"/>
      <c r="N2331" s="29"/>
      <c r="P2331" s="4">
        <f t="shared" si="147"/>
        <v>1.7430998713036214E-3</v>
      </c>
      <c r="Q2331" s="4">
        <f t="shared" si="147"/>
        <v>1.4637264465279856E-3</v>
      </c>
      <c r="R2331" s="4">
        <f t="shared" si="147"/>
        <v>7.3296601566427361E-3</v>
      </c>
      <c r="S2331" s="4">
        <f t="shared" si="147"/>
        <v>1.7339639077996857E-3</v>
      </c>
      <c r="T2331" s="4">
        <f t="shared" si="147"/>
        <v>1.8203901973296323E-3</v>
      </c>
      <c r="U2331" s="35"/>
      <c r="V2331" s="35"/>
      <c r="W2331" s="35"/>
      <c r="X2331" s="35"/>
    </row>
    <row r="2332" spans="4:24" x14ac:dyDescent="0.3">
      <c r="D2332" s="23">
        <v>42964</v>
      </c>
      <c r="E2332" s="5">
        <v>216.97529599999999</v>
      </c>
      <c r="F2332" s="28">
        <v>68.534869999999998</v>
      </c>
      <c r="G2332" s="28">
        <v>122.49</v>
      </c>
      <c r="H2332" s="28">
        <v>134.85069999999999</v>
      </c>
      <c r="I2332" s="28">
        <v>111.0861</v>
      </c>
      <c r="J2332" s="29"/>
      <c r="K2332" s="29"/>
      <c r="L2332" s="29"/>
      <c r="M2332" s="29"/>
      <c r="N2332" s="29"/>
      <c r="P2332" s="4">
        <f t="shared" si="147"/>
        <v>-1.5713784462386117E-2</v>
      </c>
      <c r="Q2332" s="4">
        <f t="shared" si="147"/>
        <v>1.8264314431950639E-3</v>
      </c>
      <c r="R2332" s="4">
        <f t="shared" si="147"/>
        <v>5.0744911641831007E-3</v>
      </c>
      <c r="S2332" s="4">
        <f t="shared" si="147"/>
        <v>-2.0657862756894359E-2</v>
      </c>
      <c r="T2332" s="4">
        <f t="shared" si="147"/>
        <v>-1.602593249391164E-2</v>
      </c>
      <c r="U2332" s="35"/>
      <c r="V2332" s="35"/>
      <c r="W2332" s="35"/>
      <c r="X2332" s="35"/>
    </row>
    <row r="2333" spans="4:24" x14ac:dyDescent="0.3">
      <c r="D2333" s="23">
        <v>42965</v>
      </c>
      <c r="E2333" s="5">
        <v>216.636078</v>
      </c>
      <c r="F2333" s="28">
        <v>68.501509999999996</v>
      </c>
      <c r="G2333" s="28">
        <v>122.3</v>
      </c>
      <c r="H2333" s="28">
        <v>134.75530000000001</v>
      </c>
      <c r="I2333" s="28">
        <v>110.8986</v>
      </c>
      <c r="J2333" s="29"/>
      <c r="K2333" s="29"/>
      <c r="L2333" s="29"/>
      <c r="M2333" s="29"/>
      <c r="N2333" s="29"/>
      <c r="P2333" s="4">
        <f t="shared" si="147"/>
        <v>-1.5646179484271577E-3</v>
      </c>
      <c r="Q2333" s="4">
        <f t="shared" si="147"/>
        <v>-4.8687801967621888E-4</v>
      </c>
      <c r="R2333" s="4">
        <f t="shared" si="147"/>
        <v>-1.5523513064673775E-3</v>
      </c>
      <c r="S2333" s="4">
        <f t="shared" si="147"/>
        <v>-7.0769941308166187E-4</v>
      </c>
      <c r="T2333" s="4">
        <f t="shared" si="147"/>
        <v>-1.6893060160444911E-3</v>
      </c>
      <c r="U2333" s="35"/>
      <c r="V2333" s="35"/>
      <c r="W2333" s="35"/>
      <c r="X2333" s="35"/>
    </row>
    <row r="2334" spans="4:24" x14ac:dyDescent="0.3">
      <c r="D2334" s="23">
        <v>42968</v>
      </c>
      <c r="E2334" s="5">
        <v>216.80569499999999</v>
      </c>
      <c r="F2334" s="28">
        <v>68.534869999999998</v>
      </c>
      <c r="G2334" s="28">
        <v>122.76</v>
      </c>
      <c r="H2334" s="28">
        <v>134.58349999999999</v>
      </c>
      <c r="I2334" s="28">
        <v>111.05929999999999</v>
      </c>
      <c r="J2334" s="29"/>
      <c r="K2334" s="29"/>
      <c r="L2334" s="29"/>
      <c r="M2334" s="29"/>
      <c r="N2334" s="29"/>
      <c r="P2334" s="4">
        <f t="shared" si="147"/>
        <v>7.8265187724830599E-4</v>
      </c>
      <c r="Q2334" s="4">
        <f t="shared" si="147"/>
        <v>4.8687801967617534E-4</v>
      </c>
      <c r="R2334" s="4">
        <f t="shared" si="147"/>
        <v>3.7541870584088602E-3</v>
      </c>
      <c r="S2334" s="4">
        <f t="shared" si="147"/>
        <v>-1.2757168540123134E-3</v>
      </c>
      <c r="T2334" s="4">
        <f t="shared" si="147"/>
        <v>1.4480226031983446E-3</v>
      </c>
      <c r="U2334" s="35"/>
      <c r="V2334" s="35"/>
      <c r="W2334" s="35"/>
      <c r="X2334" s="35"/>
    </row>
    <row r="2335" spans="4:24" x14ac:dyDescent="0.3">
      <c r="D2335" s="23">
        <v>42969</v>
      </c>
      <c r="E2335" s="5">
        <v>219.07281499999999</v>
      </c>
      <c r="F2335" s="28">
        <v>68.451490000000007</v>
      </c>
      <c r="G2335" s="28">
        <v>122.21</v>
      </c>
      <c r="H2335" s="28">
        <v>136.63499999999999</v>
      </c>
      <c r="I2335" s="28">
        <v>112.1754</v>
      </c>
      <c r="J2335" s="29"/>
      <c r="K2335" s="29"/>
      <c r="L2335" s="29"/>
      <c r="M2335" s="29"/>
      <c r="N2335" s="29"/>
      <c r="P2335" s="4">
        <f t="shared" si="147"/>
        <v>1.0402625468229378E-2</v>
      </c>
      <c r="Q2335" s="4">
        <f t="shared" si="147"/>
        <v>-1.2173476293109375E-3</v>
      </c>
      <c r="R2335" s="4">
        <f t="shared" si="147"/>
        <v>-4.4903533016263228E-3</v>
      </c>
      <c r="S2335" s="4">
        <f t="shared" si="147"/>
        <v>1.5128312606800167E-2</v>
      </c>
      <c r="T2335" s="4">
        <f t="shared" si="147"/>
        <v>9.9994248183452768E-3</v>
      </c>
      <c r="U2335" s="35"/>
      <c r="V2335" s="35"/>
      <c r="W2335" s="35"/>
      <c r="X2335" s="35"/>
    </row>
    <row r="2336" spans="4:24" x14ac:dyDescent="0.3">
      <c r="D2336" s="23">
        <v>42970</v>
      </c>
      <c r="E2336" s="5">
        <v>218.28732299999999</v>
      </c>
      <c r="F2336" s="28">
        <v>68.651579999999996</v>
      </c>
      <c r="G2336" s="28">
        <v>122.67</v>
      </c>
      <c r="H2336" s="28">
        <v>136.14830000000001</v>
      </c>
      <c r="I2336" s="28">
        <v>111.8361</v>
      </c>
      <c r="J2336" s="29"/>
      <c r="K2336" s="29"/>
      <c r="L2336" s="29"/>
      <c r="M2336" s="29"/>
      <c r="N2336" s="29"/>
      <c r="P2336" s="4">
        <f t="shared" si="147"/>
        <v>-3.5919727305014524E-3</v>
      </c>
      <c r="Q2336" s="4">
        <f t="shared" si="147"/>
        <v>2.9188280329023198E-3</v>
      </c>
      <c r="R2336" s="4">
        <f t="shared" si="147"/>
        <v>3.7569465947516075E-3</v>
      </c>
      <c r="S2336" s="4">
        <f t="shared" si="147"/>
        <v>-3.5684040514922756E-3</v>
      </c>
      <c r="T2336" s="4">
        <f t="shared" si="147"/>
        <v>-3.0293110797604368E-3</v>
      </c>
      <c r="U2336" s="35"/>
      <c r="V2336" s="35"/>
      <c r="W2336" s="35"/>
      <c r="X2336" s="35"/>
    </row>
    <row r="2337" spans="4:24" x14ac:dyDescent="0.3">
      <c r="D2337" s="23">
        <v>42971</v>
      </c>
      <c r="E2337" s="5">
        <v>217.77862500000001</v>
      </c>
      <c r="F2337" s="28">
        <v>68.551509999999993</v>
      </c>
      <c r="G2337" s="28">
        <v>122.29</v>
      </c>
      <c r="H2337" s="28">
        <v>135.74770000000001</v>
      </c>
      <c r="I2337" s="28">
        <v>111.6575</v>
      </c>
      <c r="J2337" s="29"/>
      <c r="K2337" s="29"/>
      <c r="L2337" s="29"/>
      <c r="M2337" s="29"/>
      <c r="N2337" s="29"/>
      <c r="P2337" s="4">
        <f t="shared" si="147"/>
        <v>-2.3331252214950013E-3</v>
      </c>
      <c r="Q2337" s="4">
        <f t="shared" si="147"/>
        <v>-1.4587137613950728E-3</v>
      </c>
      <c r="R2337" s="4">
        <f t="shared" si="147"/>
        <v>-3.102549843382089E-3</v>
      </c>
      <c r="S2337" s="4">
        <f t="shared" si="147"/>
        <v>-2.9467170526389897E-3</v>
      </c>
      <c r="T2337" s="4">
        <f t="shared" si="147"/>
        <v>-1.5982563976627187E-3</v>
      </c>
      <c r="U2337" s="35"/>
      <c r="V2337" s="35"/>
      <c r="W2337" s="35"/>
      <c r="X2337" s="35"/>
    </row>
    <row r="2338" spans="4:24" x14ac:dyDescent="0.3">
      <c r="D2338" s="23">
        <v>42972</v>
      </c>
      <c r="E2338" s="5">
        <v>218.28732299999999</v>
      </c>
      <c r="F2338" s="28">
        <v>68.634929999999997</v>
      </c>
      <c r="G2338" s="28">
        <v>122.74</v>
      </c>
      <c r="H2338" s="28">
        <v>135.4614</v>
      </c>
      <c r="I2338" s="28">
        <v>111.9254</v>
      </c>
      <c r="J2338" s="29"/>
      <c r="K2338" s="29"/>
      <c r="L2338" s="29"/>
      <c r="M2338" s="29"/>
      <c r="N2338" s="29"/>
      <c r="P2338" s="4">
        <f t="shared" si="147"/>
        <v>2.3331252214949046E-3</v>
      </c>
      <c r="Q2338" s="4">
        <f t="shared" si="147"/>
        <v>1.2161553325788458E-3</v>
      </c>
      <c r="R2338" s="4">
        <f t="shared" si="147"/>
        <v>3.6730237596723247E-3</v>
      </c>
      <c r="S2338" s="4">
        <f t="shared" si="147"/>
        <v>-2.1112868731122864E-3</v>
      </c>
      <c r="T2338" s="4">
        <f t="shared" si="147"/>
        <v>2.3964277072125052E-3</v>
      </c>
      <c r="U2338" s="35"/>
      <c r="V2338" s="35"/>
      <c r="W2338" s="35"/>
      <c r="X2338" s="35"/>
    </row>
    <row r="2339" spans="4:24" x14ac:dyDescent="0.3">
      <c r="D2339" s="23">
        <v>42975</v>
      </c>
      <c r="E2339" s="5">
        <v>218.29626500000001</v>
      </c>
      <c r="F2339" s="28">
        <v>68.668239999999997</v>
      </c>
      <c r="G2339" s="28">
        <v>124.69</v>
      </c>
      <c r="H2339" s="28">
        <v>135.88120000000001</v>
      </c>
      <c r="I2339" s="28">
        <v>111.97</v>
      </c>
      <c r="J2339" s="29"/>
      <c r="K2339" s="29"/>
      <c r="L2339" s="29"/>
      <c r="M2339" s="29"/>
      <c r="N2339" s="29"/>
      <c r="P2339" s="4">
        <f t="shared" si="147"/>
        <v>4.0963518771939781E-5</v>
      </c>
      <c r="Q2339" s="4">
        <f t="shared" si="147"/>
        <v>4.852036650500108E-4</v>
      </c>
      <c r="R2339" s="4">
        <f t="shared" si="147"/>
        <v>1.5762360047543948E-2</v>
      </c>
      <c r="S2339" s="4">
        <f t="shared" si="147"/>
        <v>3.0942456875024181E-3</v>
      </c>
      <c r="T2339" s="4">
        <f t="shared" si="147"/>
        <v>3.9840032970690699E-4</v>
      </c>
      <c r="U2339" s="35"/>
      <c r="V2339" s="35"/>
      <c r="W2339" s="35"/>
      <c r="X2339" s="35"/>
    </row>
    <row r="2340" spans="4:24" x14ac:dyDescent="0.3">
      <c r="D2340" s="23">
        <v>42976</v>
      </c>
      <c r="E2340" s="5">
        <v>218.54617300000001</v>
      </c>
      <c r="F2340" s="28">
        <v>68.743290000000002</v>
      </c>
      <c r="G2340" s="28">
        <v>124.42</v>
      </c>
      <c r="H2340" s="28">
        <v>136.41550000000001</v>
      </c>
      <c r="I2340" s="28">
        <v>112.0147</v>
      </c>
      <c r="J2340" s="29"/>
      <c r="K2340" s="29"/>
      <c r="L2340" s="29"/>
      <c r="M2340" s="29"/>
      <c r="N2340" s="29"/>
      <c r="P2340" s="4">
        <f t="shared" si="147"/>
        <v>1.1441563617623513E-3</v>
      </c>
      <c r="Q2340" s="4">
        <f t="shared" si="147"/>
        <v>1.0923393031502212E-3</v>
      </c>
      <c r="R2340" s="4">
        <f t="shared" si="147"/>
        <v>-2.167717921621016E-3</v>
      </c>
      <c r="S2340" s="4">
        <f t="shared" si="147"/>
        <v>3.9244007417339041E-3</v>
      </c>
      <c r="T2340" s="4">
        <f t="shared" si="147"/>
        <v>3.9913441046128328E-4</v>
      </c>
      <c r="U2340" s="35"/>
      <c r="V2340" s="35"/>
      <c r="W2340" s="35"/>
      <c r="X2340" s="35"/>
    </row>
    <row r="2341" spans="4:24" x14ac:dyDescent="0.3">
      <c r="D2341" s="23">
        <v>42977</v>
      </c>
      <c r="E2341" s="5">
        <v>219.58158900000001</v>
      </c>
      <c r="F2341" s="28">
        <v>68.734939999999995</v>
      </c>
      <c r="G2341" s="28">
        <v>124.36</v>
      </c>
      <c r="H2341" s="28">
        <v>138.01849999999999</v>
      </c>
      <c r="I2341" s="28">
        <v>112.6039</v>
      </c>
      <c r="J2341" s="29"/>
      <c r="K2341" s="29"/>
      <c r="L2341" s="29"/>
      <c r="M2341" s="29"/>
      <c r="N2341" s="29"/>
      <c r="P2341" s="4">
        <f t="shared" ref="P2341:T2356" si="148">LN(E2341/E2340)</f>
        <v>4.7265570339649282E-3</v>
      </c>
      <c r="Q2341" s="4">
        <f t="shared" si="148"/>
        <v>-1.2147377821597371E-4</v>
      </c>
      <c r="R2341" s="4">
        <f t="shared" si="148"/>
        <v>-4.823538963207079E-4</v>
      </c>
      <c r="S2341" s="4">
        <f t="shared" si="148"/>
        <v>1.1682358826376643E-2</v>
      </c>
      <c r="T2341" s="4">
        <f t="shared" si="148"/>
        <v>5.2462383024333738E-3</v>
      </c>
      <c r="U2341" s="35"/>
      <c r="V2341" s="35"/>
      <c r="W2341" s="35"/>
      <c r="X2341" s="35"/>
    </row>
    <row r="2342" spans="4:24" x14ac:dyDescent="0.3">
      <c r="D2342" s="23">
        <v>42978</v>
      </c>
      <c r="E2342" s="5">
        <v>220.902557</v>
      </c>
      <c r="F2342" s="28">
        <v>68.793279999999996</v>
      </c>
      <c r="G2342" s="28">
        <v>125.82</v>
      </c>
      <c r="H2342" s="28">
        <v>139.4974</v>
      </c>
      <c r="I2342" s="28">
        <v>113.37179999999999</v>
      </c>
      <c r="J2342" s="29"/>
      <c r="K2342" s="29"/>
      <c r="L2342" s="29"/>
      <c r="M2342" s="29"/>
      <c r="N2342" s="29"/>
      <c r="P2342" s="4">
        <f t="shared" si="148"/>
        <v>5.997818409656702E-3</v>
      </c>
      <c r="Q2342" s="4">
        <f t="shared" si="148"/>
        <v>8.4840774496179887E-4</v>
      </c>
      <c r="R2342" s="4">
        <f t="shared" si="148"/>
        <v>1.1671728951330472E-2</v>
      </c>
      <c r="S2342" s="4">
        <f t="shared" si="148"/>
        <v>1.0658228951646856E-2</v>
      </c>
      <c r="T2342" s="4">
        <f t="shared" si="148"/>
        <v>6.7963321346601645E-3</v>
      </c>
      <c r="U2342" s="35"/>
      <c r="V2342" s="35"/>
      <c r="W2342" s="35"/>
      <c r="X2342" s="35"/>
    </row>
    <row r="2343" spans="4:24" x14ac:dyDescent="0.3">
      <c r="D2343" s="23">
        <v>42979</v>
      </c>
      <c r="E2343" s="5">
        <v>221.215012</v>
      </c>
      <c r="F2343" s="28">
        <v>68.679670000000002</v>
      </c>
      <c r="G2343" s="28">
        <v>126.06</v>
      </c>
      <c r="H2343" s="28">
        <v>139.3066</v>
      </c>
      <c r="I2343" s="28">
        <v>113.6307</v>
      </c>
      <c r="J2343" s="29"/>
      <c r="K2343" s="29"/>
      <c r="L2343" s="29"/>
      <c r="M2343" s="29"/>
      <c r="N2343" s="29"/>
      <c r="P2343" s="4">
        <f t="shared" si="148"/>
        <v>1.4134477972733912E-3</v>
      </c>
      <c r="Q2343" s="4">
        <f t="shared" si="148"/>
        <v>-1.6528346247593102E-3</v>
      </c>
      <c r="R2343" s="4">
        <f t="shared" si="148"/>
        <v>1.9056699430806303E-3</v>
      </c>
      <c r="S2343" s="4">
        <f t="shared" si="148"/>
        <v>-1.3687036756018689E-3</v>
      </c>
      <c r="T2343" s="4">
        <f t="shared" si="148"/>
        <v>2.2810331362618534E-3</v>
      </c>
      <c r="U2343" s="35"/>
      <c r="V2343" s="35"/>
      <c r="W2343" s="35"/>
      <c r="X2343" s="35"/>
    </row>
    <row r="2344" spans="4:24" x14ac:dyDescent="0.3">
      <c r="D2344" s="23">
        <v>42983</v>
      </c>
      <c r="E2344" s="5">
        <v>219.62622099999999</v>
      </c>
      <c r="F2344" s="28">
        <v>68.963719999999995</v>
      </c>
      <c r="G2344" s="28">
        <v>127.46</v>
      </c>
      <c r="H2344" s="28">
        <v>138.05670000000001</v>
      </c>
      <c r="I2344" s="28">
        <v>112.7557</v>
      </c>
      <c r="J2344" s="29"/>
      <c r="K2344" s="29"/>
      <c r="L2344" s="29"/>
      <c r="M2344" s="29"/>
      <c r="N2344" s="29"/>
      <c r="P2344" s="4">
        <f t="shared" si="148"/>
        <v>-7.2080275616352761E-3</v>
      </c>
      <c r="Q2344" s="4">
        <f t="shared" si="148"/>
        <v>4.127338090563256E-3</v>
      </c>
      <c r="R2344" s="4">
        <f t="shared" si="148"/>
        <v>1.104460580118395E-2</v>
      </c>
      <c r="S2344" s="4">
        <f t="shared" si="148"/>
        <v>-9.0127890806620155E-3</v>
      </c>
      <c r="T2344" s="4">
        <f t="shared" si="148"/>
        <v>-7.7301848272361123E-3</v>
      </c>
      <c r="U2344" s="35"/>
      <c r="V2344" s="35"/>
      <c r="W2344" s="35"/>
      <c r="X2344" s="35"/>
    </row>
    <row r="2345" spans="4:24" x14ac:dyDescent="0.3">
      <c r="D2345" s="23">
        <v>42984</v>
      </c>
      <c r="E2345" s="5">
        <v>220.37596099999999</v>
      </c>
      <c r="F2345" s="28">
        <v>68.846779999999995</v>
      </c>
      <c r="G2345" s="28">
        <v>126.81</v>
      </c>
      <c r="H2345" s="28">
        <v>138.47649999999999</v>
      </c>
      <c r="I2345" s="28">
        <v>113.0682</v>
      </c>
      <c r="J2345" s="29"/>
      <c r="K2345" s="29"/>
      <c r="L2345" s="29"/>
      <c r="M2345" s="29"/>
      <c r="N2345" s="29"/>
      <c r="P2345" s="4">
        <f t="shared" si="148"/>
        <v>3.4078954890624158E-3</v>
      </c>
      <c r="Q2345" s="4">
        <f t="shared" si="148"/>
        <v>-1.6971134720140102E-3</v>
      </c>
      <c r="R2345" s="4">
        <f t="shared" si="148"/>
        <v>-5.1126866393397851E-3</v>
      </c>
      <c r="S2345" s="4">
        <f t="shared" si="148"/>
        <v>3.036165802058414E-3</v>
      </c>
      <c r="T2345" s="4">
        <f t="shared" si="148"/>
        <v>2.7676450497532258E-3</v>
      </c>
      <c r="U2345" s="35"/>
      <c r="V2345" s="35"/>
      <c r="W2345" s="35"/>
      <c r="X2345" s="35"/>
    </row>
    <row r="2346" spans="4:24" x14ac:dyDescent="0.3">
      <c r="D2346" s="23">
        <v>42985</v>
      </c>
      <c r="E2346" s="5">
        <v>220.349197</v>
      </c>
      <c r="F2346" s="28">
        <v>69.063980000000001</v>
      </c>
      <c r="G2346" s="28">
        <v>128.13</v>
      </c>
      <c r="H2346" s="28">
        <v>138.80090000000001</v>
      </c>
      <c r="I2346" s="28">
        <v>113.0146</v>
      </c>
      <c r="J2346" s="29"/>
      <c r="K2346" s="29"/>
      <c r="L2346" s="29"/>
      <c r="M2346" s="29"/>
      <c r="N2346" s="29"/>
      <c r="P2346" s="4">
        <f t="shared" si="148"/>
        <v>-1.2145437829938806E-4</v>
      </c>
      <c r="Q2346" s="4">
        <f t="shared" si="148"/>
        <v>3.1498656026825115E-3</v>
      </c>
      <c r="R2346" s="4">
        <f t="shared" si="148"/>
        <v>1.0355470274676457E-2</v>
      </c>
      <c r="S2346" s="4">
        <f t="shared" si="148"/>
        <v>2.3398960608443774E-3</v>
      </c>
      <c r="T2346" s="4">
        <f t="shared" si="148"/>
        <v>-4.7416257233404147E-4</v>
      </c>
      <c r="U2346" s="35"/>
      <c r="V2346" s="35"/>
      <c r="W2346" s="35"/>
      <c r="X2346" s="35"/>
    </row>
    <row r="2347" spans="4:24" x14ac:dyDescent="0.3">
      <c r="D2347" s="23">
        <v>42986</v>
      </c>
      <c r="E2347" s="5">
        <v>220.09034700000001</v>
      </c>
      <c r="F2347" s="28">
        <v>68.988799999999998</v>
      </c>
      <c r="G2347" s="28">
        <v>127.97</v>
      </c>
      <c r="H2347" s="28">
        <v>137.59870000000001</v>
      </c>
      <c r="I2347" s="28">
        <v>112.93429999999999</v>
      </c>
      <c r="J2347" s="29"/>
      <c r="K2347" s="29"/>
      <c r="L2347" s="29"/>
      <c r="M2347" s="29"/>
      <c r="N2347" s="29"/>
      <c r="P2347" s="4">
        <f t="shared" si="148"/>
        <v>-1.1754168458696041E-3</v>
      </c>
      <c r="Q2347" s="4">
        <f t="shared" si="148"/>
        <v>-1.0891487651581752E-3</v>
      </c>
      <c r="R2347" s="4">
        <f t="shared" si="148"/>
        <v>-1.2495120719802719E-3</v>
      </c>
      <c r="S2347" s="4">
        <f t="shared" si="148"/>
        <v>-8.6990544213429478E-3</v>
      </c>
      <c r="T2347" s="4">
        <f t="shared" si="148"/>
        <v>-7.10780210752877E-4</v>
      </c>
      <c r="U2347" s="35"/>
      <c r="V2347" s="35"/>
      <c r="W2347" s="35"/>
      <c r="X2347" s="35"/>
    </row>
    <row r="2348" spans="4:24" x14ac:dyDescent="0.3">
      <c r="D2348" s="23">
        <v>42989</v>
      </c>
      <c r="E2348" s="5">
        <v>222.43779000000001</v>
      </c>
      <c r="F2348" s="28">
        <v>68.779920000000004</v>
      </c>
      <c r="G2348" s="28">
        <v>126.19</v>
      </c>
      <c r="H2348" s="28">
        <v>139.18260000000001</v>
      </c>
      <c r="I2348" s="28">
        <v>114.1486</v>
      </c>
      <c r="J2348" s="29"/>
      <c r="K2348" s="29"/>
      <c r="L2348" s="29"/>
      <c r="M2348" s="29"/>
      <c r="N2348" s="29"/>
      <c r="P2348" s="4">
        <f t="shared" si="148"/>
        <v>1.0609336773485238E-2</v>
      </c>
      <c r="Q2348" s="4">
        <f t="shared" si="148"/>
        <v>-3.0323307069236062E-3</v>
      </c>
      <c r="R2348" s="4">
        <f t="shared" si="148"/>
        <v>-1.4007153784685301E-2</v>
      </c>
      <c r="S2348" s="4">
        <f t="shared" si="148"/>
        <v>1.1445262306973037E-2</v>
      </c>
      <c r="T2348" s="4">
        <f t="shared" si="148"/>
        <v>1.0694874641071992E-2</v>
      </c>
      <c r="U2348" s="35"/>
      <c r="V2348" s="35"/>
      <c r="W2348" s="35"/>
      <c r="X2348" s="35"/>
    </row>
    <row r="2349" spans="4:24" x14ac:dyDescent="0.3">
      <c r="D2349" s="23">
        <v>42990</v>
      </c>
      <c r="E2349" s="5">
        <v>223.187592</v>
      </c>
      <c r="F2349" s="28">
        <v>68.679670000000002</v>
      </c>
      <c r="G2349" s="28">
        <v>126.56</v>
      </c>
      <c r="H2349" s="28">
        <v>139.51650000000001</v>
      </c>
      <c r="I2349" s="28">
        <v>114.586</v>
      </c>
      <c r="J2349" s="29"/>
      <c r="K2349" s="29"/>
      <c r="L2349" s="29"/>
      <c r="M2349" s="29"/>
      <c r="N2349" s="29"/>
      <c r="P2349" s="4">
        <f t="shared" si="148"/>
        <v>3.3651705574809891E-3</v>
      </c>
      <c r="Q2349" s="4">
        <f t="shared" si="148"/>
        <v>-1.4586107491499152E-3</v>
      </c>
      <c r="R2349" s="4">
        <f t="shared" si="148"/>
        <v>2.9277963545246036E-3</v>
      </c>
      <c r="S2349" s="4">
        <f t="shared" si="148"/>
        <v>2.39613374966779E-3</v>
      </c>
      <c r="T2349" s="4">
        <f t="shared" si="148"/>
        <v>3.8245244327141182E-3</v>
      </c>
      <c r="U2349" s="35"/>
      <c r="V2349" s="35"/>
      <c r="W2349" s="35"/>
      <c r="X2349" s="35"/>
    </row>
    <row r="2350" spans="4:24" x14ac:dyDescent="0.3">
      <c r="D2350" s="23">
        <v>42991</v>
      </c>
      <c r="E2350" s="5">
        <v>223.294678</v>
      </c>
      <c r="F2350" s="28">
        <v>68.596119999999999</v>
      </c>
      <c r="G2350" s="28">
        <v>125.61</v>
      </c>
      <c r="H2350" s="28">
        <v>139.70740000000001</v>
      </c>
      <c r="I2350" s="28">
        <v>114.6396</v>
      </c>
      <c r="J2350" s="29"/>
      <c r="K2350" s="29"/>
      <c r="L2350" s="29"/>
      <c r="M2350" s="29"/>
      <c r="N2350" s="29"/>
      <c r="P2350" s="4">
        <f t="shared" si="148"/>
        <v>4.7968759007323546E-4</v>
      </c>
      <c r="Q2350" s="4">
        <f t="shared" si="148"/>
        <v>-1.2172577599655445E-3</v>
      </c>
      <c r="R2350" s="4">
        <f t="shared" si="148"/>
        <v>-7.5346353201821018E-3</v>
      </c>
      <c r="S2350" s="4">
        <f t="shared" si="148"/>
        <v>1.3673616745806597E-3</v>
      </c>
      <c r="T2350" s="4">
        <f t="shared" si="148"/>
        <v>4.6766156115983227E-4</v>
      </c>
      <c r="U2350" s="35"/>
      <c r="V2350" s="35"/>
      <c r="W2350" s="35"/>
      <c r="X2350" s="35"/>
    </row>
    <row r="2351" spans="4:24" x14ac:dyDescent="0.3">
      <c r="D2351" s="23">
        <v>42992</v>
      </c>
      <c r="E2351" s="5">
        <v>223.223251</v>
      </c>
      <c r="F2351" s="28">
        <v>68.637929999999997</v>
      </c>
      <c r="G2351" s="28">
        <v>126.16</v>
      </c>
      <c r="H2351" s="28">
        <v>138.88669999999999</v>
      </c>
      <c r="I2351" s="28">
        <v>114.6039</v>
      </c>
      <c r="J2351" s="29"/>
      <c r="K2351" s="29"/>
      <c r="L2351" s="29"/>
      <c r="M2351" s="29"/>
      <c r="N2351" s="29"/>
      <c r="P2351" s="4">
        <f t="shared" si="148"/>
        <v>-3.1992892544857935E-4</v>
      </c>
      <c r="Q2351" s="4">
        <f t="shared" si="148"/>
        <v>6.093240167958186E-4</v>
      </c>
      <c r="R2351" s="4">
        <f t="shared" si="148"/>
        <v>4.3690739556211597E-3</v>
      </c>
      <c r="S2351" s="4">
        <f t="shared" si="148"/>
        <v>-5.8917426754793618E-3</v>
      </c>
      <c r="T2351" s="4">
        <f t="shared" si="148"/>
        <v>-3.1145921510181422E-4</v>
      </c>
      <c r="U2351" s="35"/>
      <c r="V2351" s="35"/>
      <c r="W2351" s="35"/>
      <c r="X2351" s="35"/>
    </row>
    <row r="2352" spans="4:24" x14ac:dyDescent="0.3">
      <c r="D2352" s="23">
        <v>42993</v>
      </c>
      <c r="E2352" s="5">
        <v>223.52377300000001</v>
      </c>
      <c r="F2352" s="28">
        <v>68.646259999999998</v>
      </c>
      <c r="G2352" s="28">
        <v>125.53</v>
      </c>
      <c r="H2352" s="28">
        <v>139.3638</v>
      </c>
      <c r="I2352" s="28">
        <v>114.8182</v>
      </c>
      <c r="J2352" s="29"/>
      <c r="K2352" s="29"/>
      <c r="L2352" s="29"/>
      <c r="M2352" s="29"/>
      <c r="N2352" s="29"/>
      <c r="P2352" s="4">
        <f t="shared" si="148"/>
        <v>1.3453790587751504E-3</v>
      </c>
      <c r="Q2352" s="4">
        <f t="shared" si="148"/>
        <v>1.2135410508987416E-4</v>
      </c>
      <c r="R2352" s="4">
        <f t="shared" si="148"/>
        <v>-5.0061688246659181E-3</v>
      </c>
      <c r="S2352" s="4">
        <f t="shared" si="148"/>
        <v>3.4292874051144494E-3</v>
      </c>
      <c r="T2352" s="4">
        <f t="shared" si="148"/>
        <v>1.8681727900393341E-3</v>
      </c>
      <c r="U2352" s="35"/>
      <c r="V2352" s="35"/>
      <c r="W2352" s="35"/>
      <c r="X2352" s="35"/>
    </row>
    <row r="2353" spans="4:24" x14ac:dyDescent="0.3">
      <c r="D2353" s="23">
        <v>42996</v>
      </c>
      <c r="E2353" s="5">
        <v>223.999191</v>
      </c>
      <c r="F2353" s="28">
        <v>68.596119999999999</v>
      </c>
      <c r="G2353" s="28">
        <v>124.36</v>
      </c>
      <c r="H2353" s="28">
        <v>139.18129999999999</v>
      </c>
      <c r="I2353" s="28">
        <v>115.095</v>
      </c>
      <c r="J2353" s="29"/>
      <c r="K2353" s="29"/>
      <c r="L2353" s="29"/>
      <c r="M2353" s="29"/>
      <c r="N2353" s="29"/>
      <c r="P2353" s="4">
        <f t="shared" si="148"/>
        <v>2.1246649539277199E-3</v>
      </c>
      <c r="Q2353" s="4">
        <f t="shared" si="148"/>
        <v>-7.3067812188584561E-4</v>
      </c>
      <c r="R2353" s="4">
        <f t="shared" si="148"/>
        <v>-9.3641886395640292E-3</v>
      </c>
      <c r="S2353" s="4">
        <f t="shared" si="148"/>
        <v>-1.3103804454946851E-3</v>
      </c>
      <c r="T2353" s="4">
        <f t="shared" si="148"/>
        <v>2.4078663925026149E-3</v>
      </c>
      <c r="U2353" s="35"/>
      <c r="V2353" s="35"/>
      <c r="W2353" s="35"/>
      <c r="X2353" s="35"/>
    </row>
    <row r="2354" spans="4:24" x14ac:dyDescent="0.3">
      <c r="D2354" s="23">
        <v>42997</v>
      </c>
      <c r="E2354" s="5">
        <v>224.22345000000001</v>
      </c>
      <c r="F2354" s="28">
        <v>68.546019999999999</v>
      </c>
      <c r="G2354" s="28">
        <v>124.62</v>
      </c>
      <c r="H2354" s="28">
        <v>139.4203</v>
      </c>
      <c r="I2354" s="28">
        <v>115.1485</v>
      </c>
      <c r="J2354" s="29"/>
      <c r="K2354" s="29"/>
      <c r="L2354" s="29"/>
      <c r="M2354" s="29"/>
      <c r="N2354" s="29"/>
      <c r="P2354" s="4">
        <f t="shared" si="148"/>
        <v>1.0006590395013298E-3</v>
      </c>
      <c r="Q2354" s="4">
        <f t="shared" si="148"/>
        <v>-7.3062885308185948E-4</v>
      </c>
      <c r="R2354" s="4">
        <f t="shared" si="148"/>
        <v>2.0885219255229524E-3</v>
      </c>
      <c r="S2354" s="4">
        <f t="shared" si="148"/>
        <v>1.7157120320058217E-3</v>
      </c>
      <c r="T2354" s="4">
        <f t="shared" si="148"/>
        <v>4.6472539691991814E-4</v>
      </c>
      <c r="U2354" s="35"/>
      <c r="V2354" s="35"/>
      <c r="W2354" s="35"/>
      <c r="X2354" s="35"/>
    </row>
    <row r="2355" spans="4:24" x14ac:dyDescent="0.3">
      <c r="D2355" s="23">
        <v>42998</v>
      </c>
      <c r="E2355" s="5">
        <v>224.30413799999999</v>
      </c>
      <c r="F2355" s="28">
        <v>68.487549999999999</v>
      </c>
      <c r="G2355" s="28">
        <v>123.62</v>
      </c>
      <c r="H2355" s="28">
        <v>138.98990000000001</v>
      </c>
      <c r="I2355" s="28">
        <v>115.336</v>
      </c>
      <c r="J2355" s="29"/>
      <c r="K2355" s="29"/>
      <c r="L2355" s="29"/>
      <c r="M2355" s="29"/>
      <c r="N2355" s="29"/>
      <c r="P2355" s="4">
        <f t="shared" si="148"/>
        <v>3.5979058157921249E-4</v>
      </c>
      <c r="Q2355" s="4">
        <f t="shared" si="148"/>
        <v>-8.5336758793233308E-4</v>
      </c>
      <c r="R2355" s="4">
        <f t="shared" si="148"/>
        <v>-8.0567628849487032E-3</v>
      </c>
      <c r="S2355" s="4">
        <f t="shared" si="148"/>
        <v>-3.0918432073762702E-3</v>
      </c>
      <c r="T2355" s="4">
        <f t="shared" si="148"/>
        <v>1.6270078149445142E-3</v>
      </c>
      <c r="U2355" s="35"/>
      <c r="V2355" s="35"/>
      <c r="W2355" s="35"/>
      <c r="X2355" s="35"/>
    </row>
    <row r="2356" spans="4:24" x14ac:dyDescent="0.3">
      <c r="D2356" s="23">
        <v>42999</v>
      </c>
      <c r="E2356" s="5">
        <v>223.70320100000001</v>
      </c>
      <c r="F2356" s="28">
        <v>68.470830000000007</v>
      </c>
      <c r="G2356" s="28">
        <v>122.68</v>
      </c>
      <c r="H2356" s="28">
        <v>138.13890000000001</v>
      </c>
      <c r="I2356" s="28">
        <v>115.0146</v>
      </c>
      <c r="J2356" s="29"/>
      <c r="K2356" s="29"/>
      <c r="L2356" s="29"/>
      <c r="M2356" s="29"/>
      <c r="N2356" s="29"/>
      <c r="P2356" s="4">
        <f t="shared" si="148"/>
        <v>-2.6827121258793159E-3</v>
      </c>
      <c r="Q2356" s="4">
        <f t="shared" si="148"/>
        <v>-2.4416176772908864E-4</v>
      </c>
      <c r="R2356" s="4">
        <f t="shared" si="148"/>
        <v>-7.6330049850764047E-3</v>
      </c>
      <c r="S2356" s="4">
        <f t="shared" si="148"/>
        <v>-6.141567927215796E-3</v>
      </c>
      <c r="T2356" s="4">
        <f t="shared" si="148"/>
        <v>-2.7905306829106155E-3</v>
      </c>
      <c r="U2356" s="35"/>
      <c r="V2356" s="35"/>
      <c r="W2356" s="35"/>
      <c r="X2356" s="35"/>
    </row>
    <row r="2357" spans="4:24" x14ac:dyDescent="0.3">
      <c r="D2357" s="23">
        <v>43000</v>
      </c>
      <c r="E2357" s="5">
        <v>223.74803199999999</v>
      </c>
      <c r="F2357" s="28">
        <v>68.537660000000002</v>
      </c>
      <c r="G2357" s="28">
        <v>123.24</v>
      </c>
      <c r="H2357" s="28">
        <v>138.0051</v>
      </c>
      <c r="I2357" s="28">
        <v>115.107</v>
      </c>
      <c r="J2357" s="29"/>
      <c r="K2357" s="29"/>
      <c r="L2357" s="29"/>
      <c r="M2357" s="29"/>
      <c r="N2357" s="29"/>
      <c r="P2357" s="4">
        <f t="shared" ref="P2357:T2372" si="149">LN(E2357/E2356)</f>
        <v>2.0038384898135673E-4</v>
      </c>
      <c r="Q2357" s="4">
        <f t="shared" si="149"/>
        <v>9.7556005909233529E-4</v>
      </c>
      <c r="R2357" s="4">
        <f t="shared" si="149"/>
        <v>4.5543344824163258E-3</v>
      </c>
      <c r="S2357" s="4">
        <f t="shared" si="149"/>
        <v>-9.6905969690239905E-4</v>
      </c>
      <c r="T2357" s="4">
        <f t="shared" si="149"/>
        <v>8.0305373303232676E-4</v>
      </c>
      <c r="U2357" s="35"/>
      <c r="V2357" s="35"/>
      <c r="W2357" s="35"/>
      <c r="X2357" s="35"/>
    </row>
    <row r="2358" spans="4:24" x14ac:dyDescent="0.3">
      <c r="D2358" s="23">
        <v>43003</v>
      </c>
      <c r="E2358" s="5">
        <v>223.29057299999999</v>
      </c>
      <c r="F2358" s="28">
        <v>68.688029999999998</v>
      </c>
      <c r="G2358" s="28">
        <v>124.53</v>
      </c>
      <c r="H2358" s="28">
        <v>136.55160000000001</v>
      </c>
      <c r="I2358" s="28">
        <v>114.9186</v>
      </c>
      <c r="J2358" s="29"/>
      <c r="K2358" s="29"/>
      <c r="L2358" s="29"/>
      <c r="M2358" s="29"/>
      <c r="N2358" s="29"/>
      <c r="P2358" s="4">
        <f t="shared" si="149"/>
        <v>-2.0466203793659318E-3</v>
      </c>
      <c r="Q2358" s="4">
        <f t="shared" si="149"/>
        <v>2.1915730237609546E-3</v>
      </c>
      <c r="R2358" s="4">
        <f t="shared" si="149"/>
        <v>1.0412977004589947E-2</v>
      </c>
      <c r="S2358" s="4">
        <f t="shared" si="149"/>
        <v>-1.0588075825338484E-2</v>
      </c>
      <c r="T2358" s="4">
        <f t="shared" si="149"/>
        <v>-1.6380789105894832E-3</v>
      </c>
      <c r="U2358" s="35"/>
      <c r="V2358" s="35"/>
      <c r="W2358" s="35"/>
      <c r="X2358" s="35"/>
    </row>
    <row r="2359" spans="4:24" x14ac:dyDescent="0.3">
      <c r="D2359" s="23">
        <v>43004</v>
      </c>
      <c r="E2359" s="5">
        <v>223.42510999999999</v>
      </c>
      <c r="F2359" s="28">
        <v>68.654619999999994</v>
      </c>
      <c r="G2359" s="28">
        <v>123.14</v>
      </c>
      <c r="H2359" s="28">
        <v>136.90539999999999</v>
      </c>
      <c r="I2359" s="28">
        <v>114.9455</v>
      </c>
      <c r="J2359" s="29"/>
      <c r="K2359" s="29"/>
      <c r="L2359" s="29"/>
      <c r="M2359" s="29"/>
      <c r="N2359" s="29"/>
      <c r="P2359" s="4">
        <f t="shared" si="149"/>
        <v>6.0233839637825986E-4</v>
      </c>
      <c r="Q2359" s="4">
        <f t="shared" si="149"/>
        <v>-4.8652040220604109E-4</v>
      </c>
      <c r="R2359" s="4">
        <f t="shared" si="149"/>
        <v>-1.1224731249993035E-2</v>
      </c>
      <c r="S2359" s="4">
        <f t="shared" si="149"/>
        <v>2.5876111960010887E-3</v>
      </c>
      <c r="T2359" s="4">
        <f t="shared" si="149"/>
        <v>2.3405133835867017E-4</v>
      </c>
      <c r="U2359" s="35"/>
      <c r="V2359" s="35"/>
      <c r="W2359" s="35"/>
      <c r="X2359" s="35"/>
    </row>
    <row r="2360" spans="4:24" x14ac:dyDescent="0.3">
      <c r="D2360" s="23">
        <v>43005</v>
      </c>
      <c r="E2360" s="5">
        <v>224.29521199999999</v>
      </c>
      <c r="F2360" s="28">
        <v>68.445760000000007</v>
      </c>
      <c r="G2360" s="28">
        <v>121.98</v>
      </c>
      <c r="H2360" s="28">
        <v>138.13890000000001</v>
      </c>
      <c r="I2360" s="28">
        <v>115.5732</v>
      </c>
      <c r="J2360" s="29"/>
      <c r="K2360" s="29"/>
      <c r="L2360" s="29"/>
      <c r="M2360" s="29"/>
      <c r="N2360" s="29"/>
      <c r="P2360" s="4">
        <f t="shared" si="149"/>
        <v>3.8868152846981232E-3</v>
      </c>
      <c r="Q2360" s="4">
        <f t="shared" si="149"/>
        <v>-3.0468210456110595E-3</v>
      </c>
      <c r="R2360" s="4">
        <f t="shared" si="149"/>
        <v>-9.4648226147537595E-3</v>
      </c>
      <c r="S2360" s="4">
        <f t="shared" si="149"/>
        <v>8.9695243262397362E-3</v>
      </c>
      <c r="T2360" s="4">
        <f t="shared" si="149"/>
        <v>5.4459924631138591E-3</v>
      </c>
      <c r="U2360" s="35"/>
      <c r="V2360" s="35"/>
      <c r="W2360" s="35"/>
      <c r="X2360" s="35"/>
    </row>
    <row r="2361" spans="4:24" x14ac:dyDescent="0.3">
      <c r="D2361" s="23">
        <v>43006</v>
      </c>
      <c r="E2361" s="5">
        <v>224.564301</v>
      </c>
      <c r="F2361" s="28">
        <v>68.462459999999993</v>
      </c>
      <c r="G2361" s="28">
        <v>122.21</v>
      </c>
      <c r="H2361" s="28">
        <v>138.09110000000001</v>
      </c>
      <c r="I2361" s="28">
        <v>115.7615</v>
      </c>
      <c r="J2361" s="29"/>
      <c r="K2361" s="29"/>
      <c r="L2361" s="29"/>
      <c r="M2361" s="29"/>
      <c r="N2361" s="29"/>
      <c r="P2361" s="4">
        <f t="shared" si="149"/>
        <v>1.198989993273613E-3</v>
      </c>
      <c r="Q2361" s="4">
        <f t="shared" si="149"/>
        <v>2.4395905640751969E-4</v>
      </c>
      <c r="R2361" s="4">
        <f t="shared" si="149"/>
        <v>1.8837795815988031E-3</v>
      </c>
      <c r="S2361" s="4">
        <f t="shared" si="149"/>
        <v>-3.4608840804478263E-4</v>
      </c>
      <c r="T2361" s="4">
        <f t="shared" si="149"/>
        <v>1.6279446324836413E-3</v>
      </c>
      <c r="U2361" s="35"/>
      <c r="V2361" s="35"/>
      <c r="W2361" s="35"/>
      <c r="X2361" s="35"/>
    </row>
    <row r="2362" spans="4:24" x14ac:dyDescent="0.3">
      <c r="D2362" s="23">
        <v>43007</v>
      </c>
      <c r="E2362" s="5">
        <v>225.35365300000001</v>
      </c>
      <c r="F2362" s="28">
        <v>68.470830000000007</v>
      </c>
      <c r="G2362" s="28">
        <v>121.58</v>
      </c>
      <c r="H2362" s="28">
        <v>139.0856</v>
      </c>
      <c r="I2362" s="28">
        <v>116.13809999999999</v>
      </c>
      <c r="J2362" s="29"/>
      <c r="K2362" s="29"/>
      <c r="L2362" s="29"/>
      <c r="M2362" s="29"/>
      <c r="N2362" s="29"/>
      <c r="P2362" s="4">
        <f t="shared" si="149"/>
        <v>3.5088744642013336E-3</v>
      </c>
      <c r="Q2362" s="4">
        <f t="shared" si="149"/>
        <v>1.2224930855649692E-4</v>
      </c>
      <c r="R2362" s="4">
        <f t="shared" si="149"/>
        <v>-5.1683941293326633E-3</v>
      </c>
      <c r="S2362" s="4">
        <f t="shared" si="149"/>
        <v>7.1759586400536165E-3</v>
      </c>
      <c r="T2362" s="4">
        <f t="shared" si="149"/>
        <v>3.2479601609526221E-3</v>
      </c>
      <c r="U2362" s="35"/>
      <c r="V2362" s="35"/>
      <c r="W2362" s="35"/>
      <c r="X2362" s="35"/>
    </row>
    <row r="2363" spans="4:24" x14ac:dyDescent="0.3">
      <c r="D2363" s="23">
        <v>43010</v>
      </c>
      <c r="E2363" s="5">
        <v>226.33145099999999</v>
      </c>
      <c r="F2363" s="28">
        <v>68.444029999999998</v>
      </c>
      <c r="G2363" s="28">
        <v>120.77</v>
      </c>
      <c r="H2363" s="28">
        <v>139.2099</v>
      </c>
      <c r="I2363" s="28">
        <v>116.7479</v>
      </c>
      <c r="J2363" s="29"/>
      <c r="K2363" s="29"/>
      <c r="L2363" s="29"/>
      <c r="M2363" s="29"/>
      <c r="N2363" s="29"/>
      <c r="P2363" s="4">
        <f t="shared" si="149"/>
        <v>4.3295628691389886E-3</v>
      </c>
      <c r="Q2363" s="4">
        <f t="shared" si="149"/>
        <v>-3.914841726060706E-4</v>
      </c>
      <c r="R2363" s="4">
        <f t="shared" si="149"/>
        <v>-6.6845720332925586E-3</v>
      </c>
      <c r="S2363" s="4">
        <f t="shared" si="149"/>
        <v>8.9329513603852995E-4</v>
      </c>
      <c r="T2363" s="4">
        <f t="shared" si="149"/>
        <v>5.2369089911580612E-3</v>
      </c>
      <c r="U2363" s="35"/>
      <c r="V2363" s="35"/>
      <c r="W2363" s="35"/>
      <c r="X2363" s="35"/>
    </row>
    <row r="2364" spans="4:24" x14ac:dyDescent="0.3">
      <c r="D2364" s="23">
        <v>43011</v>
      </c>
      <c r="E2364" s="5">
        <v>226.81572</v>
      </c>
      <c r="F2364" s="28">
        <v>68.477509999999995</v>
      </c>
      <c r="G2364" s="28">
        <v>120.83</v>
      </c>
      <c r="H2364" s="28">
        <v>139.50630000000001</v>
      </c>
      <c r="I2364" s="28">
        <v>116.98099999999999</v>
      </c>
      <c r="J2364" s="29"/>
      <c r="K2364" s="29"/>
      <c r="L2364" s="29"/>
      <c r="M2364" s="29"/>
      <c r="N2364" s="29"/>
      <c r="P2364" s="4">
        <f t="shared" si="149"/>
        <v>2.1373594070497061E-3</v>
      </c>
      <c r="Q2364" s="4">
        <f t="shared" si="149"/>
        <v>4.890392069391644E-4</v>
      </c>
      <c r="R2364" s="4">
        <f t="shared" si="149"/>
        <v>4.9668875193290387E-4</v>
      </c>
      <c r="S2364" s="4">
        <f t="shared" si="149"/>
        <v>2.1268954709843676E-3</v>
      </c>
      <c r="T2364" s="4">
        <f t="shared" si="149"/>
        <v>1.9946192129640244E-3</v>
      </c>
      <c r="U2364" s="35"/>
      <c r="V2364" s="35"/>
      <c r="W2364" s="35"/>
      <c r="X2364" s="35"/>
    </row>
    <row r="2365" spans="4:24" x14ac:dyDescent="0.3">
      <c r="D2365" s="23">
        <v>43012</v>
      </c>
      <c r="E2365" s="5">
        <v>227.0849</v>
      </c>
      <c r="F2365" s="28">
        <v>68.477509999999995</v>
      </c>
      <c r="G2365" s="28">
        <v>121.17</v>
      </c>
      <c r="H2365" s="28">
        <v>139.64019999999999</v>
      </c>
      <c r="I2365" s="28">
        <v>117.0976</v>
      </c>
      <c r="J2365" s="29"/>
      <c r="K2365" s="29"/>
      <c r="L2365" s="29"/>
      <c r="M2365" s="29"/>
      <c r="N2365" s="29"/>
      <c r="P2365" s="4">
        <f t="shared" si="149"/>
        <v>1.1860747471827255E-3</v>
      </c>
      <c r="Q2365" s="4">
        <f t="shared" si="149"/>
        <v>0</v>
      </c>
      <c r="R2365" s="4">
        <f t="shared" si="149"/>
        <v>2.8099192042143296E-3</v>
      </c>
      <c r="S2365" s="4">
        <f t="shared" si="149"/>
        <v>9.5935295817544026E-4</v>
      </c>
      <c r="T2365" s="4">
        <f t="shared" si="149"/>
        <v>9.9624664231484075E-4</v>
      </c>
      <c r="U2365" s="35"/>
      <c r="V2365" s="35"/>
      <c r="W2365" s="35"/>
      <c r="X2365" s="35"/>
    </row>
    <row r="2366" spans="4:24" x14ac:dyDescent="0.3">
      <c r="D2366" s="23">
        <v>43013</v>
      </c>
      <c r="E2366" s="5">
        <v>228.430374</v>
      </c>
      <c r="F2366" s="28">
        <v>68.427279999999996</v>
      </c>
      <c r="G2366" s="28">
        <v>120.52</v>
      </c>
      <c r="H2366" s="28">
        <v>141.0077</v>
      </c>
      <c r="I2366" s="28">
        <v>117.7163</v>
      </c>
      <c r="J2366" s="29"/>
      <c r="K2366" s="29"/>
      <c r="L2366" s="29"/>
      <c r="M2366" s="29"/>
      <c r="N2366" s="29"/>
      <c r="P2366" s="4">
        <f t="shared" si="149"/>
        <v>5.9074985613801296E-3</v>
      </c>
      <c r="Q2366" s="4">
        <f t="shared" si="149"/>
        <v>-7.3379466494753515E-4</v>
      </c>
      <c r="R2366" s="4">
        <f t="shared" si="149"/>
        <v>-5.3788039813307282E-3</v>
      </c>
      <c r="S2366" s="4">
        <f t="shared" si="149"/>
        <v>9.7453843260004308E-3</v>
      </c>
      <c r="T2366" s="4">
        <f t="shared" si="149"/>
        <v>5.2697172677607911E-3</v>
      </c>
      <c r="U2366" s="35"/>
      <c r="V2366" s="35"/>
      <c r="W2366" s="35"/>
      <c r="X2366" s="35"/>
    </row>
    <row r="2367" spans="4:24" x14ac:dyDescent="0.3">
      <c r="D2367" s="23">
        <v>43014</v>
      </c>
      <c r="E2367" s="5">
        <v>228.170197</v>
      </c>
      <c r="F2367" s="28">
        <v>68.351950000000002</v>
      </c>
      <c r="G2367" s="28">
        <v>121.09</v>
      </c>
      <c r="H2367" s="28">
        <v>141.19890000000001</v>
      </c>
      <c r="I2367" s="28">
        <v>117.6356</v>
      </c>
      <c r="J2367" s="29"/>
      <c r="K2367" s="29"/>
      <c r="L2367" s="29"/>
      <c r="M2367" s="29"/>
      <c r="N2367" s="29"/>
      <c r="P2367" s="4">
        <f t="shared" si="149"/>
        <v>-1.1396263810572399E-3</v>
      </c>
      <c r="Q2367" s="4">
        <f t="shared" si="149"/>
        <v>-1.1014831362373555E-3</v>
      </c>
      <c r="R2367" s="4">
        <f t="shared" si="149"/>
        <v>4.7183565041744252E-3</v>
      </c>
      <c r="S2367" s="4">
        <f t="shared" si="149"/>
        <v>1.3550358443462666E-3</v>
      </c>
      <c r="T2367" s="4">
        <f t="shared" si="149"/>
        <v>-6.8578161606304335E-4</v>
      </c>
      <c r="U2367" s="35"/>
      <c r="V2367" s="35"/>
      <c r="W2367" s="35"/>
      <c r="X2367" s="35"/>
    </row>
    <row r="2368" spans="4:24" x14ac:dyDescent="0.3">
      <c r="D2368" s="23">
        <v>43017</v>
      </c>
      <c r="E2368" s="5">
        <v>227.79347200000001</v>
      </c>
      <c r="F2368" s="28">
        <v>68.418909999999997</v>
      </c>
      <c r="G2368" s="28">
        <v>122.08</v>
      </c>
      <c r="H2368" s="28">
        <v>141.03630000000001</v>
      </c>
      <c r="I2368" s="28">
        <v>117.4025</v>
      </c>
      <c r="J2368" s="29"/>
      <c r="K2368" s="29"/>
      <c r="L2368" s="29"/>
      <c r="M2368" s="29"/>
      <c r="N2368" s="29"/>
      <c r="P2368" s="4">
        <f t="shared" si="149"/>
        <v>-1.6524346623848891E-3</v>
      </c>
      <c r="Q2368" s="4">
        <f t="shared" si="149"/>
        <v>9.7915601831853063E-4</v>
      </c>
      <c r="R2368" s="4">
        <f t="shared" si="149"/>
        <v>8.1424967698719708E-3</v>
      </c>
      <c r="S2368" s="4">
        <f t="shared" si="149"/>
        <v>-1.1522306075886339E-3</v>
      </c>
      <c r="T2368" s="4">
        <f t="shared" si="149"/>
        <v>-1.9835088560017223E-3</v>
      </c>
      <c r="U2368" s="35"/>
      <c r="V2368" s="35"/>
      <c r="W2368" s="35"/>
      <c r="X2368" s="35"/>
    </row>
    <row r="2369" spans="4:24" x14ac:dyDescent="0.3">
      <c r="D2369" s="23">
        <v>43018</v>
      </c>
      <c r="E2369" s="5">
        <v>228.39450099999999</v>
      </c>
      <c r="F2369" s="28">
        <v>68.452420000000004</v>
      </c>
      <c r="G2369" s="28">
        <v>122.4</v>
      </c>
      <c r="H2369" s="28">
        <v>141.14150000000001</v>
      </c>
      <c r="I2369" s="28">
        <v>117.68040000000001</v>
      </c>
      <c r="J2369" s="29"/>
      <c r="K2369" s="29"/>
      <c r="L2369" s="29"/>
      <c r="M2369" s="29"/>
      <c r="N2369" s="29"/>
      <c r="P2369" s="4">
        <f t="shared" si="149"/>
        <v>2.6350074238302196E-3</v>
      </c>
      <c r="Q2369" s="4">
        <f t="shared" si="149"/>
        <v>4.8965697446708221E-4</v>
      </c>
      <c r="R2369" s="4">
        <f t="shared" si="149"/>
        <v>2.6178025420788799E-3</v>
      </c>
      <c r="S2369" s="4">
        <f t="shared" si="149"/>
        <v>7.4562920877502931E-4</v>
      </c>
      <c r="T2369" s="4">
        <f t="shared" si="149"/>
        <v>2.3642734494954145E-3</v>
      </c>
      <c r="U2369" s="35"/>
      <c r="V2369" s="35"/>
      <c r="W2369" s="35"/>
      <c r="X2369" s="35"/>
    </row>
    <row r="2370" spans="4:24" x14ac:dyDescent="0.3">
      <c r="D2370" s="23">
        <v>43019</v>
      </c>
      <c r="E2370" s="5">
        <v>228.753311</v>
      </c>
      <c r="F2370" s="28">
        <v>68.485879999999995</v>
      </c>
      <c r="G2370" s="28">
        <v>122.79</v>
      </c>
      <c r="H2370" s="28">
        <v>141.56219999999999</v>
      </c>
      <c r="I2370" s="28">
        <v>117.84180000000001</v>
      </c>
      <c r="J2370" s="29"/>
      <c r="K2370" s="29"/>
      <c r="L2370" s="29"/>
      <c r="M2370" s="29"/>
      <c r="N2370" s="29"/>
      <c r="P2370" s="4">
        <f t="shared" si="149"/>
        <v>1.5697770579361356E-3</v>
      </c>
      <c r="Q2370" s="4">
        <f t="shared" si="149"/>
        <v>4.8868725062152778E-4</v>
      </c>
      <c r="R2370" s="4">
        <f t="shared" si="149"/>
        <v>3.181209094195607E-3</v>
      </c>
      <c r="S2370" s="4">
        <f t="shared" si="149"/>
        <v>2.9762632080984762E-3</v>
      </c>
      <c r="T2370" s="4">
        <f t="shared" si="149"/>
        <v>1.3705716511255939E-3</v>
      </c>
      <c r="U2370" s="35"/>
      <c r="V2370" s="35"/>
      <c r="W2370" s="35"/>
      <c r="X2370" s="35"/>
    </row>
    <row r="2371" spans="4:24" x14ac:dyDescent="0.3">
      <c r="D2371" s="23">
        <v>43020</v>
      </c>
      <c r="E2371" s="5">
        <v>228.41244499999999</v>
      </c>
      <c r="F2371" s="28">
        <v>68.544479999999993</v>
      </c>
      <c r="G2371" s="28">
        <v>122.89</v>
      </c>
      <c r="H2371" s="28">
        <v>141.30410000000001</v>
      </c>
      <c r="I2371" s="28">
        <v>117.69840000000001</v>
      </c>
      <c r="J2371" s="29"/>
      <c r="K2371" s="29"/>
      <c r="L2371" s="29"/>
      <c r="M2371" s="29"/>
      <c r="N2371" s="29"/>
      <c r="P2371" s="4">
        <f t="shared" si="149"/>
        <v>-1.491214329560948E-3</v>
      </c>
      <c r="Q2371" s="4">
        <f t="shared" si="149"/>
        <v>8.5528496856042619E-4</v>
      </c>
      <c r="R2371" s="4">
        <f t="shared" si="149"/>
        <v>8.1406712408444619E-4</v>
      </c>
      <c r="S2371" s="4">
        <f t="shared" si="149"/>
        <v>-1.8248909228678581E-3</v>
      </c>
      <c r="T2371" s="4">
        <f t="shared" si="149"/>
        <v>-1.2176266957168928E-3</v>
      </c>
      <c r="U2371" s="35"/>
      <c r="V2371" s="35"/>
      <c r="W2371" s="35"/>
      <c r="X2371" s="35"/>
    </row>
    <row r="2372" spans="4:24" x14ac:dyDescent="0.3">
      <c r="D2372" s="23">
        <v>43021</v>
      </c>
      <c r="E2372" s="5">
        <v>228.69047499999999</v>
      </c>
      <c r="F2372" s="28">
        <v>68.686819999999997</v>
      </c>
      <c r="G2372" s="28">
        <v>123.82</v>
      </c>
      <c r="H2372" s="28">
        <v>141.8492</v>
      </c>
      <c r="I2372" s="28">
        <v>117.788</v>
      </c>
      <c r="J2372" s="29"/>
      <c r="K2372" s="29"/>
      <c r="L2372" s="29"/>
      <c r="M2372" s="29"/>
      <c r="N2372" s="29"/>
      <c r="P2372" s="4">
        <f t="shared" si="149"/>
        <v>1.2164876754088793E-3</v>
      </c>
      <c r="Q2372" s="4">
        <f t="shared" si="149"/>
        <v>2.0744546039430278E-3</v>
      </c>
      <c r="R2372" s="4">
        <f t="shared" si="149"/>
        <v>7.5392517945801259E-3</v>
      </c>
      <c r="S2372" s="4">
        <f t="shared" si="149"/>
        <v>3.8502159317050063E-3</v>
      </c>
      <c r="T2372" s="4">
        <f t="shared" si="149"/>
        <v>7.6097816539594579E-4</v>
      </c>
      <c r="U2372" s="35"/>
      <c r="V2372" s="35"/>
      <c r="W2372" s="35"/>
      <c r="X2372" s="35"/>
    </row>
    <row r="2373" spans="4:24" x14ac:dyDescent="0.3">
      <c r="D2373" s="23">
        <v>43024</v>
      </c>
      <c r="E2373" s="5">
        <v>228.995499</v>
      </c>
      <c r="F2373" s="28">
        <v>68.61985</v>
      </c>
      <c r="G2373" s="28">
        <v>122.97</v>
      </c>
      <c r="H2373" s="28">
        <v>142.33680000000001</v>
      </c>
      <c r="I2373" s="28">
        <v>117.8687</v>
      </c>
      <c r="J2373" s="29"/>
      <c r="K2373" s="29"/>
      <c r="L2373" s="29"/>
      <c r="M2373" s="29"/>
      <c r="N2373" s="29"/>
      <c r="P2373" s="4">
        <f t="shared" ref="P2373:T2388" si="150">LN(E2373/E2372)</f>
        <v>1.3328966255764859E-3</v>
      </c>
      <c r="Q2373" s="4">
        <f t="shared" si="150"/>
        <v>-9.7548072953057628E-4</v>
      </c>
      <c r="R2373" s="4">
        <f t="shared" si="150"/>
        <v>-6.88847490673016E-3</v>
      </c>
      <c r="S2373" s="4">
        <f t="shared" si="150"/>
        <v>3.431558757163498E-3</v>
      </c>
      <c r="T2373" s="4">
        <f t="shared" si="150"/>
        <v>6.8489462132467803E-4</v>
      </c>
      <c r="U2373" s="35"/>
      <c r="V2373" s="35"/>
      <c r="W2373" s="35"/>
      <c r="X2373" s="35"/>
    </row>
    <row r="2374" spans="4:24" x14ac:dyDescent="0.3">
      <c r="D2374" s="23">
        <v>43025</v>
      </c>
      <c r="E2374" s="5">
        <v>229.156937</v>
      </c>
      <c r="F2374" s="28">
        <v>68.628209999999996</v>
      </c>
      <c r="G2374" s="28">
        <v>122.13</v>
      </c>
      <c r="H2374" s="28">
        <v>142.51849999999999</v>
      </c>
      <c r="I2374" s="28">
        <v>117.9225</v>
      </c>
      <c r="J2374" s="29"/>
      <c r="K2374" s="29"/>
      <c r="L2374" s="29"/>
      <c r="M2374" s="29"/>
      <c r="N2374" s="29"/>
      <c r="P2374" s="4">
        <f t="shared" si="150"/>
        <v>7.04734904788564E-4</v>
      </c>
      <c r="Q2374" s="4">
        <f t="shared" si="150"/>
        <v>1.2182321572102924E-4</v>
      </c>
      <c r="R2374" s="4">
        <f t="shared" si="150"/>
        <v>-6.8543720013587604E-3</v>
      </c>
      <c r="S2374" s="4">
        <f t="shared" si="150"/>
        <v>1.2757356078195896E-3</v>
      </c>
      <c r="T2374" s="4">
        <f t="shared" si="150"/>
        <v>4.5633595260220636E-4</v>
      </c>
      <c r="U2374" s="35"/>
      <c r="V2374" s="35"/>
      <c r="W2374" s="35"/>
      <c r="X2374" s="35"/>
    </row>
    <row r="2375" spans="4:24" x14ac:dyDescent="0.3">
      <c r="D2375" s="23">
        <v>43026</v>
      </c>
      <c r="E2375" s="5">
        <v>229.38121000000001</v>
      </c>
      <c r="F2375" s="28">
        <v>68.519360000000006</v>
      </c>
      <c r="G2375" s="28">
        <v>121.67</v>
      </c>
      <c r="H2375" s="28">
        <v>142.34630000000001</v>
      </c>
      <c r="I2375" s="28">
        <v>118.075</v>
      </c>
      <c r="J2375" s="29"/>
      <c r="K2375" s="29"/>
      <c r="L2375" s="29"/>
      <c r="M2375" s="29"/>
      <c r="N2375" s="29"/>
      <c r="P2375" s="4">
        <f t="shared" si="150"/>
        <v>9.7820876780296676E-4</v>
      </c>
      <c r="Q2375" s="4">
        <f t="shared" si="150"/>
        <v>-1.5873416183071669E-3</v>
      </c>
      <c r="R2375" s="4">
        <f t="shared" si="150"/>
        <v>-3.7735893836393797E-3</v>
      </c>
      <c r="S2375" s="4">
        <f t="shared" si="150"/>
        <v>-1.2089947299555339E-3</v>
      </c>
      <c r="T2375" s="4">
        <f t="shared" si="150"/>
        <v>1.2923867517771138E-3</v>
      </c>
      <c r="U2375" s="35"/>
      <c r="V2375" s="35"/>
      <c r="W2375" s="35"/>
      <c r="X2375" s="35"/>
    </row>
    <row r="2376" spans="4:24" x14ac:dyDescent="0.3">
      <c r="D2376" s="23">
        <v>43027</v>
      </c>
      <c r="E2376" s="5">
        <v>229.44399999999999</v>
      </c>
      <c r="F2376" s="28">
        <v>68.552859999999995</v>
      </c>
      <c r="G2376" s="28">
        <v>122.39</v>
      </c>
      <c r="H2376" s="28">
        <v>141.82050000000001</v>
      </c>
      <c r="I2376" s="28">
        <v>118.1019</v>
      </c>
      <c r="J2376" s="29"/>
      <c r="K2376" s="29"/>
      <c r="L2376" s="29"/>
      <c r="M2376" s="29"/>
      <c r="N2376" s="29"/>
      <c r="P2376" s="4">
        <f t="shared" si="150"/>
        <v>2.7369899919812524E-4</v>
      </c>
      <c r="Q2376" s="4">
        <f t="shared" si="150"/>
        <v>4.8879343556218523E-4</v>
      </c>
      <c r="R2376" s="4">
        <f t="shared" si="150"/>
        <v>5.9002055948894332E-3</v>
      </c>
      <c r="S2376" s="4">
        <f t="shared" si="150"/>
        <v>-3.7006476482126121E-3</v>
      </c>
      <c r="T2376" s="4">
        <f t="shared" si="150"/>
        <v>2.2779535268953723E-4</v>
      </c>
      <c r="U2376" s="35"/>
      <c r="V2376" s="35"/>
      <c r="W2376" s="35"/>
      <c r="X2376" s="35"/>
    </row>
    <row r="2377" spans="4:24" x14ac:dyDescent="0.3">
      <c r="D2377" s="23">
        <v>43028</v>
      </c>
      <c r="E2377" s="5">
        <v>230.628052</v>
      </c>
      <c r="F2377" s="28">
        <v>68.385429999999999</v>
      </c>
      <c r="G2377" s="28">
        <v>121.61</v>
      </c>
      <c r="H2377" s="28">
        <v>142.203</v>
      </c>
      <c r="I2377" s="28">
        <v>118.7385</v>
      </c>
      <c r="J2377" s="29"/>
      <c r="K2377" s="29"/>
      <c r="L2377" s="29"/>
      <c r="M2377" s="29"/>
      <c r="N2377" s="29"/>
      <c r="P2377" s="4">
        <f t="shared" si="150"/>
        <v>5.1472573005315742E-3</v>
      </c>
      <c r="Q2377" s="4">
        <f t="shared" si="150"/>
        <v>-2.4453362668882053E-3</v>
      </c>
      <c r="R2377" s="4">
        <f t="shared" si="150"/>
        <v>-6.3934644013389245E-3</v>
      </c>
      <c r="S2377" s="4">
        <f t="shared" si="150"/>
        <v>2.6934407275529008E-3</v>
      </c>
      <c r="T2377" s="4">
        <f t="shared" si="150"/>
        <v>5.3757849851175038E-3</v>
      </c>
      <c r="U2377" s="35"/>
      <c r="V2377" s="35"/>
      <c r="W2377" s="35"/>
      <c r="X2377" s="35"/>
    </row>
    <row r="2378" spans="4:24" x14ac:dyDescent="0.3">
      <c r="D2378" s="23">
        <v>43031</v>
      </c>
      <c r="E2378" s="5">
        <v>229.731033</v>
      </c>
      <c r="F2378" s="28">
        <v>68.444029999999998</v>
      </c>
      <c r="G2378" s="28">
        <v>121.8</v>
      </c>
      <c r="H2378" s="28">
        <v>141.27539999999999</v>
      </c>
      <c r="I2378" s="28">
        <v>118.2364</v>
      </c>
      <c r="J2378" s="29"/>
      <c r="K2378" s="29"/>
      <c r="L2378" s="29"/>
      <c r="M2378" s="29"/>
      <c r="N2378" s="29"/>
      <c r="P2378" s="4">
        <f t="shared" si="150"/>
        <v>-3.8970454346491197E-3</v>
      </c>
      <c r="Q2378" s="4">
        <f t="shared" si="150"/>
        <v>8.5654074177758557E-4</v>
      </c>
      <c r="R2378" s="4">
        <f t="shared" si="150"/>
        <v>1.561152282888535E-3</v>
      </c>
      <c r="S2378" s="4">
        <f t="shared" si="150"/>
        <v>-6.5444373238339416E-3</v>
      </c>
      <c r="T2378" s="4">
        <f t="shared" si="150"/>
        <v>-4.237585932993E-3</v>
      </c>
      <c r="U2378" s="35"/>
      <c r="V2378" s="35"/>
      <c r="W2378" s="35"/>
      <c r="X2378" s="35"/>
    </row>
    <row r="2379" spans="4:24" x14ac:dyDescent="0.3">
      <c r="D2379" s="23">
        <v>43032</v>
      </c>
      <c r="E2379" s="5">
        <v>230.13464400000001</v>
      </c>
      <c r="F2379" s="28">
        <v>68.326809999999995</v>
      </c>
      <c r="G2379" s="28">
        <v>121.33</v>
      </c>
      <c r="H2379" s="28">
        <v>141.51439999999999</v>
      </c>
      <c r="I2379" s="28">
        <v>118.4426</v>
      </c>
      <c r="J2379" s="29"/>
      <c r="K2379" s="29"/>
      <c r="L2379" s="29"/>
      <c r="M2379" s="29"/>
      <c r="N2379" s="29"/>
      <c r="P2379" s="4">
        <f t="shared" si="150"/>
        <v>1.7553434571063588E-3</v>
      </c>
      <c r="Q2379" s="4">
        <f t="shared" si="150"/>
        <v>-1.7141084854199358E-3</v>
      </c>
      <c r="R2379" s="4">
        <f t="shared" si="150"/>
        <v>-3.8662492120149811E-3</v>
      </c>
      <c r="S2379" s="4">
        <f t="shared" si="150"/>
        <v>1.6903018206760531E-3</v>
      </c>
      <c r="T2379" s="4">
        <f t="shared" si="150"/>
        <v>1.7424448486816149E-3</v>
      </c>
      <c r="U2379" s="35"/>
      <c r="V2379" s="35"/>
      <c r="W2379" s="35"/>
      <c r="X2379" s="35"/>
    </row>
    <row r="2380" spans="4:24" x14ac:dyDescent="0.3">
      <c r="D2380" s="23">
        <v>43033</v>
      </c>
      <c r="E2380" s="5">
        <v>228.995499</v>
      </c>
      <c r="F2380" s="28">
        <v>68.268270000000001</v>
      </c>
      <c r="G2380" s="28">
        <v>121.35</v>
      </c>
      <c r="H2380" s="28">
        <v>140.97900000000001</v>
      </c>
      <c r="I2380" s="28">
        <v>117.82389999999999</v>
      </c>
      <c r="J2380" s="29"/>
      <c r="K2380" s="29"/>
      <c r="L2380" s="29"/>
      <c r="M2380" s="29"/>
      <c r="N2380" s="29"/>
      <c r="P2380" s="4">
        <f t="shared" si="150"/>
        <v>-4.9621979947785206E-3</v>
      </c>
      <c r="Q2380" s="4">
        <f t="shared" si="150"/>
        <v>-8.5713194917389597E-4</v>
      </c>
      <c r="R2380" s="4">
        <f t="shared" si="150"/>
        <v>1.6482610882877046E-4</v>
      </c>
      <c r="S2380" s="4">
        <f t="shared" si="150"/>
        <v>-3.7905355739938128E-3</v>
      </c>
      <c r="T2380" s="4">
        <f t="shared" si="150"/>
        <v>-5.2373181489439712E-3</v>
      </c>
      <c r="U2380" s="35"/>
      <c r="V2380" s="35"/>
      <c r="W2380" s="35"/>
      <c r="X2380" s="35"/>
    </row>
    <row r="2381" spans="4:24" x14ac:dyDescent="0.3">
      <c r="D2381" s="23">
        <v>43034</v>
      </c>
      <c r="E2381" s="5">
        <v>229.291504</v>
      </c>
      <c r="F2381" s="28">
        <v>68.1845</v>
      </c>
      <c r="G2381" s="28">
        <v>120.33</v>
      </c>
      <c r="H2381" s="28">
        <v>140.52959999999999</v>
      </c>
      <c r="I2381" s="28">
        <v>117.97629999999999</v>
      </c>
      <c r="J2381" s="29"/>
      <c r="K2381" s="29"/>
      <c r="L2381" s="29"/>
      <c r="M2381" s="29"/>
      <c r="N2381" s="29"/>
      <c r="P2381" s="4">
        <f t="shared" si="150"/>
        <v>1.2917889410991299E-3</v>
      </c>
      <c r="Q2381" s="4">
        <f t="shared" si="150"/>
        <v>-1.2278242577849561E-3</v>
      </c>
      <c r="R2381" s="4">
        <f t="shared" si="150"/>
        <v>-8.4409637225391441E-3</v>
      </c>
      <c r="S2381" s="4">
        <f t="shared" si="150"/>
        <v>-3.1928003745838856E-3</v>
      </c>
      <c r="T2381" s="4">
        <f t="shared" si="150"/>
        <v>1.2926199487532882E-3</v>
      </c>
      <c r="U2381" s="35"/>
      <c r="V2381" s="35"/>
      <c r="W2381" s="35"/>
      <c r="X2381" s="35"/>
    </row>
    <row r="2382" spans="4:24" x14ac:dyDescent="0.3">
      <c r="D2382" s="23">
        <v>43035</v>
      </c>
      <c r="E2382" s="5">
        <v>231.166214</v>
      </c>
      <c r="F2382" s="28">
        <v>68.335220000000007</v>
      </c>
      <c r="G2382" s="28">
        <v>120.9</v>
      </c>
      <c r="H2382" s="28">
        <v>144.62219999999999</v>
      </c>
      <c r="I2382" s="28">
        <v>118.9358</v>
      </c>
      <c r="J2382" s="29"/>
      <c r="K2382" s="29"/>
      <c r="L2382" s="29"/>
      <c r="M2382" s="29"/>
      <c r="N2382" s="29"/>
      <c r="P2382" s="4">
        <f t="shared" si="150"/>
        <v>8.1428556213881224E-3</v>
      </c>
      <c r="Q2382" s="4">
        <f t="shared" si="150"/>
        <v>2.2080335534701385E-3</v>
      </c>
      <c r="R2382" s="4">
        <f t="shared" si="150"/>
        <v>4.7257891706759094E-3</v>
      </c>
      <c r="S2382" s="4">
        <f t="shared" si="150"/>
        <v>2.8706682170280322E-2</v>
      </c>
      <c r="T2382" s="4">
        <f t="shared" si="150"/>
        <v>8.1000948975036256E-3</v>
      </c>
      <c r="U2382" s="35"/>
      <c r="V2382" s="35"/>
      <c r="W2382" s="35"/>
      <c r="X2382" s="35"/>
    </row>
    <row r="2383" spans="4:24" x14ac:dyDescent="0.3">
      <c r="D2383" s="23">
        <v>43038</v>
      </c>
      <c r="E2383" s="5">
        <v>230.30514500000001</v>
      </c>
      <c r="F2383" s="28">
        <v>68.494249999999994</v>
      </c>
      <c r="G2383" s="28">
        <v>121.13</v>
      </c>
      <c r="H2383" s="28">
        <v>144.94739999999999</v>
      </c>
      <c r="I2383" s="28">
        <v>118.4157</v>
      </c>
      <c r="J2383" s="29"/>
      <c r="K2383" s="29"/>
      <c r="L2383" s="29"/>
      <c r="M2383" s="29"/>
      <c r="N2383" s="29"/>
      <c r="P2383" s="4">
        <f t="shared" si="150"/>
        <v>-3.7318458991023708E-3</v>
      </c>
      <c r="Q2383" s="4">
        <f t="shared" si="150"/>
        <v>2.3245002937925413E-3</v>
      </c>
      <c r="R2383" s="4">
        <f t="shared" si="150"/>
        <v>1.9005914079636417E-3</v>
      </c>
      <c r="S2383" s="4">
        <f t="shared" si="150"/>
        <v>2.2460930755004087E-3</v>
      </c>
      <c r="T2383" s="4">
        <f t="shared" si="150"/>
        <v>-4.3825367225150246E-3</v>
      </c>
      <c r="U2383" s="35"/>
      <c r="V2383" s="35"/>
      <c r="W2383" s="35"/>
      <c r="X2383" s="35"/>
    </row>
    <row r="2384" spans="4:24" x14ac:dyDescent="0.3">
      <c r="D2384" s="23">
        <v>43039</v>
      </c>
      <c r="E2384" s="5">
        <v>230.66394</v>
      </c>
      <c r="F2384" s="28">
        <v>68.452420000000004</v>
      </c>
      <c r="G2384" s="28">
        <v>120.67</v>
      </c>
      <c r="H2384" s="28">
        <v>145.4924</v>
      </c>
      <c r="I2384" s="28">
        <v>118.65779999999999</v>
      </c>
      <c r="J2384" s="29"/>
      <c r="K2384" s="29"/>
      <c r="L2384" s="29"/>
      <c r="M2384" s="29"/>
      <c r="N2384" s="29"/>
      <c r="P2384" s="4">
        <f t="shared" si="150"/>
        <v>1.5566990678171626E-3</v>
      </c>
      <c r="Q2384" s="4">
        <f t="shared" si="150"/>
        <v>-6.1089475634383355E-4</v>
      </c>
      <c r="R2384" s="4">
        <f t="shared" si="150"/>
        <v>-3.8048019432013916E-3</v>
      </c>
      <c r="S2384" s="4">
        <f t="shared" si="150"/>
        <v>3.7529335832856259E-3</v>
      </c>
      <c r="T2384" s="4">
        <f t="shared" si="150"/>
        <v>2.0424052807114976E-3</v>
      </c>
      <c r="U2384" s="35"/>
      <c r="V2384" s="35"/>
      <c r="W2384" s="35"/>
      <c r="X2384" s="35"/>
    </row>
    <row r="2385" spans="4:24" x14ac:dyDescent="0.3">
      <c r="D2385" s="23">
        <v>43040</v>
      </c>
      <c r="E2385" s="5">
        <v>230.968872</v>
      </c>
      <c r="F2385" s="28">
        <v>68.496859999999998</v>
      </c>
      <c r="G2385" s="28">
        <v>121.11</v>
      </c>
      <c r="H2385" s="28">
        <v>145.44460000000001</v>
      </c>
      <c r="I2385" s="28">
        <v>118.7565</v>
      </c>
      <c r="J2385" s="29"/>
      <c r="K2385" s="29"/>
      <c r="L2385" s="29"/>
      <c r="M2385" s="29"/>
      <c r="N2385" s="29"/>
      <c r="P2385" s="4">
        <f t="shared" si="150"/>
        <v>1.3211021245607909E-3</v>
      </c>
      <c r="Q2385" s="4">
        <f t="shared" si="150"/>
        <v>6.4899941876066811E-4</v>
      </c>
      <c r="R2385" s="4">
        <f t="shared" si="150"/>
        <v>3.6396764474497336E-3</v>
      </c>
      <c r="S2385" s="4">
        <f t="shared" si="150"/>
        <v>-3.2859347852001123E-4</v>
      </c>
      <c r="T2385" s="4">
        <f t="shared" si="150"/>
        <v>8.3145796766358161E-4</v>
      </c>
      <c r="U2385" s="35"/>
      <c r="V2385" s="35"/>
      <c r="W2385" s="35"/>
      <c r="X2385" s="35"/>
    </row>
    <row r="2386" spans="4:24" x14ac:dyDescent="0.3">
      <c r="D2386" s="23">
        <v>43041</v>
      </c>
      <c r="E2386" s="5">
        <v>231.05857800000001</v>
      </c>
      <c r="F2386" s="28">
        <v>68.563980000000001</v>
      </c>
      <c r="G2386" s="28">
        <v>121.19</v>
      </c>
      <c r="H2386" s="28">
        <v>145.16730000000001</v>
      </c>
      <c r="I2386" s="28">
        <v>118.7834</v>
      </c>
      <c r="J2386" s="29"/>
      <c r="K2386" s="29"/>
      <c r="L2386" s="29"/>
      <c r="M2386" s="29"/>
      <c r="N2386" s="29"/>
      <c r="P2386" s="4">
        <f t="shared" si="150"/>
        <v>3.8831459527874986E-4</v>
      </c>
      <c r="Q2386" s="4">
        <f t="shared" si="150"/>
        <v>9.7941914503778325E-4</v>
      </c>
      <c r="R2386" s="4">
        <f t="shared" si="150"/>
        <v>6.6033844743683802E-4</v>
      </c>
      <c r="S2386" s="4">
        <f t="shared" si="150"/>
        <v>-1.9083876755166243E-3</v>
      </c>
      <c r="T2386" s="4">
        <f t="shared" si="150"/>
        <v>2.2648826672895734E-4</v>
      </c>
      <c r="U2386" s="35"/>
      <c r="V2386" s="35"/>
      <c r="W2386" s="35"/>
      <c r="X2386" s="35"/>
    </row>
    <row r="2387" spans="4:24" x14ac:dyDescent="0.3">
      <c r="D2387" s="23">
        <v>43042</v>
      </c>
      <c r="E2387" s="5">
        <v>231.83004800000001</v>
      </c>
      <c r="F2387" s="28">
        <v>68.622699999999995</v>
      </c>
      <c r="G2387" s="28">
        <v>120.62</v>
      </c>
      <c r="H2387" s="28">
        <v>146.5634</v>
      </c>
      <c r="I2387" s="28">
        <v>119.0972</v>
      </c>
      <c r="J2387" s="29"/>
      <c r="K2387" s="29"/>
      <c r="L2387" s="29"/>
      <c r="M2387" s="29"/>
      <c r="N2387" s="29"/>
      <c r="P2387" s="4">
        <f t="shared" si="150"/>
        <v>3.3332887047642853E-3</v>
      </c>
      <c r="Q2387" s="4">
        <f t="shared" si="150"/>
        <v>8.5605983884178656E-4</v>
      </c>
      <c r="R2387" s="4">
        <f t="shared" si="150"/>
        <v>-4.7144539575552221E-3</v>
      </c>
      <c r="S2387" s="4">
        <f t="shared" si="150"/>
        <v>9.5712289303824354E-3</v>
      </c>
      <c r="T2387" s="4">
        <f t="shared" si="150"/>
        <v>2.6382999035681042E-3</v>
      </c>
      <c r="U2387" s="35"/>
      <c r="V2387" s="35"/>
      <c r="W2387" s="35"/>
      <c r="X2387" s="35"/>
    </row>
    <row r="2388" spans="4:24" x14ac:dyDescent="0.3">
      <c r="D2388" s="23">
        <v>43045</v>
      </c>
      <c r="E2388" s="5">
        <v>232.18881200000001</v>
      </c>
      <c r="F2388" s="28">
        <v>68.67304</v>
      </c>
      <c r="G2388" s="28">
        <v>121.65</v>
      </c>
      <c r="H2388" s="28">
        <v>147.0607</v>
      </c>
      <c r="I2388" s="28">
        <v>119.32129999999999</v>
      </c>
      <c r="J2388" s="29"/>
      <c r="K2388" s="29"/>
      <c r="L2388" s="29"/>
      <c r="M2388" s="29"/>
      <c r="N2388" s="29"/>
      <c r="P2388" s="4">
        <f t="shared" si="150"/>
        <v>1.5463340067177079E-3</v>
      </c>
      <c r="Q2388" s="4">
        <f t="shared" si="150"/>
        <v>7.3330756301433827E-4</v>
      </c>
      <c r="R2388" s="4">
        <f t="shared" si="150"/>
        <v>8.5029612066908084E-3</v>
      </c>
      <c r="S2388" s="4">
        <f t="shared" si="150"/>
        <v>3.3873273719768854E-3</v>
      </c>
      <c r="T2388" s="4">
        <f t="shared" si="150"/>
        <v>1.8798882301253178E-3</v>
      </c>
      <c r="U2388" s="35"/>
      <c r="V2388" s="35"/>
      <c r="W2388" s="35"/>
      <c r="X2388" s="35"/>
    </row>
    <row r="2389" spans="4:24" x14ac:dyDescent="0.3">
      <c r="D2389" s="23">
        <v>43046</v>
      </c>
      <c r="E2389" s="5">
        <v>232.02737400000001</v>
      </c>
      <c r="F2389" s="28">
        <v>68.698210000000003</v>
      </c>
      <c r="G2389" s="28">
        <v>121.21</v>
      </c>
      <c r="H2389" s="28">
        <v>147.14670000000001</v>
      </c>
      <c r="I2389" s="28">
        <v>119.1151</v>
      </c>
      <c r="J2389" s="29"/>
      <c r="K2389" s="29"/>
      <c r="L2389" s="29"/>
      <c r="M2389" s="29"/>
      <c r="N2389" s="29"/>
      <c r="P2389" s="4">
        <f t="shared" ref="P2389:T2404" si="151">LN(E2389/E2388)</f>
        <v>-6.9552941658144638E-4</v>
      </c>
      <c r="Q2389" s="4">
        <f t="shared" si="151"/>
        <v>3.6645222754656115E-4</v>
      </c>
      <c r="R2389" s="4">
        <f t="shared" si="151"/>
        <v>-3.6234907471110931E-3</v>
      </c>
      <c r="S2389" s="4">
        <f t="shared" si="151"/>
        <v>5.8462161352472886E-4</v>
      </c>
      <c r="T2389" s="4">
        <f t="shared" si="151"/>
        <v>-1.7296021195114654E-3</v>
      </c>
      <c r="U2389" s="35"/>
      <c r="V2389" s="35"/>
      <c r="W2389" s="35"/>
      <c r="X2389" s="35"/>
    </row>
    <row r="2390" spans="4:24" x14ac:dyDescent="0.3">
      <c r="D2390" s="23">
        <v>43047</v>
      </c>
      <c r="E2390" s="5">
        <v>232.421997</v>
      </c>
      <c r="F2390" s="28">
        <v>68.647869999999998</v>
      </c>
      <c r="G2390" s="28">
        <v>121.63</v>
      </c>
      <c r="H2390" s="28">
        <v>147.7396</v>
      </c>
      <c r="I2390" s="28">
        <v>119.3124</v>
      </c>
      <c r="J2390" s="29"/>
      <c r="K2390" s="29"/>
      <c r="L2390" s="29"/>
      <c r="M2390" s="29"/>
      <c r="N2390" s="29"/>
      <c r="P2390" s="4">
        <f t="shared" si="151"/>
        <v>1.6993158763989337E-3</v>
      </c>
      <c r="Q2390" s="4">
        <f t="shared" si="151"/>
        <v>-7.3303879155742202E-4</v>
      </c>
      <c r="R2390" s="4">
        <f t="shared" si="151"/>
        <v>3.4590711479243223E-3</v>
      </c>
      <c r="S2390" s="4">
        <f t="shared" si="151"/>
        <v>4.021216305684177E-3</v>
      </c>
      <c r="T2390" s="4">
        <f t="shared" si="151"/>
        <v>1.655010810705314E-3</v>
      </c>
      <c r="U2390" s="35"/>
      <c r="V2390" s="35"/>
      <c r="W2390" s="35"/>
      <c r="X2390" s="35"/>
    </row>
    <row r="2391" spans="4:24" x14ac:dyDescent="0.3">
      <c r="D2391" s="23">
        <v>43048</v>
      </c>
      <c r="E2391" s="5">
        <v>231.578903</v>
      </c>
      <c r="F2391" s="28">
        <v>68.580740000000006</v>
      </c>
      <c r="G2391" s="28">
        <v>122.13</v>
      </c>
      <c r="H2391" s="28">
        <v>146.96510000000001</v>
      </c>
      <c r="I2391" s="28">
        <v>118.8282</v>
      </c>
      <c r="J2391" s="29"/>
      <c r="K2391" s="29"/>
      <c r="L2391" s="29"/>
      <c r="M2391" s="29"/>
      <c r="N2391" s="29"/>
      <c r="P2391" s="4">
        <f t="shared" si="151"/>
        <v>-3.6340228125993474E-3</v>
      </c>
      <c r="Q2391" s="4">
        <f t="shared" si="151"/>
        <v>-9.7836748990960155E-4</v>
      </c>
      <c r="R2391" s="4">
        <f t="shared" si="151"/>
        <v>4.1024015526520182E-3</v>
      </c>
      <c r="S2391" s="4">
        <f t="shared" si="151"/>
        <v>-5.2561210125214291E-3</v>
      </c>
      <c r="T2391" s="4">
        <f t="shared" si="151"/>
        <v>-4.0665108532355341E-3</v>
      </c>
      <c r="U2391" s="35"/>
      <c r="V2391" s="35"/>
      <c r="W2391" s="35"/>
      <c r="X2391" s="35"/>
    </row>
    <row r="2392" spans="4:24" x14ac:dyDescent="0.3">
      <c r="D2392" s="23">
        <v>43049</v>
      </c>
      <c r="E2392" s="5">
        <v>231.50711100000001</v>
      </c>
      <c r="F2392" s="28">
        <v>68.303889999999996</v>
      </c>
      <c r="G2392" s="28">
        <v>121.13</v>
      </c>
      <c r="H2392" s="28">
        <v>146.9555</v>
      </c>
      <c r="I2392" s="28">
        <v>118.84610000000001</v>
      </c>
      <c r="J2392" s="29"/>
      <c r="K2392" s="29"/>
      <c r="L2392" s="29"/>
      <c r="M2392" s="29"/>
      <c r="N2392" s="29"/>
      <c r="P2392" s="4">
        <f t="shared" si="151"/>
        <v>-3.1005903182013985E-4</v>
      </c>
      <c r="Q2392" s="4">
        <f t="shared" si="151"/>
        <v>-4.0450177275383982E-3</v>
      </c>
      <c r="R2392" s="4">
        <f t="shared" si="151"/>
        <v>-8.2217021542863745E-3</v>
      </c>
      <c r="S2392" s="4">
        <f t="shared" si="151"/>
        <v>-6.5323764332403058E-5</v>
      </c>
      <c r="T2392" s="4">
        <f t="shared" si="151"/>
        <v>1.5062629854267886E-4</v>
      </c>
      <c r="U2392" s="35"/>
      <c r="V2392" s="35"/>
      <c r="W2392" s="35"/>
      <c r="X2392" s="35"/>
    </row>
    <row r="2393" spans="4:24" x14ac:dyDescent="0.3">
      <c r="D2393" s="23">
        <v>43052</v>
      </c>
      <c r="E2393" s="5">
        <v>231.722351</v>
      </c>
      <c r="F2393" s="28">
        <v>68.312299999999993</v>
      </c>
      <c r="G2393" s="28">
        <v>121.31</v>
      </c>
      <c r="H2393" s="28">
        <v>147.13720000000001</v>
      </c>
      <c r="I2393" s="28">
        <v>118.9089</v>
      </c>
      <c r="J2393" s="29"/>
      <c r="K2393" s="29"/>
      <c r="L2393" s="29"/>
      <c r="M2393" s="29"/>
      <c r="N2393" s="29"/>
      <c r="P2393" s="4">
        <f t="shared" si="151"/>
        <v>9.2930192548985728E-4</v>
      </c>
      <c r="Q2393" s="4">
        <f t="shared" si="151"/>
        <v>1.231186437072305E-4</v>
      </c>
      <c r="R2393" s="4">
        <f t="shared" si="151"/>
        <v>1.4849037541173435E-3</v>
      </c>
      <c r="S2393" s="4">
        <f t="shared" si="151"/>
        <v>1.2356649663138159E-3</v>
      </c>
      <c r="T2393" s="4">
        <f t="shared" si="151"/>
        <v>5.282749171246808E-4</v>
      </c>
      <c r="U2393" s="35"/>
      <c r="V2393" s="35"/>
      <c r="W2393" s="35"/>
      <c r="X2393" s="35"/>
    </row>
    <row r="2394" spans="4:24" x14ac:dyDescent="0.3">
      <c r="D2394" s="23">
        <v>43053</v>
      </c>
      <c r="E2394" s="5">
        <v>231.184189</v>
      </c>
      <c r="F2394" s="28">
        <v>68.396199999999993</v>
      </c>
      <c r="G2394" s="28">
        <v>121.56</v>
      </c>
      <c r="H2394" s="28">
        <v>146.60169999999999</v>
      </c>
      <c r="I2394" s="28">
        <v>118.69370000000001</v>
      </c>
      <c r="J2394" s="29"/>
      <c r="K2394" s="29"/>
      <c r="L2394" s="29"/>
      <c r="M2394" s="29"/>
      <c r="N2394" s="29"/>
      <c r="P2394" s="4">
        <f t="shared" si="151"/>
        <v>-2.3251442611082408E-3</v>
      </c>
      <c r="Q2394" s="4">
        <f t="shared" si="151"/>
        <v>1.2274293190771494E-3</v>
      </c>
      <c r="R2394" s="4">
        <f t="shared" si="151"/>
        <v>2.0587152657643129E-3</v>
      </c>
      <c r="S2394" s="4">
        <f t="shared" si="151"/>
        <v>-3.6460992619391924E-3</v>
      </c>
      <c r="T2394" s="4">
        <f t="shared" si="151"/>
        <v>-1.8114284847401E-3</v>
      </c>
      <c r="U2394" s="35"/>
      <c r="V2394" s="35"/>
      <c r="W2394" s="35"/>
      <c r="X2394" s="35"/>
    </row>
    <row r="2395" spans="4:24" x14ac:dyDescent="0.3">
      <c r="D2395" s="23">
        <v>43054</v>
      </c>
      <c r="E2395" s="5">
        <v>230.02702300000001</v>
      </c>
      <c r="F2395" s="28">
        <v>68.555570000000003</v>
      </c>
      <c r="G2395" s="28">
        <v>121.41</v>
      </c>
      <c r="H2395" s="28">
        <v>145.91309999999999</v>
      </c>
      <c r="I2395" s="28">
        <v>118.0839</v>
      </c>
      <c r="J2395" s="29"/>
      <c r="K2395" s="29"/>
      <c r="L2395" s="29"/>
      <c r="M2395" s="29"/>
      <c r="N2395" s="29"/>
      <c r="P2395" s="4">
        <f t="shared" si="151"/>
        <v>-5.0179544555657265E-3</v>
      </c>
      <c r="Q2395" s="4">
        <f t="shared" si="151"/>
        <v>2.3273897363848542E-3</v>
      </c>
      <c r="R2395" s="4">
        <f t="shared" si="151"/>
        <v>-1.2347204927084441E-3</v>
      </c>
      <c r="S2395" s="4">
        <f t="shared" si="151"/>
        <v>-4.7081465416139705E-3</v>
      </c>
      <c r="T2395" s="4">
        <f t="shared" si="151"/>
        <v>-5.1508364661379293E-3</v>
      </c>
      <c r="U2395" s="35"/>
      <c r="V2395" s="35"/>
      <c r="W2395" s="35"/>
      <c r="X2395" s="35"/>
    </row>
    <row r="2396" spans="4:24" x14ac:dyDescent="0.3">
      <c r="D2396" s="23">
        <v>43055</v>
      </c>
      <c r="E2396" s="5">
        <v>231.98249799999999</v>
      </c>
      <c r="F2396" s="28">
        <v>68.463300000000004</v>
      </c>
      <c r="G2396" s="28">
        <v>121.4</v>
      </c>
      <c r="H2396" s="28">
        <v>147.77780000000001</v>
      </c>
      <c r="I2396" s="28">
        <v>119.16</v>
      </c>
      <c r="J2396" s="29"/>
      <c r="K2396" s="29"/>
      <c r="L2396" s="29"/>
      <c r="M2396" s="29"/>
      <c r="N2396" s="29"/>
      <c r="P2396" s="4">
        <f t="shared" si="151"/>
        <v>8.4651358394430883E-3</v>
      </c>
      <c r="Q2396" s="4">
        <f t="shared" si="151"/>
        <v>-1.346821995358798E-3</v>
      </c>
      <c r="R2396" s="4">
        <f t="shared" si="151"/>
        <v>-8.2368930485904549E-5</v>
      </c>
      <c r="S2396" s="4">
        <f t="shared" si="151"/>
        <v>1.269855523172494E-2</v>
      </c>
      <c r="T2396" s="4">
        <f t="shared" si="151"/>
        <v>9.0717390830619988E-3</v>
      </c>
      <c r="U2396" s="35"/>
      <c r="V2396" s="35"/>
      <c r="W2396" s="35"/>
      <c r="X2396" s="35"/>
    </row>
    <row r="2397" spans="4:24" x14ac:dyDescent="0.3">
      <c r="D2397" s="23">
        <v>43056</v>
      </c>
      <c r="E2397" s="5">
        <v>231.30075099999999</v>
      </c>
      <c r="F2397" s="28">
        <v>68.530429999999996</v>
      </c>
      <c r="G2397" s="28">
        <v>122.86</v>
      </c>
      <c r="H2397" s="28">
        <v>147.21369999999999</v>
      </c>
      <c r="I2397" s="28">
        <v>118.9358</v>
      </c>
      <c r="J2397" s="29"/>
      <c r="K2397" s="29"/>
      <c r="L2397" s="29"/>
      <c r="M2397" s="29"/>
      <c r="N2397" s="29"/>
      <c r="P2397" s="4">
        <f t="shared" si="151"/>
        <v>-2.9431130677585633E-3</v>
      </c>
      <c r="Q2397" s="4">
        <f t="shared" si="151"/>
        <v>9.8004493159100487E-4</v>
      </c>
      <c r="R2397" s="4">
        <f t="shared" si="151"/>
        <v>1.1954617110383458E-2</v>
      </c>
      <c r="S2397" s="4">
        <f t="shared" si="151"/>
        <v>-3.8245216393634662E-3</v>
      </c>
      <c r="T2397" s="4">
        <f t="shared" si="151"/>
        <v>-1.8832761120919474E-3</v>
      </c>
      <c r="U2397" s="35"/>
      <c r="V2397" s="35"/>
      <c r="W2397" s="35"/>
      <c r="X2397" s="35"/>
    </row>
    <row r="2398" spans="4:24" x14ac:dyDescent="0.3">
      <c r="D2398" s="23">
        <v>43059</v>
      </c>
      <c r="E2398" s="5">
        <v>231.69546500000001</v>
      </c>
      <c r="F2398" s="28">
        <v>68.488460000000003</v>
      </c>
      <c r="G2398" s="28">
        <v>121.31</v>
      </c>
      <c r="H2398" s="28">
        <v>147.09899999999999</v>
      </c>
      <c r="I2398" s="28">
        <v>119.2406</v>
      </c>
      <c r="J2398" s="29"/>
      <c r="K2398" s="29"/>
      <c r="L2398" s="29"/>
      <c r="M2398" s="29"/>
      <c r="N2398" s="29"/>
      <c r="P2398" s="4">
        <f t="shared" si="151"/>
        <v>1.7050424257681806E-3</v>
      </c>
      <c r="Q2398" s="4">
        <f t="shared" si="151"/>
        <v>-6.126162795889082E-4</v>
      </c>
      <c r="R2398" s="4">
        <f t="shared" si="151"/>
        <v>-1.2696242952953334E-2</v>
      </c>
      <c r="S2398" s="4">
        <f t="shared" si="151"/>
        <v>-7.7944312839361659E-4</v>
      </c>
      <c r="T2398" s="4">
        <f t="shared" si="151"/>
        <v>2.5594489327218548E-3</v>
      </c>
      <c r="U2398" s="35"/>
      <c r="V2398" s="35"/>
      <c r="W2398" s="35"/>
      <c r="X2398" s="35"/>
    </row>
    <row r="2399" spans="4:24" x14ac:dyDescent="0.3">
      <c r="D2399" s="23">
        <v>43060</v>
      </c>
      <c r="E2399" s="5">
        <v>233.21137999999999</v>
      </c>
      <c r="F2399" s="28">
        <v>68.547179999999997</v>
      </c>
      <c r="G2399" s="28">
        <v>121.51</v>
      </c>
      <c r="H2399" s="28">
        <v>148.69589999999999</v>
      </c>
      <c r="I2399" s="28">
        <v>120.0656</v>
      </c>
      <c r="J2399" s="29"/>
      <c r="K2399" s="29"/>
      <c r="L2399" s="29"/>
      <c r="M2399" s="29"/>
      <c r="N2399" s="29"/>
      <c r="P2399" s="4">
        <f t="shared" si="151"/>
        <v>6.5213940761500808E-3</v>
      </c>
      <c r="Q2399" s="4">
        <f t="shared" si="151"/>
        <v>8.5700338384860151E-4</v>
      </c>
      <c r="R2399" s="4">
        <f t="shared" si="151"/>
        <v>1.6473111376924233E-3</v>
      </c>
      <c r="S2399" s="4">
        <f t="shared" si="151"/>
        <v>1.0797451305027211E-2</v>
      </c>
      <c r="T2399" s="4">
        <f t="shared" si="151"/>
        <v>6.8949594152128962E-3</v>
      </c>
      <c r="U2399" s="35"/>
      <c r="V2399" s="35"/>
      <c r="W2399" s="35"/>
      <c r="X2399" s="35"/>
    </row>
    <row r="2400" spans="4:24" x14ac:dyDescent="0.3">
      <c r="D2400" s="23">
        <v>43061</v>
      </c>
      <c r="E2400" s="5">
        <v>233.005066</v>
      </c>
      <c r="F2400" s="28">
        <v>68.689830000000001</v>
      </c>
      <c r="G2400" s="28">
        <v>122.63</v>
      </c>
      <c r="H2400" s="28">
        <v>148.8775</v>
      </c>
      <c r="I2400" s="28">
        <v>119.9759</v>
      </c>
      <c r="J2400" s="29"/>
      <c r="K2400" s="29"/>
      <c r="L2400" s="29"/>
      <c r="M2400" s="29"/>
      <c r="N2400" s="29"/>
      <c r="P2400" s="4">
        <f t="shared" si="151"/>
        <v>-8.850567809767202E-4</v>
      </c>
      <c r="Q2400" s="4">
        <f t="shared" si="151"/>
        <v>2.0788860289947522E-3</v>
      </c>
      <c r="R2400" s="4">
        <f t="shared" si="151"/>
        <v>9.1751278534142281E-3</v>
      </c>
      <c r="S2400" s="4">
        <f t="shared" si="151"/>
        <v>1.2205393529419939E-3</v>
      </c>
      <c r="T2400" s="4">
        <f t="shared" si="151"/>
        <v>-7.4737080192607125E-4</v>
      </c>
      <c r="U2400" s="35"/>
      <c r="V2400" s="35"/>
      <c r="W2400" s="35"/>
      <c r="X2400" s="35"/>
    </row>
    <row r="2401" spans="4:24" x14ac:dyDescent="0.3">
      <c r="D2401" s="23">
        <v>43063</v>
      </c>
      <c r="E2401" s="5">
        <v>233.54324299999999</v>
      </c>
      <c r="F2401" s="28">
        <v>68.67304</v>
      </c>
      <c r="G2401" s="28">
        <v>122.32</v>
      </c>
      <c r="H2401" s="28">
        <v>149.42259999999999</v>
      </c>
      <c r="I2401" s="28">
        <v>120.2539</v>
      </c>
      <c r="J2401" s="29"/>
      <c r="K2401" s="29"/>
      <c r="L2401" s="29"/>
      <c r="M2401" s="29"/>
      <c r="N2401" s="29"/>
      <c r="P2401" s="4">
        <f t="shared" si="151"/>
        <v>2.3070590047078398E-3</v>
      </c>
      <c r="Q2401" s="4">
        <f t="shared" si="151"/>
        <v>-2.4446198719659532E-4</v>
      </c>
      <c r="R2401" s="4">
        <f t="shared" si="151"/>
        <v>-2.531130153127848E-3</v>
      </c>
      <c r="S2401" s="4">
        <f t="shared" si="151"/>
        <v>3.6547128662593677E-3</v>
      </c>
      <c r="T2401" s="4">
        <f t="shared" si="151"/>
        <v>2.3144516133849352E-3</v>
      </c>
      <c r="U2401" s="35"/>
      <c r="V2401" s="35"/>
      <c r="W2401" s="35"/>
      <c r="X2401" s="35"/>
    </row>
    <row r="2402" spans="4:24" x14ac:dyDescent="0.3">
      <c r="D2402" s="23">
        <v>43066</v>
      </c>
      <c r="E2402" s="5">
        <v>233.42671200000001</v>
      </c>
      <c r="F2402" s="28">
        <v>68.647869999999998</v>
      </c>
      <c r="G2402" s="28">
        <v>122.83</v>
      </c>
      <c r="H2402" s="28">
        <v>149.35560000000001</v>
      </c>
      <c r="I2402" s="28">
        <v>120.1284</v>
      </c>
      <c r="J2402" s="29"/>
      <c r="K2402" s="29"/>
      <c r="L2402" s="29"/>
      <c r="M2402" s="29"/>
      <c r="N2402" s="29"/>
      <c r="P2402" s="4">
        <f t="shared" si="151"/>
        <v>-4.9909421868017754E-4</v>
      </c>
      <c r="Q2402" s="4">
        <f t="shared" si="151"/>
        <v>-3.6658656401092446E-4</v>
      </c>
      <c r="R2402" s="4">
        <f t="shared" si="151"/>
        <v>4.1607239301962836E-3</v>
      </c>
      <c r="S2402" s="4">
        <f t="shared" si="151"/>
        <v>-4.4849323761264864E-4</v>
      </c>
      <c r="T2402" s="4">
        <f t="shared" si="151"/>
        <v>-1.0441701523167771E-3</v>
      </c>
      <c r="U2402" s="35"/>
      <c r="V2402" s="35"/>
      <c r="W2402" s="35"/>
      <c r="X2402" s="35"/>
    </row>
    <row r="2403" spans="4:24" x14ac:dyDescent="0.3">
      <c r="D2403" s="23">
        <v>43067</v>
      </c>
      <c r="E2403" s="5">
        <v>235.794769</v>
      </c>
      <c r="F2403" s="28">
        <v>68.647869999999998</v>
      </c>
      <c r="G2403" s="28">
        <v>122.81</v>
      </c>
      <c r="H2403" s="28">
        <v>149.7381</v>
      </c>
      <c r="I2403" s="28">
        <v>121.32089999999999</v>
      </c>
      <c r="J2403" s="29"/>
      <c r="K2403" s="29"/>
      <c r="L2403" s="29"/>
      <c r="M2403" s="29"/>
      <c r="N2403" s="29"/>
      <c r="P2403" s="4">
        <f t="shared" si="151"/>
        <v>1.0093643198283354E-2</v>
      </c>
      <c r="Q2403" s="4">
        <f t="shared" si="151"/>
        <v>0</v>
      </c>
      <c r="R2403" s="4">
        <f t="shared" si="151"/>
        <v>-1.6283992871019603E-4</v>
      </c>
      <c r="S2403" s="4">
        <f t="shared" si="151"/>
        <v>2.5577282873251797E-3</v>
      </c>
      <c r="T2403" s="4">
        <f t="shared" si="151"/>
        <v>9.8779304504239777E-3</v>
      </c>
      <c r="U2403" s="35"/>
      <c r="V2403" s="35"/>
      <c r="W2403" s="35"/>
      <c r="X2403" s="35"/>
    </row>
    <row r="2404" spans="4:24" x14ac:dyDescent="0.3">
      <c r="D2404" s="23">
        <v>43068</v>
      </c>
      <c r="E2404" s="5">
        <v>235.65126000000001</v>
      </c>
      <c r="F2404" s="28">
        <v>68.480090000000004</v>
      </c>
      <c r="G2404" s="28">
        <v>122.04</v>
      </c>
      <c r="H2404" s="28">
        <v>147.1276</v>
      </c>
      <c r="I2404" s="28">
        <v>121.32089999999999</v>
      </c>
      <c r="J2404" s="29"/>
      <c r="K2404" s="29"/>
      <c r="L2404" s="29"/>
      <c r="M2404" s="29"/>
      <c r="N2404" s="29"/>
      <c r="P2404" s="4">
        <f t="shared" si="151"/>
        <v>-6.0880353467787358E-4</v>
      </c>
      <c r="Q2404" s="4">
        <f t="shared" si="151"/>
        <v>-2.447058699386365E-3</v>
      </c>
      <c r="R2404" s="4">
        <f t="shared" si="151"/>
        <v>-6.2895857738238335E-3</v>
      </c>
      <c r="S2404" s="4">
        <f t="shared" si="151"/>
        <v>-1.7587530589822195E-2</v>
      </c>
      <c r="T2404" s="4">
        <f t="shared" si="151"/>
        <v>0</v>
      </c>
      <c r="U2404" s="35"/>
      <c r="V2404" s="35"/>
      <c r="W2404" s="35"/>
      <c r="X2404" s="35"/>
    </row>
    <row r="2405" spans="4:24" x14ac:dyDescent="0.3">
      <c r="D2405" s="23">
        <v>43069</v>
      </c>
      <c r="E2405" s="5">
        <v>237.71440100000001</v>
      </c>
      <c r="F2405" s="28">
        <v>68.379429999999999</v>
      </c>
      <c r="G2405" s="28">
        <v>121.1</v>
      </c>
      <c r="H2405" s="28">
        <v>148.36109999999999</v>
      </c>
      <c r="I2405" s="28">
        <v>122.2535</v>
      </c>
      <c r="J2405" s="29"/>
      <c r="K2405" s="29"/>
      <c r="L2405" s="29"/>
      <c r="M2405" s="29"/>
      <c r="N2405" s="29"/>
      <c r="P2405" s="4">
        <f t="shared" ref="P2405:T2420" si="152">LN(E2405/E2404)</f>
        <v>8.7169570334448901E-3</v>
      </c>
      <c r="Q2405" s="4">
        <f t="shared" si="152"/>
        <v>-1.4709976792402085E-3</v>
      </c>
      <c r="R2405" s="4">
        <f t="shared" si="152"/>
        <v>-7.7322092894224412E-3</v>
      </c>
      <c r="S2405" s="4">
        <f t="shared" si="152"/>
        <v>8.3489295194446311E-3</v>
      </c>
      <c r="T2405" s="4">
        <f t="shared" si="152"/>
        <v>7.6576566115153085E-3</v>
      </c>
      <c r="U2405" s="35"/>
      <c r="V2405" s="35"/>
      <c r="W2405" s="35"/>
      <c r="X2405" s="35"/>
    </row>
    <row r="2406" spans="4:24" x14ac:dyDescent="0.3">
      <c r="D2406" s="23">
        <v>43070</v>
      </c>
      <c r="E2406" s="5">
        <v>237.220932</v>
      </c>
      <c r="F2406" s="28">
        <v>68.562669999999997</v>
      </c>
      <c r="G2406" s="28">
        <v>121.59</v>
      </c>
      <c r="H2406" s="28">
        <v>147.73009999999999</v>
      </c>
      <c r="I2406" s="28">
        <v>122.01139999999999</v>
      </c>
      <c r="J2406" s="29"/>
      <c r="K2406" s="29"/>
      <c r="L2406" s="29"/>
      <c r="M2406" s="29"/>
      <c r="N2406" s="29"/>
      <c r="P2406" s="4">
        <f t="shared" si="152"/>
        <v>-2.0780478658479996E-3</v>
      </c>
      <c r="Q2406" s="4">
        <f t="shared" si="152"/>
        <v>2.6761691161725945E-3</v>
      </c>
      <c r="R2406" s="4">
        <f t="shared" si="152"/>
        <v>4.0380787492802737E-3</v>
      </c>
      <c r="S2406" s="4">
        <f t="shared" si="152"/>
        <v>-4.2622067474474903E-3</v>
      </c>
      <c r="T2406" s="4">
        <f t="shared" si="152"/>
        <v>-1.9822748112882358E-3</v>
      </c>
      <c r="U2406" s="35"/>
      <c r="V2406" s="35"/>
      <c r="W2406" s="35"/>
      <c r="X2406" s="35"/>
    </row>
    <row r="2407" spans="4:24" x14ac:dyDescent="0.3">
      <c r="D2407" s="23">
        <v>43073</v>
      </c>
      <c r="E2407" s="5">
        <v>236.93396000000001</v>
      </c>
      <c r="F2407" s="28">
        <v>68.571079999999995</v>
      </c>
      <c r="G2407" s="28">
        <v>121.18</v>
      </c>
      <c r="H2407" s="28">
        <v>146.02799999999999</v>
      </c>
      <c r="I2407" s="28">
        <v>121.85</v>
      </c>
      <c r="J2407" s="29"/>
      <c r="K2407" s="29"/>
      <c r="L2407" s="29"/>
      <c r="M2407" s="29"/>
      <c r="N2407" s="29"/>
      <c r="P2407" s="4">
        <f t="shared" si="152"/>
        <v>-1.2104569198008171E-3</v>
      </c>
      <c r="Q2407" s="4">
        <f t="shared" si="152"/>
        <v>1.2265397847778682E-4</v>
      </c>
      <c r="R2407" s="4">
        <f t="shared" si="152"/>
        <v>-3.3776857914838438E-3</v>
      </c>
      <c r="S2407" s="4">
        <f t="shared" si="152"/>
        <v>-1.1588576101204428E-2</v>
      </c>
      <c r="T2407" s="4">
        <f t="shared" si="152"/>
        <v>-1.3237029195021814E-3</v>
      </c>
      <c r="U2407" s="35"/>
      <c r="V2407" s="35"/>
      <c r="W2407" s="35"/>
      <c r="X2407" s="35"/>
    </row>
    <row r="2408" spans="4:24" x14ac:dyDescent="0.3">
      <c r="D2408" s="23">
        <v>43074</v>
      </c>
      <c r="E2408" s="5">
        <v>236.08180200000001</v>
      </c>
      <c r="F2408" s="28">
        <v>68.655140000000003</v>
      </c>
      <c r="G2408" s="28">
        <v>120.32</v>
      </c>
      <c r="H2408" s="28">
        <v>146.12360000000001</v>
      </c>
      <c r="I2408" s="28">
        <v>121.32989999999999</v>
      </c>
      <c r="J2408" s="29"/>
      <c r="K2408" s="29"/>
      <c r="L2408" s="29"/>
      <c r="M2408" s="29"/>
      <c r="N2408" s="29"/>
      <c r="P2408" s="4">
        <f t="shared" si="152"/>
        <v>-3.6030889047221708E-3</v>
      </c>
      <c r="Q2408" s="4">
        <f t="shared" si="152"/>
        <v>1.2251304526806576E-3</v>
      </c>
      <c r="R2408" s="4">
        <f t="shared" si="152"/>
        <v>-7.1221833153134028E-3</v>
      </c>
      <c r="S2408" s="4">
        <f t="shared" si="152"/>
        <v>6.5445476534951711E-4</v>
      </c>
      <c r="T2408" s="4">
        <f t="shared" si="152"/>
        <v>-4.2774982062402508E-3</v>
      </c>
      <c r="U2408" s="35"/>
      <c r="V2408" s="35"/>
      <c r="W2408" s="35"/>
      <c r="X2408" s="35"/>
    </row>
    <row r="2409" spans="4:24" x14ac:dyDescent="0.3">
      <c r="D2409" s="23">
        <v>43075</v>
      </c>
      <c r="E2409" s="5">
        <v>236.12664799999999</v>
      </c>
      <c r="F2409" s="28">
        <v>68.730789999999999</v>
      </c>
      <c r="G2409" s="28">
        <v>120.07</v>
      </c>
      <c r="H2409" s="28">
        <v>146.7833</v>
      </c>
      <c r="I2409" s="28">
        <v>121.2582</v>
      </c>
      <c r="J2409" s="29"/>
      <c r="K2409" s="29"/>
      <c r="L2409" s="29"/>
      <c r="M2409" s="29"/>
      <c r="N2409" s="29"/>
      <c r="P2409" s="4">
        <f t="shared" si="152"/>
        <v>1.8994154016012505E-4</v>
      </c>
      <c r="Q2409" s="4">
        <f t="shared" si="152"/>
        <v>1.1012773672785684E-3</v>
      </c>
      <c r="R2409" s="4">
        <f t="shared" si="152"/>
        <v>-2.0799541589030918E-3</v>
      </c>
      <c r="S2409" s="4">
        <f t="shared" si="152"/>
        <v>4.504510583234542E-3</v>
      </c>
      <c r="T2409" s="4">
        <f t="shared" si="152"/>
        <v>-5.9112546813159194E-4</v>
      </c>
      <c r="U2409" s="35"/>
      <c r="V2409" s="35"/>
      <c r="W2409" s="35"/>
      <c r="X2409" s="35"/>
    </row>
    <row r="2410" spans="4:24" x14ac:dyDescent="0.3">
      <c r="D2410" s="23">
        <v>43076</v>
      </c>
      <c r="E2410" s="5">
        <v>236.871185</v>
      </c>
      <c r="F2410" s="28">
        <v>68.638339999999999</v>
      </c>
      <c r="G2410" s="28">
        <v>118.49</v>
      </c>
      <c r="H2410" s="28">
        <v>147.28059999999999</v>
      </c>
      <c r="I2410" s="28">
        <v>121.7424</v>
      </c>
      <c r="J2410" s="29"/>
      <c r="K2410" s="29"/>
      <c r="L2410" s="29"/>
      <c r="M2410" s="29"/>
      <c r="N2410" s="29"/>
      <c r="P2410" s="4">
        <f t="shared" si="152"/>
        <v>3.1481650146243773E-3</v>
      </c>
      <c r="Q2410" s="4">
        <f t="shared" si="152"/>
        <v>-1.3460085822475695E-3</v>
      </c>
      <c r="R2410" s="4">
        <f t="shared" si="152"/>
        <v>-1.3246337213978039E-2</v>
      </c>
      <c r="S2410" s="4">
        <f t="shared" si="152"/>
        <v>3.3822612981722774E-3</v>
      </c>
      <c r="T2410" s="4">
        <f t="shared" si="152"/>
        <v>3.9851806195129206E-3</v>
      </c>
      <c r="U2410" s="35"/>
      <c r="V2410" s="35"/>
      <c r="W2410" s="35"/>
      <c r="X2410" s="35"/>
    </row>
    <row r="2411" spans="4:24" x14ac:dyDescent="0.3">
      <c r="D2411" s="23">
        <v>43077</v>
      </c>
      <c r="E2411" s="5">
        <v>238.162903</v>
      </c>
      <c r="F2411" s="28">
        <v>68.613110000000006</v>
      </c>
      <c r="G2411" s="28">
        <v>118.48</v>
      </c>
      <c r="H2411" s="28">
        <v>147.9308</v>
      </c>
      <c r="I2411" s="28">
        <v>122.379</v>
      </c>
      <c r="J2411" s="29"/>
      <c r="K2411" s="29"/>
      <c r="L2411" s="29"/>
      <c r="M2411" s="29"/>
      <c r="N2411" s="29"/>
      <c r="P2411" s="4">
        <f t="shared" si="152"/>
        <v>5.4384357516487564E-3</v>
      </c>
      <c r="Q2411" s="4">
        <f t="shared" si="152"/>
        <v>-3.6764639330481348E-4</v>
      </c>
      <c r="R2411" s="4">
        <f t="shared" si="152"/>
        <v>-8.4398869105189916E-5</v>
      </c>
      <c r="S2411" s="4">
        <f t="shared" si="152"/>
        <v>4.4049860633280985E-3</v>
      </c>
      <c r="T2411" s="4">
        <f t="shared" si="152"/>
        <v>5.2154497148380104E-3</v>
      </c>
      <c r="U2411" s="35"/>
      <c r="V2411" s="35"/>
      <c r="W2411" s="35"/>
      <c r="X2411" s="35"/>
    </row>
    <row r="2412" spans="4:24" x14ac:dyDescent="0.3">
      <c r="D2412" s="23">
        <v>43080</v>
      </c>
      <c r="E2412" s="5">
        <v>238.88038599999999</v>
      </c>
      <c r="F2412" s="28">
        <v>68.562669999999997</v>
      </c>
      <c r="G2412" s="28">
        <v>118.01</v>
      </c>
      <c r="H2412" s="28">
        <v>149.07839999999999</v>
      </c>
      <c r="I2412" s="28">
        <v>122.666</v>
      </c>
      <c r="J2412" s="29"/>
      <c r="K2412" s="29"/>
      <c r="L2412" s="29"/>
      <c r="M2412" s="29"/>
      <c r="N2412" s="29"/>
      <c r="P2412" s="4">
        <f t="shared" si="152"/>
        <v>3.0080437459069067E-3</v>
      </c>
      <c r="Q2412" s="4">
        <f t="shared" si="152"/>
        <v>-7.3540682288476139E-4</v>
      </c>
      <c r="R2412" s="4">
        <f t="shared" si="152"/>
        <v>-3.9748033218860454E-3</v>
      </c>
      <c r="S2412" s="4">
        <f t="shared" si="152"/>
        <v>7.7277452080951837E-3</v>
      </c>
      <c r="T2412" s="4">
        <f t="shared" si="152"/>
        <v>2.3424279722498833E-3</v>
      </c>
      <c r="U2412" s="35"/>
      <c r="V2412" s="35"/>
      <c r="W2412" s="35"/>
      <c r="X2412" s="35"/>
    </row>
    <row r="2413" spans="4:24" x14ac:dyDescent="0.3">
      <c r="D2413" s="23">
        <v>43081</v>
      </c>
      <c r="E2413" s="5">
        <v>239.30207799999999</v>
      </c>
      <c r="F2413" s="28">
        <v>68.554280000000006</v>
      </c>
      <c r="G2413" s="28">
        <v>118.15</v>
      </c>
      <c r="H2413" s="28">
        <v>148.8775</v>
      </c>
      <c r="I2413" s="28">
        <v>122.8005</v>
      </c>
      <c r="J2413" s="29"/>
      <c r="K2413" s="29"/>
      <c r="L2413" s="29"/>
      <c r="M2413" s="29"/>
      <c r="N2413" s="29"/>
      <c r="P2413" s="4">
        <f t="shared" si="152"/>
        <v>1.7637288736480846E-3</v>
      </c>
      <c r="Q2413" s="4">
        <f t="shared" si="152"/>
        <v>-1.2237728465320781E-4</v>
      </c>
      <c r="R2413" s="4">
        <f t="shared" si="152"/>
        <v>1.1856369952594459E-3</v>
      </c>
      <c r="S2413" s="4">
        <f t="shared" si="152"/>
        <v>-1.3485219151216897E-3</v>
      </c>
      <c r="T2413" s="4">
        <f t="shared" si="152"/>
        <v>1.0958726625466242E-3</v>
      </c>
      <c r="U2413" s="35"/>
      <c r="V2413" s="35"/>
      <c r="W2413" s="35"/>
      <c r="X2413" s="35"/>
    </row>
    <row r="2414" spans="4:24" x14ac:dyDescent="0.3">
      <c r="D2414" s="23">
        <v>43082</v>
      </c>
      <c r="E2414" s="5">
        <v>239.27508499999999</v>
      </c>
      <c r="F2414" s="28">
        <v>68.747630000000001</v>
      </c>
      <c r="G2414" s="28">
        <v>119.17</v>
      </c>
      <c r="H2414" s="28">
        <v>149.1644</v>
      </c>
      <c r="I2414" s="28">
        <v>122.8184</v>
      </c>
      <c r="J2414" s="29"/>
      <c r="K2414" s="29"/>
      <c r="L2414" s="29"/>
      <c r="M2414" s="29"/>
      <c r="N2414" s="29"/>
      <c r="P2414" s="4">
        <f t="shared" si="152"/>
        <v>-1.1280521560791312E-4</v>
      </c>
      <c r="Q2414" s="4">
        <f t="shared" si="152"/>
        <v>2.8164229879710052E-3</v>
      </c>
      <c r="R2414" s="4">
        <f t="shared" si="152"/>
        <v>8.5960414697978174E-3</v>
      </c>
      <c r="S2414" s="4">
        <f t="shared" si="152"/>
        <v>1.9252332548999743E-3</v>
      </c>
      <c r="T2414" s="4">
        <f t="shared" si="152"/>
        <v>1.4575425613977907E-4</v>
      </c>
      <c r="U2414" s="35"/>
      <c r="V2414" s="35"/>
      <c r="W2414" s="35"/>
      <c r="X2414" s="35"/>
    </row>
    <row r="2415" spans="4:24" x14ac:dyDescent="0.3">
      <c r="D2415" s="23">
        <v>43083</v>
      </c>
      <c r="E2415" s="5">
        <v>238.29743999999999</v>
      </c>
      <c r="F2415" s="28">
        <v>68.772819999999996</v>
      </c>
      <c r="G2415" s="28">
        <v>118.93</v>
      </c>
      <c r="H2415" s="28">
        <v>149.05930000000001</v>
      </c>
      <c r="I2415" s="28">
        <v>122.2445</v>
      </c>
      <c r="J2415" s="29"/>
      <c r="K2415" s="29"/>
      <c r="L2415" s="29"/>
      <c r="M2415" s="29"/>
      <c r="N2415" s="29"/>
      <c r="P2415" s="4">
        <f t="shared" si="152"/>
        <v>-4.0942320359266485E-3</v>
      </c>
      <c r="Q2415" s="4">
        <f t="shared" si="152"/>
        <v>3.6634551852789311E-4</v>
      </c>
      <c r="R2415" s="4">
        <f t="shared" si="152"/>
        <v>-2.0159603635607516E-3</v>
      </c>
      <c r="S2415" s="4">
        <f t="shared" si="152"/>
        <v>-7.048400536317699E-4</v>
      </c>
      <c r="T2415" s="4">
        <f t="shared" si="152"/>
        <v>-4.6837040542704817E-3</v>
      </c>
      <c r="U2415" s="35"/>
      <c r="V2415" s="35"/>
      <c r="W2415" s="35"/>
      <c r="X2415" s="35"/>
    </row>
    <row r="2416" spans="4:24" x14ac:dyDescent="0.3">
      <c r="D2416" s="23">
        <v>43084</v>
      </c>
      <c r="E2416" s="5">
        <v>240.281769</v>
      </c>
      <c r="F2416" s="28">
        <v>68.781239999999997</v>
      </c>
      <c r="G2416" s="28">
        <v>119.18</v>
      </c>
      <c r="H2416" s="28">
        <v>150.7518</v>
      </c>
      <c r="I2416" s="28">
        <v>123.3385</v>
      </c>
      <c r="J2416" s="29"/>
      <c r="K2416" s="29"/>
      <c r="L2416" s="29"/>
      <c r="M2416" s="29"/>
      <c r="N2416" s="29"/>
      <c r="P2416" s="4">
        <f t="shared" si="152"/>
        <v>8.2926309131408239E-3</v>
      </c>
      <c r="Q2416" s="4">
        <f t="shared" si="152"/>
        <v>1.2242459452692906E-4</v>
      </c>
      <c r="R2416" s="4">
        <f t="shared" si="152"/>
        <v>2.0998705796789327E-3</v>
      </c>
      <c r="S2416" s="4">
        <f t="shared" si="152"/>
        <v>1.129056248752844E-2</v>
      </c>
      <c r="T2416" s="4">
        <f t="shared" si="152"/>
        <v>8.9094704167515231E-3</v>
      </c>
      <c r="U2416" s="35"/>
      <c r="V2416" s="35"/>
      <c r="W2416" s="35"/>
      <c r="X2416" s="35"/>
    </row>
    <row r="2417" spans="4:24" x14ac:dyDescent="0.3">
      <c r="D2417" s="23">
        <v>43087</v>
      </c>
      <c r="E2417" s="5">
        <v>241.805466</v>
      </c>
      <c r="F2417" s="28">
        <v>68.671959999999999</v>
      </c>
      <c r="G2417" s="28">
        <v>119.73</v>
      </c>
      <c r="H2417" s="28">
        <v>152.01570000000001</v>
      </c>
      <c r="I2417" s="28">
        <v>124.19029999999999</v>
      </c>
      <c r="J2417" s="29"/>
      <c r="K2417" s="29"/>
      <c r="L2417" s="29"/>
      <c r="M2417" s="29"/>
      <c r="N2417" s="29"/>
      <c r="P2417" s="4">
        <f t="shared" si="152"/>
        <v>6.3212711853417062E-3</v>
      </c>
      <c r="Q2417" s="4">
        <f t="shared" si="152"/>
        <v>-1.5900688092318766E-3</v>
      </c>
      <c r="R2417" s="4">
        <f t="shared" si="152"/>
        <v>4.6042524099194192E-3</v>
      </c>
      <c r="S2417" s="4">
        <f t="shared" si="152"/>
        <v>8.3490291514527228E-3</v>
      </c>
      <c r="T2417" s="4">
        <f t="shared" si="152"/>
        <v>6.8824586258461303E-3</v>
      </c>
      <c r="U2417" s="35"/>
      <c r="V2417" s="35"/>
      <c r="W2417" s="35"/>
      <c r="X2417" s="35"/>
    </row>
    <row r="2418" spans="4:24" x14ac:dyDescent="0.3">
      <c r="D2418" s="23">
        <v>43088</v>
      </c>
      <c r="E2418" s="5">
        <v>240.87683100000001</v>
      </c>
      <c r="F2418" s="28">
        <v>68.461789999999993</v>
      </c>
      <c r="G2418" s="28">
        <v>119.82</v>
      </c>
      <c r="H2418" s="28">
        <v>151.11490000000001</v>
      </c>
      <c r="I2418" s="28">
        <v>123.68819999999999</v>
      </c>
      <c r="J2418" s="29"/>
      <c r="K2418" s="29"/>
      <c r="L2418" s="29"/>
      <c r="M2418" s="29"/>
      <c r="N2418" s="29"/>
      <c r="P2418" s="4">
        <f t="shared" si="152"/>
        <v>-3.8478152255744412E-3</v>
      </c>
      <c r="Q2418" s="4">
        <f t="shared" si="152"/>
        <v>-3.0651851138304553E-3</v>
      </c>
      <c r="R2418" s="4">
        <f t="shared" si="152"/>
        <v>7.5140892702646521E-4</v>
      </c>
      <c r="S2418" s="4">
        <f t="shared" si="152"/>
        <v>-5.9433303770158397E-3</v>
      </c>
      <c r="T2418" s="4">
        <f t="shared" si="152"/>
        <v>-4.0511838397362804E-3</v>
      </c>
      <c r="U2418" s="35"/>
      <c r="V2418" s="35"/>
      <c r="W2418" s="35"/>
      <c r="X2418" s="35"/>
    </row>
    <row r="2419" spans="4:24" x14ac:dyDescent="0.3">
      <c r="D2419" s="23">
        <v>43089</v>
      </c>
      <c r="E2419" s="5">
        <v>240.75060999999999</v>
      </c>
      <c r="F2419" s="28">
        <v>68.327290000000005</v>
      </c>
      <c r="G2419" s="28">
        <v>120.14</v>
      </c>
      <c r="H2419" s="28">
        <v>150.952</v>
      </c>
      <c r="I2419" s="28">
        <v>123.67919999999999</v>
      </c>
      <c r="J2419" s="29"/>
      <c r="K2419" s="29"/>
      <c r="L2419" s="29"/>
      <c r="M2419" s="29"/>
      <c r="N2419" s="29"/>
      <c r="P2419" s="4">
        <f t="shared" si="152"/>
        <v>-5.241437349484384E-4</v>
      </c>
      <c r="Q2419" s="4">
        <f t="shared" si="152"/>
        <v>-1.9665318802551466E-3</v>
      </c>
      <c r="R2419" s="4">
        <f t="shared" si="152"/>
        <v>2.6671127662365526E-3</v>
      </c>
      <c r="S2419" s="4">
        <f t="shared" si="152"/>
        <v>-1.0785691235415695E-3</v>
      </c>
      <c r="T2419" s="4">
        <f t="shared" si="152"/>
        <v>-7.2766257833216055E-5</v>
      </c>
      <c r="U2419" s="35"/>
      <c r="V2419" s="35"/>
      <c r="W2419" s="35"/>
      <c r="X2419" s="35"/>
    </row>
    <row r="2420" spans="4:24" x14ac:dyDescent="0.3">
      <c r="D2420" s="23">
        <v>43090</v>
      </c>
      <c r="E2420" s="5">
        <v>241.246475</v>
      </c>
      <c r="F2420" s="28">
        <v>68.369349999999997</v>
      </c>
      <c r="G2420" s="28">
        <v>120.31</v>
      </c>
      <c r="H2420" s="28">
        <v>150.97120000000001</v>
      </c>
      <c r="I2420" s="28">
        <v>123.96129999999999</v>
      </c>
      <c r="J2420" s="29"/>
      <c r="K2420" s="29"/>
      <c r="L2420" s="29"/>
      <c r="M2420" s="29"/>
      <c r="N2420" s="29"/>
      <c r="P2420" s="4">
        <f t="shared" si="152"/>
        <v>2.0575442896570463E-3</v>
      </c>
      <c r="Q2420" s="4">
        <f t="shared" si="152"/>
        <v>6.1537725180809679E-4</v>
      </c>
      <c r="R2420" s="4">
        <f t="shared" si="152"/>
        <v>1.4140156234178159E-3</v>
      </c>
      <c r="S2420" s="4">
        <f t="shared" si="152"/>
        <v>1.2718466170128642E-4</v>
      </c>
      <c r="T2420" s="4">
        <f t="shared" si="152"/>
        <v>2.2783036056213727E-3</v>
      </c>
      <c r="U2420" s="35"/>
      <c r="V2420" s="35"/>
      <c r="W2420" s="35"/>
      <c r="X2420" s="35"/>
    </row>
    <row r="2421" spans="4:24" x14ac:dyDescent="0.3">
      <c r="D2421" s="23">
        <v>43091</v>
      </c>
      <c r="E2421" s="5">
        <v>241.18338</v>
      </c>
      <c r="F2421" s="28">
        <v>68.402929999999998</v>
      </c>
      <c r="G2421" s="28">
        <v>120.94</v>
      </c>
      <c r="H2421" s="28">
        <v>150.7987</v>
      </c>
      <c r="I2421" s="28">
        <v>123.9162</v>
      </c>
      <c r="J2421" s="29"/>
      <c r="K2421" s="29"/>
      <c r="L2421" s="29"/>
      <c r="M2421" s="29"/>
      <c r="N2421" s="29"/>
      <c r="P2421" s="4">
        <f t="shared" ref="P2421:T2436" si="153">LN(E2421/E2420)</f>
        <v>-2.6157170708159395E-4</v>
      </c>
      <c r="Q2421" s="4">
        <f t="shared" si="153"/>
        <v>4.9103518161325754E-4</v>
      </c>
      <c r="R2421" s="4">
        <f t="shared" si="153"/>
        <v>5.2228097996336363E-3</v>
      </c>
      <c r="S2421" s="4">
        <f t="shared" si="153"/>
        <v>-1.1432553000720598E-3</v>
      </c>
      <c r="T2421" s="4">
        <f t="shared" si="153"/>
        <v>-3.6388942520119635E-4</v>
      </c>
      <c r="U2421" s="35"/>
      <c r="V2421" s="35"/>
      <c r="W2421" s="35"/>
      <c r="X2421" s="35"/>
    </row>
    <row r="2422" spans="4:24" x14ac:dyDescent="0.3">
      <c r="D2422" s="23">
        <v>43095</v>
      </c>
      <c r="E2422" s="5">
        <v>240.89489699999999</v>
      </c>
      <c r="F2422" s="28">
        <v>68.471239999999995</v>
      </c>
      <c r="G2422" s="28">
        <v>121.77</v>
      </c>
      <c r="H2422" s="28">
        <v>149.98419999999999</v>
      </c>
      <c r="I2422" s="28">
        <v>123.8171</v>
      </c>
      <c r="J2422" s="29"/>
      <c r="K2422" s="29"/>
      <c r="L2422" s="29"/>
      <c r="M2422" s="29"/>
      <c r="N2422" s="29"/>
      <c r="P2422" s="4">
        <f t="shared" si="153"/>
        <v>-1.1968306733528963E-3</v>
      </c>
      <c r="Q2422" s="4">
        <f t="shared" si="153"/>
        <v>9.9814312183782211E-4</v>
      </c>
      <c r="R2422" s="4">
        <f t="shared" si="153"/>
        <v>6.8394646738491136E-3</v>
      </c>
      <c r="S2422" s="4">
        <f t="shared" si="153"/>
        <v>-5.4158796320649431E-3</v>
      </c>
      <c r="T2422" s="4">
        <f t="shared" si="153"/>
        <v>-8.0005397163852659E-4</v>
      </c>
      <c r="U2422" s="35"/>
      <c r="V2422" s="35"/>
      <c r="W2422" s="35"/>
      <c r="X2422" s="35"/>
    </row>
    <row r="2423" spans="4:24" x14ac:dyDescent="0.3">
      <c r="D2423" s="23">
        <v>43096</v>
      </c>
      <c r="E2423" s="5">
        <v>241.01208500000001</v>
      </c>
      <c r="F2423" s="28">
        <v>68.681950000000001</v>
      </c>
      <c r="G2423" s="28">
        <v>122.23</v>
      </c>
      <c r="H2423" s="28">
        <v>150.0034</v>
      </c>
      <c r="I2423" s="28">
        <v>123.8622</v>
      </c>
      <c r="J2423" s="29"/>
      <c r="K2423" s="29"/>
      <c r="L2423" s="29"/>
      <c r="M2423" s="29"/>
      <c r="N2423" s="29"/>
      <c r="P2423" s="4">
        <f t="shared" si="153"/>
        <v>4.8635112869125637E-4</v>
      </c>
      <c r="Q2423" s="4">
        <f t="shared" si="153"/>
        <v>3.0726250811448979E-3</v>
      </c>
      <c r="R2423" s="4">
        <f t="shared" si="153"/>
        <v>3.7704962702553402E-3</v>
      </c>
      <c r="S2423" s="4">
        <f t="shared" si="153"/>
        <v>1.2800529106023656E-4</v>
      </c>
      <c r="T2423" s="4">
        <f t="shared" si="153"/>
        <v>3.6418061984553305E-4</v>
      </c>
      <c r="U2423" s="35"/>
      <c r="V2423" s="35"/>
      <c r="W2423" s="35"/>
      <c r="X2423" s="35"/>
    </row>
    <row r="2424" spans="4:24" x14ac:dyDescent="0.3">
      <c r="D2424" s="23">
        <v>43097</v>
      </c>
      <c r="E2424" s="5">
        <v>241.507935</v>
      </c>
      <c r="F2424" s="28">
        <v>68.639790000000005</v>
      </c>
      <c r="G2424" s="28">
        <v>122.85</v>
      </c>
      <c r="H2424" s="28">
        <v>150.18539999999999</v>
      </c>
      <c r="I2424" s="28">
        <v>124.1324</v>
      </c>
      <c r="J2424" s="29"/>
      <c r="K2424" s="29"/>
      <c r="L2424" s="29"/>
      <c r="M2424" s="29"/>
      <c r="N2424" s="29"/>
      <c r="P2424" s="4">
        <f t="shared" si="153"/>
        <v>2.0552522340595717E-3</v>
      </c>
      <c r="Q2424" s="4">
        <f t="shared" si="153"/>
        <v>-6.1403243688359043E-4</v>
      </c>
      <c r="R2424" s="4">
        <f t="shared" si="153"/>
        <v>5.0595831780166625E-3</v>
      </c>
      <c r="S2424" s="4">
        <f t="shared" si="153"/>
        <v>1.2125703710460149E-3</v>
      </c>
      <c r="T2424" s="4">
        <f t="shared" si="153"/>
        <v>2.1790805680282359E-3</v>
      </c>
      <c r="U2424" s="35"/>
      <c r="V2424" s="35"/>
      <c r="W2424" s="35"/>
      <c r="X2424" s="35"/>
    </row>
    <row r="2425" spans="4:24" x14ac:dyDescent="0.3">
      <c r="D2425" s="23">
        <v>43098</v>
      </c>
      <c r="E2425" s="5">
        <v>240.59732099999999</v>
      </c>
      <c r="F2425" s="28">
        <v>68.749390000000005</v>
      </c>
      <c r="G2425" s="28">
        <v>123.65</v>
      </c>
      <c r="H2425" s="28">
        <v>149.256</v>
      </c>
      <c r="I2425" s="28">
        <v>123.6729</v>
      </c>
      <c r="J2425" s="29"/>
      <c r="K2425" s="29"/>
      <c r="L2425" s="29"/>
      <c r="M2425" s="29"/>
      <c r="N2425" s="29"/>
      <c r="P2425" s="4">
        <f t="shared" si="153"/>
        <v>-3.7776608804544632E-3</v>
      </c>
      <c r="Q2425" s="4">
        <f t="shared" si="153"/>
        <v>1.5954680455777944E-3</v>
      </c>
      <c r="R2425" s="4">
        <f t="shared" si="153"/>
        <v>6.4908950002371402E-3</v>
      </c>
      <c r="S2425" s="4">
        <f t="shared" si="153"/>
        <v>-6.2075784073856687E-3</v>
      </c>
      <c r="T2425" s="4">
        <f t="shared" si="153"/>
        <v>-3.7085609278043764E-3</v>
      </c>
      <c r="U2425" s="35"/>
      <c r="V2425" s="35"/>
      <c r="W2425" s="35"/>
      <c r="X2425" s="35"/>
    </row>
    <row r="2426" spans="4:24" x14ac:dyDescent="0.3">
      <c r="D2426" s="23">
        <v>43102</v>
      </c>
      <c r="E2426" s="5">
        <v>242.319366</v>
      </c>
      <c r="F2426" s="28">
        <v>68.555499999999995</v>
      </c>
      <c r="G2426" s="28">
        <v>125.15</v>
      </c>
      <c r="H2426" s="28">
        <v>151.87200000000001</v>
      </c>
      <c r="I2426" s="28">
        <v>124.547</v>
      </c>
      <c r="J2426" s="29"/>
      <c r="K2426" s="29"/>
      <c r="L2426" s="29"/>
      <c r="M2426" s="29"/>
      <c r="N2426" s="29"/>
      <c r="P2426" s="4">
        <f t="shared" si="153"/>
        <v>7.1318815252719723E-3</v>
      </c>
      <c r="Q2426" s="4">
        <f t="shared" si="153"/>
        <v>-2.8242275839766126E-3</v>
      </c>
      <c r="R2426" s="4">
        <f t="shared" si="153"/>
        <v>1.2058023910358085E-2</v>
      </c>
      <c r="S2426" s="4">
        <f t="shared" si="153"/>
        <v>1.7375108343600516E-2</v>
      </c>
      <c r="T2426" s="4">
        <f t="shared" si="153"/>
        <v>7.0429777241969548E-3</v>
      </c>
      <c r="U2426" s="35"/>
      <c r="V2426" s="35"/>
      <c r="W2426" s="35"/>
      <c r="X2426" s="35"/>
    </row>
    <row r="2427" spans="4:24" x14ac:dyDescent="0.3">
      <c r="D2427" s="23">
        <v>43103</v>
      </c>
      <c r="E2427" s="5">
        <v>243.85206600000001</v>
      </c>
      <c r="F2427" s="28">
        <v>68.614490000000004</v>
      </c>
      <c r="G2427" s="28">
        <v>124.82</v>
      </c>
      <c r="H2427" s="28">
        <v>153.3477</v>
      </c>
      <c r="I2427" s="28">
        <v>125.26779999999999</v>
      </c>
      <c r="J2427" s="29"/>
      <c r="K2427" s="29"/>
      <c r="L2427" s="29"/>
      <c r="M2427" s="29"/>
      <c r="N2427" s="29"/>
      <c r="P2427" s="4">
        <f t="shared" si="153"/>
        <v>6.3052042012235804E-3</v>
      </c>
      <c r="Q2427" s="4">
        <f t="shared" si="153"/>
        <v>8.6010072081522254E-4</v>
      </c>
      <c r="R2427" s="4">
        <f t="shared" si="153"/>
        <v>-2.640318371886401E-3</v>
      </c>
      <c r="S2427" s="4">
        <f t="shared" si="153"/>
        <v>9.6698312647430056E-3</v>
      </c>
      <c r="T2427" s="4">
        <f t="shared" si="153"/>
        <v>5.7706909300118932E-3</v>
      </c>
      <c r="U2427" s="35"/>
      <c r="V2427" s="35"/>
      <c r="W2427" s="35"/>
      <c r="X2427" s="35"/>
    </row>
    <row r="2428" spans="4:24" x14ac:dyDescent="0.3">
      <c r="D2428" s="23">
        <v>43104</v>
      </c>
      <c r="E2428" s="5">
        <v>244.879929</v>
      </c>
      <c r="F2428" s="28">
        <v>68.580770000000001</v>
      </c>
      <c r="G2428" s="28">
        <v>125.46</v>
      </c>
      <c r="H2428" s="28">
        <v>153.61600000000001</v>
      </c>
      <c r="I2428" s="28">
        <v>125.7454</v>
      </c>
      <c r="J2428" s="29"/>
      <c r="K2428" s="29"/>
      <c r="L2428" s="29"/>
      <c r="M2428" s="29"/>
      <c r="N2428" s="29"/>
      <c r="P2428" s="4">
        <f t="shared" si="153"/>
        <v>4.2062501574447212E-3</v>
      </c>
      <c r="Q2428" s="4">
        <f t="shared" si="153"/>
        <v>-4.9156218194412727E-4</v>
      </c>
      <c r="R2428" s="4">
        <f t="shared" si="153"/>
        <v>5.1142831627003565E-3</v>
      </c>
      <c r="S2428" s="4">
        <f t="shared" si="153"/>
        <v>1.7480898772265819E-3</v>
      </c>
      <c r="T2428" s="4">
        <f t="shared" si="153"/>
        <v>3.8053821579186421E-3</v>
      </c>
      <c r="U2428" s="35"/>
      <c r="V2428" s="35"/>
      <c r="W2428" s="35"/>
      <c r="X2428" s="35"/>
    </row>
    <row r="2429" spans="4:24" x14ac:dyDescent="0.3">
      <c r="D2429" s="23">
        <v>43105</v>
      </c>
      <c r="E2429" s="5">
        <v>246.51177999999999</v>
      </c>
      <c r="F2429" s="28">
        <v>68.48809</v>
      </c>
      <c r="G2429" s="28">
        <v>125.33</v>
      </c>
      <c r="H2429" s="28">
        <v>155.15870000000001</v>
      </c>
      <c r="I2429" s="28">
        <v>126.4843</v>
      </c>
      <c r="J2429" s="29"/>
      <c r="K2429" s="29"/>
      <c r="L2429" s="29"/>
      <c r="M2429" s="29"/>
      <c r="N2429" s="29"/>
      <c r="P2429" s="4">
        <f t="shared" si="153"/>
        <v>6.6417766883515366E-3</v>
      </c>
      <c r="Q2429" s="4">
        <f t="shared" si="153"/>
        <v>-1.3523131967983447E-3</v>
      </c>
      <c r="R2429" s="4">
        <f t="shared" si="153"/>
        <v>-1.0367240451663068E-3</v>
      </c>
      <c r="S2429" s="4">
        <f t="shared" si="153"/>
        <v>9.9924821333453717E-3</v>
      </c>
      <c r="T2429" s="4">
        <f t="shared" si="153"/>
        <v>5.8589619994048204E-3</v>
      </c>
      <c r="U2429" s="35"/>
      <c r="V2429" s="35"/>
      <c r="W2429" s="35"/>
      <c r="X2429" s="35"/>
    </row>
    <row r="2430" spans="4:24" x14ac:dyDescent="0.3">
      <c r="D2430" s="23">
        <v>43108</v>
      </c>
      <c r="E2430" s="5">
        <v>246.962616</v>
      </c>
      <c r="F2430" s="28">
        <v>68.496510000000001</v>
      </c>
      <c r="G2430" s="28">
        <v>125.31</v>
      </c>
      <c r="H2430" s="28">
        <v>155.76240000000001</v>
      </c>
      <c r="I2430" s="28">
        <v>126.7726</v>
      </c>
      <c r="J2430" s="29"/>
      <c r="K2430" s="29"/>
      <c r="L2430" s="29"/>
      <c r="M2430" s="29"/>
      <c r="N2430" s="29"/>
      <c r="P2430" s="4">
        <f t="shared" si="153"/>
        <v>1.8271915588146674E-3</v>
      </c>
      <c r="Q2430" s="4">
        <f t="shared" si="153"/>
        <v>1.2293352698930287E-4</v>
      </c>
      <c r="R2430" s="4">
        <f t="shared" si="153"/>
        <v>-1.5959144623716972E-4</v>
      </c>
      <c r="S2430" s="4">
        <f t="shared" si="153"/>
        <v>3.883305177116931E-3</v>
      </c>
      <c r="T2430" s="4">
        <f t="shared" si="153"/>
        <v>2.2767405313316789E-3</v>
      </c>
      <c r="U2430" s="35"/>
      <c r="V2430" s="35"/>
      <c r="W2430" s="35"/>
      <c r="X2430" s="35"/>
    </row>
    <row r="2431" spans="4:24" x14ac:dyDescent="0.3">
      <c r="D2431" s="23">
        <v>43109</v>
      </c>
      <c r="E2431" s="5">
        <v>247.521545</v>
      </c>
      <c r="F2431" s="28">
        <v>68.294219999999996</v>
      </c>
      <c r="G2431" s="28">
        <v>124.73</v>
      </c>
      <c r="H2431" s="28">
        <v>155.77199999999999</v>
      </c>
      <c r="I2431" s="28">
        <v>127.0069</v>
      </c>
      <c r="J2431" s="29"/>
      <c r="K2431" s="29"/>
      <c r="L2431" s="29"/>
      <c r="M2431" s="29"/>
      <c r="N2431" s="29"/>
      <c r="P2431" s="4">
        <f t="shared" si="153"/>
        <v>2.2606557787677498E-3</v>
      </c>
      <c r="Q2431" s="4">
        <f t="shared" si="153"/>
        <v>-2.9576587165679913E-3</v>
      </c>
      <c r="R2431" s="4">
        <f t="shared" si="153"/>
        <v>-4.6392660395759228E-3</v>
      </c>
      <c r="S2431" s="4">
        <f t="shared" si="153"/>
        <v>6.1630433127322221E-5</v>
      </c>
      <c r="T2431" s="4">
        <f t="shared" si="153"/>
        <v>1.8464853667901195E-3</v>
      </c>
      <c r="U2431" s="35"/>
      <c r="V2431" s="35"/>
      <c r="W2431" s="35"/>
      <c r="X2431" s="35"/>
    </row>
    <row r="2432" spans="4:24" x14ac:dyDescent="0.3">
      <c r="D2432" s="23">
        <v>43110</v>
      </c>
      <c r="E2432" s="5">
        <v>247.142807</v>
      </c>
      <c r="F2432" s="28">
        <v>68.302620000000005</v>
      </c>
      <c r="G2432" s="28">
        <v>125.03</v>
      </c>
      <c r="H2432" s="28">
        <v>155.40790000000001</v>
      </c>
      <c r="I2432" s="28">
        <v>126.8087</v>
      </c>
      <c r="J2432" s="29"/>
      <c r="K2432" s="29"/>
      <c r="L2432" s="29"/>
      <c r="M2432" s="29"/>
      <c r="N2432" s="29"/>
      <c r="P2432" s="4">
        <f t="shared" si="153"/>
        <v>-1.5312931788028009E-3</v>
      </c>
      <c r="Q2432" s="4">
        <f t="shared" si="153"/>
        <v>1.2298966814454132E-4</v>
      </c>
      <c r="R2432" s="4">
        <f t="shared" si="153"/>
        <v>2.4023073692905341E-3</v>
      </c>
      <c r="S2432" s="4">
        <f t="shared" si="153"/>
        <v>-2.340126506607621E-3</v>
      </c>
      <c r="T2432" s="4">
        <f t="shared" si="153"/>
        <v>-1.5617640545806364E-3</v>
      </c>
      <c r="U2432" s="35"/>
      <c r="V2432" s="35"/>
      <c r="W2432" s="35"/>
      <c r="X2432" s="35"/>
    </row>
    <row r="2433" spans="4:24" x14ac:dyDescent="0.3">
      <c r="D2433" s="23">
        <v>43111</v>
      </c>
      <c r="E2433" s="5">
        <v>248.94605999999999</v>
      </c>
      <c r="F2433" s="28">
        <v>68.302620000000005</v>
      </c>
      <c r="G2433" s="28">
        <v>125.44</v>
      </c>
      <c r="H2433" s="28">
        <v>156.47149999999999</v>
      </c>
      <c r="I2433" s="28">
        <v>127.881</v>
      </c>
      <c r="J2433" s="29"/>
      <c r="K2433" s="29"/>
      <c r="L2433" s="29"/>
      <c r="M2433" s="29"/>
      <c r="N2433" s="29"/>
      <c r="P2433" s="4">
        <f t="shared" si="153"/>
        <v>7.2699109454554692E-3</v>
      </c>
      <c r="Q2433" s="4">
        <f t="shared" si="153"/>
        <v>0</v>
      </c>
      <c r="R2433" s="4">
        <f t="shared" si="153"/>
        <v>3.273848095189318E-3</v>
      </c>
      <c r="S2433" s="4">
        <f t="shared" si="153"/>
        <v>6.8206115779704578E-3</v>
      </c>
      <c r="T2433" s="4">
        <f t="shared" si="153"/>
        <v>8.4204923553452063E-3</v>
      </c>
      <c r="U2433" s="35"/>
      <c r="V2433" s="35"/>
      <c r="W2433" s="35"/>
      <c r="X2433" s="35"/>
    </row>
    <row r="2434" spans="4:24" x14ac:dyDescent="0.3">
      <c r="D2434" s="23">
        <v>43112</v>
      </c>
      <c r="E2434" s="5">
        <v>250.56887800000001</v>
      </c>
      <c r="F2434" s="28">
        <v>68.294219999999996</v>
      </c>
      <c r="G2434" s="28">
        <v>126.96</v>
      </c>
      <c r="H2434" s="28">
        <v>157.62139999999999</v>
      </c>
      <c r="I2434" s="28">
        <v>128.62880000000001</v>
      </c>
      <c r="J2434" s="29"/>
      <c r="K2434" s="29"/>
      <c r="L2434" s="29"/>
      <c r="M2434" s="29"/>
      <c r="N2434" s="29"/>
      <c r="P2434" s="4">
        <f t="shared" si="153"/>
        <v>6.4975983138515405E-3</v>
      </c>
      <c r="Q2434" s="4">
        <f t="shared" si="153"/>
        <v>-1.229896681445005E-4</v>
      </c>
      <c r="R2434" s="4">
        <f t="shared" si="153"/>
        <v>1.2044519616055826E-2</v>
      </c>
      <c r="S2434" s="4">
        <f t="shared" si="153"/>
        <v>7.3220702373953325E-3</v>
      </c>
      <c r="T2434" s="4">
        <f t="shared" si="153"/>
        <v>5.8305929715327812E-3</v>
      </c>
      <c r="U2434" s="35"/>
      <c r="V2434" s="35"/>
      <c r="W2434" s="35"/>
      <c r="X2434" s="35"/>
    </row>
    <row r="2435" spans="4:24" x14ac:dyDescent="0.3">
      <c r="D2435" s="23">
        <v>43116</v>
      </c>
      <c r="E2435" s="5">
        <v>249.712402</v>
      </c>
      <c r="F2435" s="28">
        <v>68.344830000000002</v>
      </c>
      <c r="G2435" s="28">
        <v>127.17</v>
      </c>
      <c r="H2435" s="28">
        <v>157.17099999999999</v>
      </c>
      <c r="I2435" s="28">
        <v>128.06120000000001</v>
      </c>
      <c r="J2435" s="29"/>
      <c r="K2435" s="29"/>
      <c r="L2435" s="29"/>
      <c r="M2435" s="29"/>
      <c r="N2435" s="29"/>
      <c r="P2435" s="4">
        <f t="shared" si="153"/>
        <v>-3.4239811521698605E-3</v>
      </c>
      <c r="Q2435" s="4">
        <f t="shared" si="153"/>
        <v>7.4078387275685806E-4</v>
      </c>
      <c r="R2435" s="4">
        <f t="shared" si="153"/>
        <v>1.6526978145019206E-3</v>
      </c>
      <c r="S2435" s="4">
        <f t="shared" si="153"/>
        <v>-2.8615704022387834E-3</v>
      </c>
      <c r="T2435" s="4">
        <f t="shared" si="153"/>
        <v>-4.4224623094104108E-3</v>
      </c>
      <c r="U2435" s="35"/>
      <c r="V2435" s="35"/>
      <c r="W2435" s="35"/>
      <c r="X2435" s="35"/>
    </row>
    <row r="2436" spans="4:24" x14ac:dyDescent="0.3">
      <c r="D2436" s="23">
        <v>43117</v>
      </c>
      <c r="E2436" s="5">
        <v>252.09260599999999</v>
      </c>
      <c r="F2436" s="28">
        <v>68.268910000000005</v>
      </c>
      <c r="G2436" s="28">
        <v>126.14</v>
      </c>
      <c r="H2436" s="28">
        <v>158.86709999999999</v>
      </c>
      <c r="I2436" s="28">
        <v>129.24160000000001</v>
      </c>
      <c r="J2436" s="29"/>
      <c r="K2436" s="29"/>
      <c r="L2436" s="29"/>
      <c r="M2436" s="29"/>
      <c r="N2436" s="29"/>
      <c r="P2436" s="4">
        <f t="shared" si="153"/>
        <v>9.4866404791987859E-3</v>
      </c>
      <c r="Q2436" s="4">
        <f t="shared" si="153"/>
        <v>-1.1114549358728955E-3</v>
      </c>
      <c r="R2436" s="4">
        <f t="shared" si="153"/>
        <v>-8.1323727971503498E-3</v>
      </c>
      <c r="S2436" s="4">
        <f t="shared" si="153"/>
        <v>1.0733619041652353E-2</v>
      </c>
      <c r="T2436" s="4">
        <f t="shared" si="153"/>
        <v>9.1752462934754364E-3</v>
      </c>
      <c r="U2436" s="35"/>
      <c r="V2436" s="35"/>
      <c r="W2436" s="35"/>
      <c r="X2436" s="35"/>
    </row>
    <row r="2437" spans="4:24" x14ac:dyDescent="0.3">
      <c r="D2437" s="23">
        <v>43118</v>
      </c>
      <c r="E2437" s="5">
        <v>251.668869</v>
      </c>
      <c r="F2437" s="28">
        <v>68.13409</v>
      </c>
      <c r="G2437" s="28">
        <v>125.86</v>
      </c>
      <c r="H2437" s="28">
        <v>158.89590000000001</v>
      </c>
      <c r="I2437" s="28">
        <v>129.0163</v>
      </c>
      <c r="J2437" s="29"/>
      <c r="K2437" s="29"/>
      <c r="L2437" s="29"/>
      <c r="M2437" s="29"/>
      <c r="N2437" s="29"/>
      <c r="P2437" s="4">
        <f t="shared" ref="P2437:T2452" si="154">LN(E2437/E2436)</f>
        <v>-1.6822925966504967E-3</v>
      </c>
      <c r="Q2437" s="4">
        <f t="shared" si="154"/>
        <v>-1.9767900105275588E-3</v>
      </c>
      <c r="R2437" s="4">
        <f t="shared" si="154"/>
        <v>-2.2222231367176669E-3</v>
      </c>
      <c r="S2437" s="4">
        <f t="shared" si="154"/>
        <v>1.812671713125402E-4</v>
      </c>
      <c r="T2437" s="4">
        <f t="shared" si="154"/>
        <v>-1.7447679792574717E-3</v>
      </c>
      <c r="U2437" s="35"/>
      <c r="V2437" s="35"/>
      <c r="W2437" s="35"/>
      <c r="X2437" s="35"/>
    </row>
    <row r="2438" spans="4:24" x14ac:dyDescent="0.3">
      <c r="D2438" s="23">
        <v>43119</v>
      </c>
      <c r="E2438" s="5">
        <v>252.81376599999999</v>
      </c>
      <c r="F2438" s="28">
        <v>67.990790000000004</v>
      </c>
      <c r="G2438" s="28">
        <v>126.42</v>
      </c>
      <c r="H2438" s="28">
        <v>159.39420000000001</v>
      </c>
      <c r="I2438" s="28">
        <v>129.6831</v>
      </c>
      <c r="J2438" s="29"/>
      <c r="K2438" s="29"/>
      <c r="L2438" s="29"/>
      <c r="M2438" s="29"/>
      <c r="N2438" s="29"/>
      <c r="P2438" s="4">
        <f t="shared" si="154"/>
        <v>4.5389033680520554E-3</v>
      </c>
      <c r="Q2438" s="4">
        <f t="shared" si="154"/>
        <v>-2.1054204482671688E-3</v>
      </c>
      <c r="R2438" s="4">
        <f t="shared" si="154"/>
        <v>4.4395189453651203E-3</v>
      </c>
      <c r="S2438" s="4">
        <f t="shared" si="154"/>
        <v>3.1311084265856545E-3</v>
      </c>
      <c r="T2438" s="4">
        <f t="shared" si="154"/>
        <v>5.1550291701181845E-3</v>
      </c>
      <c r="U2438" s="35"/>
      <c r="V2438" s="35"/>
      <c r="W2438" s="35"/>
      <c r="X2438" s="35"/>
    </row>
    <row r="2439" spans="4:24" x14ac:dyDescent="0.3">
      <c r="D2439" s="23">
        <v>43122</v>
      </c>
      <c r="E2439" s="5">
        <v>254.869461</v>
      </c>
      <c r="F2439" s="28">
        <v>67.94023</v>
      </c>
      <c r="G2439" s="28">
        <v>126.65</v>
      </c>
      <c r="H2439" s="28">
        <v>161.09979999999999</v>
      </c>
      <c r="I2439" s="28">
        <v>130.71029999999999</v>
      </c>
      <c r="J2439" s="29"/>
      <c r="K2439" s="29"/>
      <c r="L2439" s="29"/>
      <c r="M2439" s="29"/>
      <c r="N2439" s="29"/>
      <c r="P2439" s="4">
        <f t="shared" si="154"/>
        <v>8.0983815327388062E-3</v>
      </c>
      <c r="Q2439" s="4">
        <f t="shared" si="154"/>
        <v>-7.4390675993825373E-4</v>
      </c>
      <c r="R2439" s="4">
        <f t="shared" si="154"/>
        <v>1.8176794035315918E-3</v>
      </c>
      <c r="S2439" s="4">
        <f t="shared" si="154"/>
        <v>1.0643669472301972E-2</v>
      </c>
      <c r="T2439" s="4">
        <f t="shared" si="154"/>
        <v>7.8896418134286224E-3</v>
      </c>
      <c r="U2439" s="35"/>
      <c r="V2439" s="35"/>
      <c r="W2439" s="35"/>
      <c r="X2439" s="35"/>
    </row>
    <row r="2440" spans="4:24" x14ac:dyDescent="0.3">
      <c r="D2440" s="23">
        <v>43123</v>
      </c>
      <c r="E2440" s="5">
        <v>255.410416</v>
      </c>
      <c r="F2440" s="28">
        <v>68.117239999999995</v>
      </c>
      <c r="G2440" s="28">
        <v>127.28</v>
      </c>
      <c r="H2440" s="28">
        <v>162.43180000000001</v>
      </c>
      <c r="I2440" s="28">
        <v>131.03469999999999</v>
      </c>
      <c r="J2440" s="29"/>
      <c r="K2440" s="29"/>
      <c r="L2440" s="29"/>
      <c r="M2440" s="29"/>
      <c r="N2440" s="29"/>
      <c r="P2440" s="4">
        <f t="shared" si="154"/>
        <v>2.1202294153939683E-3</v>
      </c>
      <c r="Q2440" s="4">
        <f t="shared" si="154"/>
        <v>2.6019901717756239E-3</v>
      </c>
      <c r="R2440" s="4">
        <f t="shared" si="154"/>
        <v>4.9620075818472675E-3</v>
      </c>
      <c r="S2440" s="4">
        <f t="shared" si="154"/>
        <v>8.2341726494044882E-3</v>
      </c>
      <c r="T2440" s="4">
        <f t="shared" si="154"/>
        <v>2.4787496693208463E-3</v>
      </c>
      <c r="U2440" s="35"/>
      <c r="V2440" s="35"/>
      <c r="W2440" s="35"/>
      <c r="X2440" s="35"/>
    </row>
    <row r="2441" spans="4:24" x14ac:dyDescent="0.3">
      <c r="D2441" s="23">
        <v>43124</v>
      </c>
      <c r="E2441" s="5">
        <v>255.31123400000001</v>
      </c>
      <c r="F2441" s="28">
        <v>68.041380000000004</v>
      </c>
      <c r="G2441" s="28">
        <v>128.83000000000001</v>
      </c>
      <c r="H2441" s="28">
        <v>161.3777</v>
      </c>
      <c r="I2441" s="28">
        <v>130.90860000000001</v>
      </c>
      <c r="J2441" s="29"/>
      <c r="K2441" s="29"/>
      <c r="L2441" s="29"/>
      <c r="M2441" s="29"/>
      <c r="N2441" s="29"/>
      <c r="P2441" s="4">
        <f t="shared" si="154"/>
        <v>-3.8839943929074001E-4</v>
      </c>
      <c r="Q2441" s="4">
        <f t="shared" si="154"/>
        <v>-1.114288729559989E-3</v>
      </c>
      <c r="R2441" s="4">
        <f t="shared" si="154"/>
        <v>1.2104321773901987E-2</v>
      </c>
      <c r="S2441" s="4">
        <f t="shared" si="154"/>
        <v>-6.5106411236809745E-3</v>
      </c>
      <c r="T2441" s="4">
        <f t="shared" si="154"/>
        <v>-9.6280385672096699E-4</v>
      </c>
      <c r="U2441" s="35"/>
      <c r="V2441" s="35"/>
      <c r="W2441" s="35"/>
      <c r="X2441" s="35"/>
    </row>
    <row r="2442" spans="4:24" x14ac:dyDescent="0.3">
      <c r="D2442" s="23">
        <v>43125</v>
      </c>
      <c r="E2442" s="5">
        <v>255.419388</v>
      </c>
      <c r="F2442" s="28">
        <v>68.226799999999997</v>
      </c>
      <c r="G2442" s="28">
        <v>127.97</v>
      </c>
      <c r="H2442" s="28">
        <v>161.3203</v>
      </c>
      <c r="I2442" s="28">
        <v>130.96260000000001</v>
      </c>
      <c r="J2442" s="29"/>
      <c r="K2442" s="29"/>
      <c r="L2442" s="29"/>
      <c r="M2442" s="29"/>
      <c r="N2442" s="29"/>
      <c r="P2442" s="4">
        <f t="shared" si="154"/>
        <v>4.235265987895194E-4</v>
      </c>
      <c r="Q2442" s="4">
        <f t="shared" si="154"/>
        <v>2.7214000280226846E-3</v>
      </c>
      <c r="R2442" s="4">
        <f t="shared" si="154"/>
        <v>-6.6978443539289006E-3</v>
      </c>
      <c r="S2442" s="4">
        <f t="shared" si="154"/>
        <v>-3.5575058169169942E-4</v>
      </c>
      <c r="T2442" s="4">
        <f t="shared" si="154"/>
        <v>4.1241649150719451E-4</v>
      </c>
      <c r="U2442" s="35"/>
      <c r="V2442" s="35"/>
      <c r="W2442" s="35"/>
      <c r="X2442" s="35"/>
    </row>
    <row r="2443" spans="4:24" x14ac:dyDescent="0.3">
      <c r="D2443" s="23">
        <v>43126</v>
      </c>
      <c r="E2443" s="5">
        <v>258.37649499999998</v>
      </c>
      <c r="F2443" s="28">
        <v>68.100399999999993</v>
      </c>
      <c r="G2443" s="28">
        <v>128.07</v>
      </c>
      <c r="H2443" s="28">
        <v>163.79249999999999</v>
      </c>
      <c r="I2443" s="28">
        <v>132.3323</v>
      </c>
      <c r="J2443" s="29"/>
      <c r="K2443" s="29"/>
      <c r="L2443" s="29"/>
      <c r="M2443" s="29"/>
      <c r="N2443" s="29"/>
      <c r="P2443" s="4">
        <f t="shared" si="154"/>
        <v>1.1510951137027997E-2</v>
      </c>
      <c r="Q2443" s="4">
        <f t="shared" si="154"/>
        <v>-1.8543626836107139E-3</v>
      </c>
      <c r="R2443" s="4">
        <f t="shared" si="154"/>
        <v>7.8112798847584843E-4</v>
      </c>
      <c r="S2443" s="4">
        <f t="shared" si="154"/>
        <v>1.5208553163638446E-2</v>
      </c>
      <c r="T2443" s="4">
        <f t="shared" si="154"/>
        <v>1.0404397168210296E-2</v>
      </c>
      <c r="U2443" s="35"/>
      <c r="V2443" s="35"/>
      <c r="W2443" s="35"/>
      <c r="X2443" s="35"/>
    </row>
    <row r="2444" spans="4:24" x14ac:dyDescent="0.3">
      <c r="D2444" s="23">
        <v>43129</v>
      </c>
      <c r="E2444" s="5">
        <v>256.663635</v>
      </c>
      <c r="F2444" s="28">
        <v>68.007639999999995</v>
      </c>
      <c r="G2444" s="28">
        <v>127.35</v>
      </c>
      <c r="H2444" s="28">
        <v>162.99709999999999</v>
      </c>
      <c r="I2444" s="28">
        <v>131.46719999999999</v>
      </c>
      <c r="J2444" s="29"/>
      <c r="K2444" s="29"/>
      <c r="L2444" s="29"/>
      <c r="M2444" s="29"/>
      <c r="N2444" s="29"/>
      <c r="P2444" s="4">
        <f t="shared" si="154"/>
        <v>-6.6513897271649183E-3</v>
      </c>
      <c r="Q2444" s="4">
        <f t="shared" si="154"/>
        <v>-1.3630350471770685E-3</v>
      </c>
      <c r="R2444" s="4">
        <f t="shared" si="154"/>
        <v>-5.6377880125144065E-3</v>
      </c>
      <c r="S2444" s="4">
        <f t="shared" si="154"/>
        <v>-4.8679735874494956E-3</v>
      </c>
      <c r="T2444" s="4">
        <f t="shared" si="154"/>
        <v>-6.5587925770883189E-3</v>
      </c>
      <c r="U2444" s="35"/>
      <c r="V2444" s="35"/>
      <c r="W2444" s="35"/>
      <c r="X2444" s="35"/>
    </row>
    <row r="2445" spans="4:24" x14ac:dyDescent="0.3">
      <c r="D2445" s="23">
        <v>43130</v>
      </c>
      <c r="E2445" s="5">
        <v>254.03100599999999</v>
      </c>
      <c r="F2445" s="28">
        <v>67.881230000000002</v>
      </c>
      <c r="G2445" s="28">
        <v>126.8</v>
      </c>
      <c r="H2445" s="28">
        <v>161.65559999999999</v>
      </c>
      <c r="I2445" s="28">
        <v>130.0976</v>
      </c>
      <c r="J2445" s="29"/>
      <c r="K2445" s="29"/>
      <c r="L2445" s="29"/>
      <c r="M2445" s="29"/>
      <c r="N2445" s="29"/>
      <c r="P2445" s="4">
        <f t="shared" si="154"/>
        <v>-1.0310083986913189E-2</v>
      </c>
      <c r="Q2445" s="4">
        <f t="shared" si="154"/>
        <v>-1.8604913921684816E-3</v>
      </c>
      <c r="R2445" s="4">
        <f t="shared" si="154"/>
        <v>-4.3281594223404584E-3</v>
      </c>
      <c r="S2445" s="4">
        <f t="shared" si="154"/>
        <v>-8.2642629193794715E-3</v>
      </c>
      <c r="T2445" s="4">
        <f t="shared" si="154"/>
        <v>-1.0472452847162236E-2</v>
      </c>
      <c r="U2445" s="35"/>
      <c r="V2445" s="35"/>
      <c r="W2445" s="35"/>
      <c r="X2445" s="35"/>
    </row>
    <row r="2446" spans="4:24" x14ac:dyDescent="0.3">
      <c r="D2446" s="23">
        <v>43131</v>
      </c>
      <c r="E2446" s="5">
        <v>254.15725699999999</v>
      </c>
      <c r="F2446" s="28">
        <v>67.898060000000001</v>
      </c>
      <c r="G2446" s="28">
        <v>127.65</v>
      </c>
      <c r="H2446" s="28">
        <v>162.32640000000001</v>
      </c>
      <c r="I2446" s="28">
        <v>130.14269999999999</v>
      </c>
      <c r="J2446" s="29"/>
      <c r="K2446" s="29"/>
      <c r="L2446" s="29"/>
      <c r="M2446" s="29"/>
      <c r="N2446" s="29"/>
      <c r="P2446" s="4">
        <f t="shared" si="154"/>
        <v>4.9686705415840574E-4</v>
      </c>
      <c r="Q2446" s="4">
        <f t="shared" si="154"/>
        <v>2.479023139124892E-4</v>
      </c>
      <c r="R2446" s="4">
        <f t="shared" si="154"/>
        <v>6.6811016843673528E-3</v>
      </c>
      <c r="S2446" s="4">
        <f t="shared" si="154"/>
        <v>4.1409767120118993E-3</v>
      </c>
      <c r="T2446" s="4">
        <f t="shared" si="154"/>
        <v>3.4660273947956119E-4</v>
      </c>
      <c r="U2446" s="35"/>
      <c r="V2446" s="35"/>
      <c r="W2446" s="35"/>
      <c r="X2446" s="35"/>
    </row>
    <row r="2447" spans="4:24" x14ac:dyDescent="0.3">
      <c r="D2447" s="23">
        <v>43132</v>
      </c>
      <c r="E2447" s="5">
        <v>253.868729</v>
      </c>
      <c r="F2447" s="28">
        <v>67.709760000000003</v>
      </c>
      <c r="G2447" s="28">
        <v>128.07</v>
      </c>
      <c r="H2447" s="28">
        <v>160.94649999999999</v>
      </c>
      <c r="I2447" s="28">
        <v>130.08860000000001</v>
      </c>
      <c r="J2447" s="29"/>
      <c r="K2447" s="29"/>
      <c r="L2447" s="29"/>
      <c r="M2447" s="29"/>
      <c r="N2447" s="29"/>
      <c r="P2447" s="4">
        <f t="shared" si="154"/>
        <v>-1.1358790257711873E-3</v>
      </c>
      <c r="Q2447" s="4">
        <f t="shared" si="154"/>
        <v>-2.7771277647704608E-3</v>
      </c>
      <c r="R2447" s="4">
        <f t="shared" si="154"/>
        <v>3.2848457504875556E-3</v>
      </c>
      <c r="S2447" s="4">
        <f t="shared" si="154"/>
        <v>-8.5371114055256634E-3</v>
      </c>
      <c r="T2447" s="4">
        <f t="shared" si="154"/>
        <v>-4.1578396433760784E-4</v>
      </c>
      <c r="U2447" s="35"/>
      <c r="V2447" s="35"/>
      <c r="W2447" s="35"/>
      <c r="X2447" s="35"/>
    </row>
    <row r="2448" spans="4:24" x14ac:dyDescent="0.3">
      <c r="D2448" s="23">
        <v>43133</v>
      </c>
      <c r="E2448" s="5">
        <v>248.34193400000001</v>
      </c>
      <c r="F2448" s="28">
        <v>67.507040000000003</v>
      </c>
      <c r="G2448" s="28">
        <v>126.39</v>
      </c>
      <c r="H2448" s="28">
        <v>157.7364</v>
      </c>
      <c r="I2448" s="28">
        <v>127.3223</v>
      </c>
      <c r="J2448" s="29"/>
      <c r="K2448" s="29"/>
      <c r="L2448" s="29"/>
      <c r="M2448" s="29"/>
      <c r="N2448" s="29"/>
      <c r="P2448" s="4">
        <f t="shared" si="154"/>
        <v>-2.20107557942547E-2</v>
      </c>
      <c r="Q2448" s="4">
        <f t="shared" si="154"/>
        <v>-2.9984462268376078E-3</v>
      </c>
      <c r="R2448" s="4">
        <f t="shared" si="154"/>
        <v>-1.32046247789455E-2</v>
      </c>
      <c r="S2448" s="4">
        <f t="shared" si="154"/>
        <v>-2.0146726281065005E-2</v>
      </c>
      <c r="T2448" s="4">
        <f t="shared" si="154"/>
        <v>-2.1494089805707731E-2</v>
      </c>
      <c r="U2448" s="35"/>
      <c r="V2448" s="35"/>
      <c r="W2448" s="35"/>
      <c r="X2448" s="35"/>
    </row>
    <row r="2449" spans="4:24" x14ac:dyDescent="0.3">
      <c r="D2449" s="23">
        <v>43136</v>
      </c>
      <c r="E2449" s="5">
        <v>237.955658</v>
      </c>
      <c r="F2449" s="28">
        <v>67.80265</v>
      </c>
      <c r="G2449" s="28">
        <v>126.71</v>
      </c>
      <c r="H2449" s="28">
        <v>151.51740000000001</v>
      </c>
      <c r="I2449" s="28">
        <v>122.31229999999999</v>
      </c>
      <c r="J2449" s="29"/>
      <c r="K2449" s="29"/>
      <c r="L2449" s="29"/>
      <c r="M2449" s="29"/>
      <c r="N2449" s="29"/>
      <c r="P2449" s="4">
        <f t="shared" si="154"/>
        <v>-4.2722217279700388E-2</v>
      </c>
      <c r="Q2449" s="4">
        <f t="shared" si="154"/>
        <v>4.3693909919525513E-3</v>
      </c>
      <c r="R2449" s="4">
        <f t="shared" si="154"/>
        <v>2.5286461517819527E-3</v>
      </c>
      <c r="S2449" s="4">
        <f t="shared" si="154"/>
        <v>-4.0224815503846621E-2</v>
      </c>
      <c r="T2449" s="4">
        <f t="shared" si="154"/>
        <v>-4.0144056970438387E-2</v>
      </c>
      <c r="U2449" s="35"/>
      <c r="V2449" s="35"/>
      <c r="W2449" s="35"/>
      <c r="X2449" s="35"/>
    </row>
    <row r="2450" spans="4:24" x14ac:dyDescent="0.3">
      <c r="D2450" s="23">
        <v>43137</v>
      </c>
      <c r="E2450" s="5">
        <v>242.64392100000001</v>
      </c>
      <c r="F2450" s="28">
        <v>67.583039999999997</v>
      </c>
      <c r="G2450" s="28">
        <v>125.38</v>
      </c>
      <c r="H2450" s="28">
        <v>155.5324</v>
      </c>
      <c r="I2450" s="28">
        <v>124.31270000000001</v>
      </c>
      <c r="J2450" s="29"/>
      <c r="K2450" s="29"/>
      <c r="L2450" s="29"/>
      <c r="M2450" s="29"/>
      <c r="N2450" s="29"/>
      <c r="P2450" s="4">
        <f t="shared" si="154"/>
        <v>1.95106776035186E-2</v>
      </c>
      <c r="Q2450" s="4">
        <f t="shared" si="154"/>
        <v>-3.2442157308510619E-3</v>
      </c>
      <c r="R2450" s="4">
        <f t="shared" si="154"/>
        <v>-1.0551884964994464E-2</v>
      </c>
      <c r="S2450" s="4">
        <f t="shared" si="154"/>
        <v>2.6153600204303826E-2</v>
      </c>
      <c r="T2450" s="4">
        <f t="shared" si="154"/>
        <v>1.6222555462457298E-2</v>
      </c>
      <c r="U2450" s="35"/>
      <c r="V2450" s="35"/>
      <c r="W2450" s="35"/>
      <c r="X2450" s="35"/>
    </row>
    <row r="2451" spans="4:24" x14ac:dyDescent="0.3">
      <c r="D2451" s="23">
        <v>43138</v>
      </c>
      <c r="E2451" s="5">
        <v>241.32762099999999</v>
      </c>
      <c r="F2451" s="28">
        <v>67.430989999999994</v>
      </c>
      <c r="G2451" s="28">
        <v>124.79</v>
      </c>
      <c r="H2451" s="28">
        <v>153.52010000000001</v>
      </c>
      <c r="I2451" s="28">
        <v>123.76300000000001</v>
      </c>
      <c r="J2451" s="29"/>
      <c r="K2451" s="29"/>
      <c r="L2451" s="29"/>
      <c r="M2451" s="29"/>
      <c r="N2451" s="29"/>
      <c r="P2451" s="4">
        <f t="shared" si="154"/>
        <v>-5.4395894446196734E-3</v>
      </c>
      <c r="Q2451" s="4">
        <f t="shared" si="154"/>
        <v>-2.2523594663560807E-3</v>
      </c>
      <c r="R2451" s="4">
        <f t="shared" si="154"/>
        <v>-4.7168013260594378E-3</v>
      </c>
      <c r="S2451" s="4">
        <f t="shared" si="154"/>
        <v>-1.3022566963789372E-2</v>
      </c>
      <c r="T2451" s="4">
        <f t="shared" si="154"/>
        <v>-4.4317190251322034E-3</v>
      </c>
      <c r="U2451" s="35"/>
      <c r="V2451" s="35"/>
      <c r="W2451" s="35"/>
      <c r="X2451" s="35"/>
    </row>
    <row r="2452" spans="4:24" x14ac:dyDescent="0.3">
      <c r="D2452" s="23">
        <v>43139</v>
      </c>
      <c r="E2452" s="5">
        <v>232.275711</v>
      </c>
      <c r="F2452" s="28">
        <v>67.380300000000005</v>
      </c>
      <c r="G2452" s="28">
        <v>124.98</v>
      </c>
      <c r="H2452" s="28">
        <v>147.04239999999999</v>
      </c>
      <c r="I2452" s="28">
        <v>119.3117</v>
      </c>
      <c r="J2452" s="29"/>
      <c r="K2452" s="29"/>
      <c r="L2452" s="29"/>
      <c r="M2452" s="29"/>
      <c r="N2452" s="29"/>
      <c r="P2452" s="4">
        <f t="shared" si="154"/>
        <v>-3.8230357998476197E-2</v>
      </c>
      <c r="Q2452" s="4">
        <f t="shared" si="154"/>
        <v>-7.5201420279947704E-4</v>
      </c>
      <c r="R2452" s="4">
        <f t="shared" si="154"/>
        <v>1.5213999811725554E-3</v>
      </c>
      <c r="S2452" s="4">
        <f t="shared" si="154"/>
        <v>-4.3110522516759613E-2</v>
      </c>
      <c r="T2452" s="4">
        <f t="shared" si="154"/>
        <v>-3.6629050054139398E-2</v>
      </c>
      <c r="U2452" s="35"/>
      <c r="V2452" s="35"/>
      <c r="W2452" s="35"/>
      <c r="X2452" s="35"/>
    </row>
    <row r="2453" spans="4:24" x14ac:dyDescent="0.3">
      <c r="D2453" s="23">
        <v>43140</v>
      </c>
      <c r="E2453" s="5">
        <v>235.76480100000001</v>
      </c>
      <c r="F2453" s="28">
        <v>67.211370000000002</v>
      </c>
      <c r="G2453" s="28">
        <v>124.77</v>
      </c>
      <c r="H2453" s="28">
        <v>149.58179999999999</v>
      </c>
      <c r="I2453" s="28">
        <v>120.9517</v>
      </c>
      <c r="J2453" s="29"/>
      <c r="K2453" s="29"/>
      <c r="L2453" s="29"/>
      <c r="M2453" s="29"/>
      <c r="N2453" s="29"/>
      <c r="P2453" s="4">
        <f t="shared" ref="P2453:T2468" si="155">LN(E2453/E2452)</f>
        <v>1.4909626602025782E-2</v>
      </c>
      <c r="Q2453" s="4">
        <f t="shared" si="155"/>
        <v>-2.5102606826718854E-3</v>
      </c>
      <c r="R2453" s="4">
        <f t="shared" si="155"/>
        <v>-1.6816820780057263E-3</v>
      </c>
      <c r="S2453" s="4">
        <f t="shared" si="155"/>
        <v>1.7122419822060871E-2</v>
      </c>
      <c r="T2453" s="4">
        <f t="shared" si="155"/>
        <v>1.3651895969758581E-2</v>
      </c>
      <c r="U2453" s="35"/>
      <c r="V2453" s="35"/>
      <c r="W2453" s="35"/>
      <c r="X2453" s="35"/>
    </row>
    <row r="2454" spans="4:24" x14ac:dyDescent="0.3">
      <c r="D2454" s="23">
        <v>43143</v>
      </c>
      <c r="E2454" s="5">
        <v>239.22699</v>
      </c>
      <c r="F2454" s="28">
        <v>67.228260000000006</v>
      </c>
      <c r="G2454" s="28">
        <v>125.37</v>
      </c>
      <c r="H2454" s="28">
        <v>152.23609999999999</v>
      </c>
      <c r="I2454" s="28">
        <v>122.5646</v>
      </c>
      <c r="J2454" s="29"/>
      <c r="K2454" s="29"/>
      <c r="L2454" s="29"/>
      <c r="M2454" s="29"/>
      <c r="N2454" s="29"/>
      <c r="P2454" s="4">
        <f t="shared" si="155"/>
        <v>1.4578148007792613E-2</v>
      </c>
      <c r="Q2454" s="4">
        <f t="shared" si="155"/>
        <v>2.5126519745501976E-4</v>
      </c>
      <c r="R2454" s="4">
        <f t="shared" si="155"/>
        <v>4.797322705003812E-3</v>
      </c>
      <c r="S2454" s="4">
        <f t="shared" si="155"/>
        <v>1.758920482816264E-2</v>
      </c>
      <c r="T2454" s="4">
        <f t="shared" si="155"/>
        <v>1.3246945572973701E-2</v>
      </c>
      <c r="U2454" s="35"/>
      <c r="V2454" s="35"/>
      <c r="W2454" s="35"/>
      <c r="X2454" s="35"/>
    </row>
    <row r="2455" spans="4:24" x14ac:dyDescent="0.3">
      <c r="D2455" s="23">
        <v>43144</v>
      </c>
      <c r="E2455" s="5">
        <v>239.821991</v>
      </c>
      <c r="F2455" s="28">
        <v>67.287390000000002</v>
      </c>
      <c r="G2455" s="28">
        <v>126.08</v>
      </c>
      <c r="H2455" s="28">
        <v>153.02180000000001</v>
      </c>
      <c r="I2455" s="28">
        <v>122.952</v>
      </c>
      <c r="J2455" s="29"/>
      <c r="K2455" s="29"/>
      <c r="L2455" s="29"/>
      <c r="M2455" s="29"/>
      <c r="N2455" s="29"/>
      <c r="P2455" s="4">
        <f t="shared" si="155"/>
        <v>2.4840938173937297E-3</v>
      </c>
      <c r="Q2455" s="4">
        <f t="shared" si="155"/>
        <v>8.7915426656325806E-4</v>
      </c>
      <c r="R2455" s="4">
        <f t="shared" si="155"/>
        <v>5.6472609816352708E-3</v>
      </c>
      <c r="S2455" s="4">
        <f t="shared" si="155"/>
        <v>5.1477896891096928E-3</v>
      </c>
      <c r="T2455" s="4">
        <f t="shared" si="155"/>
        <v>3.1557973799856923E-3</v>
      </c>
      <c r="U2455" s="35"/>
      <c r="V2455" s="35"/>
      <c r="W2455" s="35"/>
      <c r="X2455" s="35"/>
    </row>
    <row r="2456" spans="4:24" x14ac:dyDescent="0.3">
      <c r="D2456" s="23">
        <v>43145</v>
      </c>
      <c r="E2456" s="5">
        <v>243.05867000000001</v>
      </c>
      <c r="F2456" s="28">
        <v>67.067769999999996</v>
      </c>
      <c r="G2456" s="28">
        <v>128.22999999999999</v>
      </c>
      <c r="H2456" s="28">
        <v>155.887</v>
      </c>
      <c r="I2456" s="28">
        <v>124.67310000000001</v>
      </c>
      <c r="J2456" s="29"/>
      <c r="K2456" s="29"/>
      <c r="L2456" s="29"/>
      <c r="M2456" s="29"/>
      <c r="N2456" s="29"/>
      <c r="P2456" s="4">
        <f t="shared" si="155"/>
        <v>1.3405910551037445E-2</v>
      </c>
      <c r="Q2456" s="4">
        <f t="shared" si="155"/>
        <v>-3.2692483951923929E-3</v>
      </c>
      <c r="R2456" s="4">
        <f t="shared" si="155"/>
        <v>1.690890036145537E-2</v>
      </c>
      <c r="S2456" s="4">
        <f t="shared" si="155"/>
        <v>1.8550990897724214E-2</v>
      </c>
      <c r="T2456" s="4">
        <f t="shared" si="155"/>
        <v>1.3901076388031446E-2</v>
      </c>
      <c r="U2456" s="35"/>
      <c r="V2456" s="35"/>
      <c r="W2456" s="35"/>
      <c r="X2456" s="35"/>
    </row>
    <row r="2457" spans="4:24" x14ac:dyDescent="0.3">
      <c r="D2457" s="23">
        <v>43146</v>
      </c>
      <c r="E2457" s="5">
        <v>246.160156</v>
      </c>
      <c r="F2457" s="28">
        <v>67.135369999999995</v>
      </c>
      <c r="G2457" s="28">
        <v>128.38</v>
      </c>
      <c r="H2457" s="28">
        <v>158.7809</v>
      </c>
      <c r="I2457" s="28">
        <v>126.19589999999999</v>
      </c>
      <c r="J2457" s="29"/>
      <c r="K2457" s="29"/>
      <c r="L2457" s="29"/>
      <c r="M2457" s="29"/>
      <c r="N2457" s="29"/>
      <c r="P2457" s="4">
        <f t="shared" si="155"/>
        <v>1.2679510220001387E-2</v>
      </c>
      <c r="Q2457" s="4">
        <f t="shared" si="155"/>
        <v>1.0074280783196853E-3</v>
      </c>
      <c r="R2457" s="4">
        <f t="shared" si="155"/>
        <v>1.1690894126077356E-3</v>
      </c>
      <c r="S2457" s="4">
        <f t="shared" si="155"/>
        <v>1.8393878700623867E-2</v>
      </c>
      <c r="T2457" s="4">
        <f t="shared" si="155"/>
        <v>1.2140349772215746E-2</v>
      </c>
      <c r="U2457" s="35"/>
      <c r="V2457" s="35"/>
      <c r="W2457" s="35"/>
      <c r="X2457" s="35"/>
    </row>
    <row r="2458" spans="4:24" x14ac:dyDescent="0.3">
      <c r="D2458" s="23">
        <v>43147</v>
      </c>
      <c r="E2458" s="5">
        <v>246.232269</v>
      </c>
      <c r="F2458" s="28">
        <v>67.278949999999995</v>
      </c>
      <c r="G2458" s="28">
        <v>127.96</v>
      </c>
      <c r="H2458" s="28">
        <v>158.0718</v>
      </c>
      <c r="I2458" s="28">
        <v>126.25</v>
      </c>
      <c r="J2458" s="29"/>
      <c r="K2458" s="29"/>
      <c r="L2458" s="29"/>
      <c r="M2458" s="29"/>
      <c r="N2458" s="29"/>
      <c r="P2458" s="4">
        <f t="shared" si="155"/>
        <v>2.9290865112556832E-4</v>
      </c>
      <c r="Q2458" s="4">
        <f t="shared" si="155"/>
        <v>2.1363803292640676E-3</v>
      </c>
      <c r="R2458" s="4">
        <f t="shared" si="155"/>
        <v>-3.2769008023147985E-3</v>
      </c>
      <c r="S2458" s="4">
        <f t="shared" si="155"/>
        <v>-4.4759043165830065E-3</v>
      </c>
      <c r="T2458" s="4">
        <f t="shared" si="155"/>
        <v>4.2860669021127951E-4</v>
      </c>
      <c r="U2458" s="35"/>
      <c r="V2458" s="35"/>
      <c r="W2458" s="35"/>
      <c r="X2458" s="35"/>
    </row>
    <row r="2459" spans="4:24" x14ac:dyDescent="0.3">
      <c r="D2459" s="23">
        <v>43151</v>
      </c>
      <c r="E2459" s="5">
        <v>244.69056699999999</v>
      </c>
      <c r="F2459" s="28">
        <v>67.211370000000002</v>
      </c>
      <c r="G2459" s="28">
        <v>126.24</v>
      </c>
      <c r="H2459" s="28">
        <v>158.38800000000001</v>
      </c>
      <c r="I2459" s="28">
        <v>125.4931</v>
      </c>
      <c r="J2459" s="29"/>
      <c r="K2459" s="29"/>
      <c r="L2459" s="29"/>
      <c r="M2459" s="29"/>
      <c r="N2459" s="29"/>
      <c r="P2459" s="4">
        <f t="shared" si="155"/>
        <v>-6.2808529372552031E-3</v>
      </c>
      <c r="Q2459" s="4">
        <f t="shared" si="155"/>
        <v>-1.0049794764097199E-3</v>
      </c>
      <c r="R2459" s="4">
        <f t="shared" si="155"/>
        <v>-1.3532857983753099E-2</v>
      </c>
      <c r="S2459" s="4">
        <f t="shared" si="155"/>
        <v>1.9983587503189888E-3</v>
      </c>
      <c r="T2459" s="4">
        <f t="shared" si="155"/>
        <v>-6.0132911747718554E-3</v>
      </c>
      <c r="U2459" s="35"/>
      <c r="V2459" s="35"/>
      <c r="W2459" s="35"/>
      <c r="X2459" s="35"/>
    </row>
    <row r="2460" spans="4:24" x14ac:dyDescent="0.3">
      <c r="D2460" s="23">
        <v>43152</v>
      </c>
      <c r="E2460" s="5">
        <v>243.47335799999999</v>
      </c>
      <c r="F2460" s="28">
        <v>66.957989999999995</v>
      </c>
      <c r="G2460" s="28">
        <v>125.66</v>
      </c>
      <c r="H2460" s="28">
        <v>157.9376</v>
      </c>
      <c r="I2460" s="28">
        <v>124.9074</v>
      </c>
      <c r="J2460" s="29"/>
      <c r="K2460" s="29"/>
      <c r="L2460" s="29"/>
      <c r="M2460" s="29"/>
      <c r="N2460" s="29"/>
      <c r="P2460" s="4">
        <f t="shared" si="155"/>
        <v>-4.986896655983764E-3</v>
      </c>
      <c r="Q2460" s="4">
        <f t="shared" si="155"/>
        <v>-3.7770218360479086E-3</v>
      </c>
      <c r="R2460" s="4">
        <f t="shared" si="155"/>
        <v>-4.6050101227631578E-3</v>
      </c>
      <c r="S2460" s="4">
        <f t="shared" si="155"/>
        <v>-2.847700624753308E-3</v>
      </c>
      <c r="T2460" s="4">
        <f t="shared" si="155"/>
        <v>-4.6781142063047811E-3</v>
      </c>
      <c r="U2460" s="35"/>
      <c r="V2460" s="35"/>
      <c r="W2460" s="35"/>
      <c r="X2460" s="35"/>
    </row>
    <row r="2461" spans="4:24" x14ac:dyDescent="0.3">
      <c r="D2461" s="23">
        <v>43153</v>
      </c>
      <c r="E2461" s="5">
        <v>243.78892500000001</v>
      </c>
      <c r="F2461" s="28">
        <v>67.042439999999999</v>
      </c>
      <c r="G2461" s="28">
        <v>126.3</v>
      </c>
      <c r="H2461" s="28">
        <v>157.91849999999999</v>
      </c>
      <c r="I2461" s="28">
        <v>124.9885</v>
      </c>
      <c r="J2461" s="29"/>
      <c r="K2461" s="29"/>
      <c r="L2461" s="29"/>
      <c r="M2461" s="29"/>
      <c r="N2461" s="29"/>
      <c r="P2461" s="4">
        <f t="shared" si="155"/>
        <v>1.2952656305607396E-3</v>
      </c>
      <c r="Q2461" s="4">
        <f t="shared" si="155"/>
        <v>1.2604438833607591E-3</v>
      </c>
      <c r="R2461" s="4">
        <f t="shared" si="155"/>
        <v>5.0801823816444078E-3</v>
      </c>
      <c r="S2461" s="4">
        <f t="shared" si="155"/>
        <v>-1.2094115024714333E-4</v>
      </c>
      <c r="T2461" s="4">
        <f t="shared" si="155"/>
        <v>6.4907029564904774E-4</v>
      </c>
      <c r="U2461" s="35"/>
      <c r="V2461" s="35"/>
      <c r="W2461" s="35"/>
      <c r="X2461" s="35"/>
    </row>
    <row r="2462" spans="4:24" x14ac:dyDescent="0.3">
      <c r="D2462" s="23">
        <v>43154</v>
      </c>
      <c r="E2462" s="5">
        <v>247.67484999999999</v>
      </c>
      <c r="F2462" s="28">
        <v>67.219830000000002</v>
      </c>
      <c r="G2462" s="28">
        <v>126.14</v>
      </c>
      <c r="H2462" s="28">
        <v>161.14769999999999</v>
      </c>
      <c r="I2462" s="28">
        <v>126.9258</v>
      </c>
      <c r="J2462" s="29"/>
      <c r="K2462" s="29"/>
      <c r="L2462" s="29"/>
      <c r="M2462" s="29"/>
      <c r="N2462" s="29"/>
      <c r="P2462" s="4">
        <f t="shared" si="155"/>
        <v>1.5814007790339788E-2</v>
      </c>
      <c r="Q2462" s="4">
        <f t="shared" si="155"/>
        <v>2.6424415916512386E-3</v>
      </c>
      <c r="R2462" s="4">
        <f t="shared" si="155"/>
        <v>-1.2676281209402609E-3</v>
      </c>
      <c r="S2462" s="4">
        <f t="shared" si="155"/>
        <v>2.0242258582774626E-2</v>
      </c>
      <c r="T2462" s="4">
        <f t="shared" si="155"/>
        <v>1.5380930678357033E-2</v>
      </c>
      <c r="U2462" s="35"/>
      <c r="V2462" s="35"/>
      <c r="W2462" s="35"/>
      <c r="X2462" s="35"/>
    </row>
    <row r="2463" spans="4:24" x14ac:dyDescent="0.3">
      <c r="D2463" s="23">
        <v>43157</v>
      </c>
      <c r="E2463" s="5">
        <v>250.55088799999999</v>
      </c>
      <c r="F2463" s="28">
        <v>67.253619999999998</v>
      </c>
      <c r="G2463" s="28">
        <v>126.45</v>
      </c>
      <c r="H2463" s="28">
        <v>163.28460000000001</v>
      </c>
      <c r="I2463" s="28">
        <v>128.2594</v>
      </c>
      <c r="J2463" s="29"/>
      <c r="K2463" s="29"/>
      <c r="L2463" s="29"/>
      <c r="M2463" s="29"/>
      <c r="N2463" s="29"/>
      <c r="P2463" s="4">
        <f t="shared" si="155"/>
        <v>1.1545248375677464E-2</v>
      </c>
      <c r="Q2463" s="4">
        <f t="shared" si="155"/>
        <v>5.0255274496440057E-4</v>
      </c>
      <c r="R2463" s="4">
        <f t="shared" si="155"/>
        <v>2.4545718804690852E-3</v>
      </c>
      <c r="S2463" s="4">
        <f t="shared" si="155"/>
        <v>1.3173354826639116E-2</v>
      </c>
      <c r="T2463" s="4">
        <f t="shared" si="155"/>
        <v>1.0452111963559354E-2</v>
      </c>
      <c r="U2463" s="35"/>
      <c r="V2463" s="35"/>
      <c r="W2463" s="35"/>
      <c r="X2463" s="35"/>
    </row>
    <row r="2464" spans="4:24" x14ac:dyDescent="0.3">
      <c r="D2464" s="23">
        <v>43158</v>
      </c>
      <c r="E2464" s="5">
        <v>247.42236299999999</v>
      </c>
      <c r="F2464" s="28">
        <v>67.110020000000006</v>
      </c>
      <c r="G2464" s="28">
        <v>125.13</v>
      </c>
      <c r="H2464" s="28">
        <v>161.2627</v>
      </c>
      <c r="I2464" s="28">
        <v>126.6465</v>
      </c>
      <c r="J2464" s="29"/>
      <c r="K2464" s="29"/>
      <c r="L2464" s="29"/>
      <c r="M2464" s="29"/>
      <c r="N2464" s="29"/>
      <c r="P2464" s="4">
        <f t="shared" si="155"/>
        <v>-1.2565197651329983E-2</v>
      </c>
      <c r="Q2464" s="4">
        <f t="shared" si="155"/>
        <v>-2.137483841219871E-3</v>
      </c>
      <c r="R2464" s="4">
        <f t="shared" si="155"/>
        <v>-1.0493776239010686E-2</v>
      </c>
      <c r="S2464" s="4">
        <f t="shared" si="155"/>
        <v>-1.2459978304808418E-2</v>
      </c>
      <c r="T2464" s="4">
        <f t="shared" si="155"/>
        <v>-1.2655034861293237E-2</v>
      </c>
      <c r="U2464" s="35"/>
      <c r="V2464" s="35"/>
      <c r="W2464" s="35"/>
      <c r="X2464" s="35"/>
    </row>
    <row r="2465" spans="4:24" x14ac:dyDescent="0.3">
      <c r="D2465" s="23">
        <v>43159</v>
      </c>
      <c r="E2465" s="5">
        <v>244.91593900000001</v>
      </c>
      <c r="F2465" s="28">
        <v>67.194500000000005</v>
      </c>
      <c r="G2465" s="28">
        <v>125</v>
      </c>
      <c r="H2465" s="28">
        <v>160.2278</v>
      </c>
      <c r="I2465" s="28">
        <v>125.24979999999999</v>
      </c>
      <c r="J2465" s="29"/>
      <c r="K2465" s="29"/>
      <c r="L2465" s="29"/>
      <c r="M2465" s="29"/>
      <c r="N2465" s="29"/>
      <c r="P2465" s="4">
        <f t="shared" si="155"/>
        <v>-1.018180240297162E-2</v>
      </c>
      <c r="Q2465" s="4">
        <f t="shared" si="155"/>
        <v>1.258036753221679E-3</v>
      </c>
      <c r="R2465" s="4">
        <f t="shared" si="155"/>
        <v>-1.0394595746623691E-3</v>
      </c>
      <c r="S2465" s="4">
        <f t="shared" si="155"/>
        <v>-6.4381596016423919E-3</v>
      </c>
      <c r="T2465" s="4">
        <f t="shared" si="155"/>
        <v>-1.1089597693352733E-2</v>
      </c>
      <c r="U2465" s="35"/>
      <c r="V2465" s="35"/>
      <c r="W2465" s="35"/>
      <c r="X2465" s="35"/>
    </row>
    <row r="2466" spans="4:24" x14ac:dyDescent="0.3">
      <c r="D2466" s="23">
        <v>43160</v>
      </c>
      <c r="E2466" s="5">
        <v>241.35467499999999</v>
      </c>
      <c r="F2466" s="28">
        <v>67.308729999999997</v>
      </c>
      <c r="G2466" s="28">
        <v>124.72</v>
      </c>
      <c r="H2466" s="28">
        <v>157.61179999999999</v>
      </c>
      <c r="I2466" s="28">
        <v>123.76300000000001</v>
      </c>
      <c r="J2466" s="29"/>
      <c r="K2466" s="29"/>
      <c r="L2466" s="29"/>
      <c r="M2466" s="29"/>
      <c r="N2466" s="29"/>
      <c r="P2466" s="4">
        <f t="shared" si="155"/>
        <v>-1.4647513419763801E-2</v>
      </c>
      <c r="Q2466" s="4">
        <f t="shared" si="155"/>
        <v>1.6985469785873943E-3</v>
      </c>
      <c r="R2466" s="4">
        <f t="shared" si="155"/>
        <v>-2.2425125527800638E-3</v>
      </c>
      <c r="S2466" s="4">
        <f t="shared" si="155"/>
        <v>-1.6461504945405395E-2</v>
      </c>
      <c r="T2466" s="4">
        <f t="shared" si="155"/>
        <v>-1.1941696720879637E-2</v>
      </c>
      <c r="U2466" s="35"/>
      <c r="V2466" s="35"/>
      <c r="W2466" s="35"/>
      <c r="X2466" s="35"/>
    </row>
    <row r="2467" spans="4:24" x14ac:dyDescent="0.3">
      <c r="D2467" s="23">
        <v>43161</v>
      </c>
      <c r="E2467" s="5">
        <v>242.598862</v>
      </c>
      <c r="F2467" s="28">
        <v>67.18177</v>
      </c>
      <c r="G2467" s="28">
        <v>125.39</v>
      </c>
      <c r="H2467" s="28">
        <v>159.05879999999999</v>
      </c>
      <c r="I2467" s="28">
        <v>124.565</v>
      </c>
      <c r="J2467" s="29"/>
      <c r="K2467" s="29"/>
      <c r="L2467" s="29"/>
      <c r="M2467" s="29"/>
      <c r="N2467" s="29"/>
      <c r="P2467" s="4">
        <f t="shared" si="155"/>
        <v>5.1417735216719024E-3</v>
      </c>
      <c r="Q2467" s="4">
        <f t="shared" si="155"/>
        <v>-1.8880149559034446E-3</v>
      </c>
      <c r="R2467" s="4">
        <f t="shared" si="155"/>
        <v>5.3576554529253025E-3</v>
      </c>
      <c r="S2467" s="4">
        <f t="shared" si="155"/>
        <v>9.138897460258609E-3</v>
      </c>
      <c r="T2467" s="4">
        <f t="shared" si="155"/>
        <v>6.4592215810370512E-3</v>
      </c>
      <c r="U2467" s="35"/>
      <c r="V2467" s="35"/>
      <c r="W2467" s="35"/>
      <c r="X2467" s="35"/>
    </row>
    <row r="2468" spans="4:24" x14ac:dyDescent="0.3">
      <c r="D2468" s="23">
        <v>43164</v>
      </c>
      <c r="E2468" s="5">
        <v>245.402863</v>
      </c>
      <c r="F2468" s="28">
        <v>67.139449999999997</v>
      </c>
      <c r="G2468" s="28">
        <v>125.18</v>
      </c>
      <c r="H2468" s="28">
        <v>160.822</v>
      </c>
      <c r="I2468" s="28">
        <v>125.9706</v>
      </c>
      <c r="J2468" s="29"/>
      <c r="K2468" s="29"/>
      <c r="L2468" s="29"/>
      <c r="M2468" s="29"/>
      <c r="N2468" s="29"/>
      <c r="P2468" s="4">
        <f t="shared" si="155"/>
        <v>1.1491893225609314E-2</v>
      </c>
      <c r="Q2468" s="4">
        <f t="shared" si="155"/>
        <v>-6.3013128380343163E-4</v>
      </c>
      <c r="R2468" s="4">
        <f t="shared" si="155"/>
        <v>-1.6761787058910628E-3</v>
      </c>
      <c r="S2468" s="4">
        <f t="shared" si="155"/>
        <v>1.1024218129186077E-2</v>
      </c>
      <c r="T2468" s="4">
        <f t="shared" si="155"/>
        <v>1.1220878374217948E-2</v>
      </c>
      <c r="U2468" s="35"/>
      <c r="V2468" s="35"/>
      <c r="W2468" s="35"/>
      <c r="X2468" s="35"/>
    </row>
    <row r="2469" spans="4:24" x14ac:dyDescent="0.3">
      <c r="D2469" s="23">
        <v>43165</v>
      </c>
      <c r="E2469" s="5">
        <v>246.024857</v>
      </c>
      <c r="F2469" s="28">
        <v>67.164860000000004</v>
      </c>
      <c r="G2469" s="28">
        <v>126.53</v>
      </c>
      <c r="H2469" s="28">
        <v>161.50229999999999</v>
      </c>
      <c r="I2469" s="28">
        <v>126.4302</v>
      </c>
      <c r="J2469" s="29"/>
      <c r="K2469" s="29"/>
      <c r="L2469" s="29"/>
      <c r="M2469" s="29"/>
      <c r="N2469" s="29"/>
      <c r="P2469" s="4">
        <f t="shared" ref="P2469:T2484" si="156">LN(E2469/E2468)</f>
        <v>2.5313766677139463E-3</v>
      </c>
      <c r="Q2469" s="4">
        <f t="shared" si="156"/>
        <v>3.7839441345106347E-4</v>
      </c>
      <c r="R2469" s="4">
        <f t="shared" si="156"/>
        <v>1.0726732704616751E-2</v>
      </c>
      <c r="S2469" s="4">
        <f t="shared" si="156"/>
        <v>4.2212207405507782E-3</v>
      </c>
      <c r="T2469" s="4">
        <f t="shared" si="156"/>
        <v>3.6418308338973778E-3</v>
      </c>
      <c r="U2469" s="35"/>
      <c r="V2469" s="35"/>
      <c r="W2469" s="35"/>
      <c r="X2469" s="35"/>
    </row>
    <row r="2470" spans="4:24" x14ac:dyDescent="0.3">
      <c r="D2470" s="23">
        <v>43166</v>
      </c>
      <c r="E2470" s="5">
        <v>245.93476899999999</v>
      </c>
      <c r="F2470" s="28">
        <v>67.147930000000002</v>
      </c>
      <c r="G2470" s="28">
        <v>125.72</v>
      </c>
      <c r="H2470" s="28">
        <v>161.876</v>
      </c>
      <c r="I2470" s="28">
        <v>126.5384</v>
      </c>
      <c r="J2470" s="29"/>
      <c r="K2470" s="29"/>
      <c r="L2470" s="29"/>
      <c r="M2470" s="29"/>
      <c r="N2470" s="29"/>
      <c r="P2470" s="4">
        <f t="shared" si="156"/>
        <v>-3.662414403371661E-4</v>
      </c>
      <c r="Q2470" s="4">
        <f t="shared" si="156"/>
        <v>-2.5209810755419257E-4</v>
      </c>
      <c r="R2470" s="4">
        <f t="shared" si="156"/>
        <v>-6.4222222718055156E-3</v>
      </c>
      <c r="S2470" s="4">
        <f t="shared" si="156"/>
        <v>2.3112259935283174E-3</v>
      </c>
      <c r="T2470" s="4">
        <f t="shared" si="156"/>
        <v>8.5544219004424183E-4</v>
      </c>
      <c r="U2470" s="35"/>
      <c r="V2470" s="35"/>
      <c r="W2470" s="35"/>
      <c r="X2470" s="35"/>
    </row>
    <row r="2471" spans="4:24" x14ac:dyDescent="0.3">
      <c r="D2471" s="23">
        <v>43167</v>
      </c>
      <c r="E2471" s="5">
        <v>247.124878</v>
      </c>
      <c r="F2471" s="28">
        <v>67.224109999999996</v>
      </c>
      <c r="G2471" s="28">
        <v>125.42</v>
      </c>
      <c r="H2471" s="28">
        <v>162.7672</v>
      </c>
      <c r="I2471" s="28">
        <v>127.0159</v>
      </c>
      <c r="J2471" s="29"/>
      <c r="K2471" s="29"/>
      <c r="L2471" s="29"/>
      <c r="M2471" s="29"/>
      <c r="N2471" s="29"/>
      <c r="P2471" s="4">
        <f t="shared" si="156"/>
        <v>4.8274537105708398E-3</v>
      </c>
      <c r="Q2471" s="4">
        <f t="shared" si="156"/>
        <v>1.1338669586583557E-3</v>
      </c>
      <c r="R2471" s="4">
        <f t="shared" si="156"/>
        <v>-2.3891068144920552E-3</v>
      </c>
      <c r="S2471" s="4">
        <f t="shared" si="156"/>
        <v>5.4903490274138371E-3</v>
      </c>
      <c r="T2471" s="4">
        <f t="shared" si="156"/>
        <v>3.7664560568846698E-3</v>
      </c>
      <c r="U2471" s="35"/>
      <c r="V2471" s="35"/>
      <c r="W2471" s="35"/>
      <c r="X2471" s="35"/>
    </row>
    <row r="2472" spans="4:24" x14ac:dyDescent="0.3">
      <c r="D2472" s="23">
        <v>43168</v>
      </c>
      <c r="E2472" s="5">
        <v>251.42544599999999</v>
      </c>
      <c r="F2472" s="28">
        <v>67.139449999999997</v>
      </c>
      <c r="G2472" s="28">
        <v>125.54</v>
      </c>
      <c r="H2472" s="28">
        <v>165.92939999999999</v>
      </c>
      <c r="I2472" s="28">
        <v>129.12440000000001</v>
      </c>
      <c r="J2472" s="29"/>
      <c r="K2472" s="29"/>
      <c r="L2472" s="29"/>
      <c r="M2472" s="29"/>
      <c r="N2472" s="29"/>
      <c r="P2472" s="4">
        <f t="shared" si="156"/>
        <v>1.7252720404434211E-2</v>
      </c>
      <c r="Q2472" s="4">
        <f t="shared" si="156"/>
        <v>-1.2601632645550251E-3</v>
      </c>
      <c r="R2472" s="4">
        <f t="shared" si="156"/>
        <v>9.5632777451095416E-4</v>
      </c>
      <c r="S2472" s="4">
        <f t="shared" si="156"/>
        <v>1.924143761720299E-2</v>
      </c>
      <c r="T2472" s="4">
        <f t="shared" si="156"/>
        <v>1.6464005296280507E-2</v>
      </c>
      <c r="U2472" s="35"/>
      <c r="V2472" s="35"/>
      <c r="W2472" s="35"/>
      <c r="X2472" s="35"/>
    </row>
    <row r="2473" spans="4:24" x14ac:dyDescent="0.3">
      <c r="D2473" s="23">
        <v>43171</v>
      </c>
      <c r="E2473" s="5">
        <v>251.109848</v>
      </c>
      <c r="F2473" s="28">
        <v>67.207179999999994</v>
      </c>
      <c r="G2473" s="28">
        <v>125.54</v>
      </c>
      <c r="H2473" s="28">
        <v>166.81100000000001</v>
      </c>
      <c r="I2473" s="28">
        <v>129.0523</v>
      </c>
      <c r="J2473" s="29"/>
      <c r="K2473" s="29"/>
      <c r="L2473" s="29"/>
      <c r="M2473" s="29"/>
      <c r="N2473" s="29"/>
      <c r="P2473" s="4">
        <f t="shared" si="156"/>
        <v>-1.2560233888387396E-3</v>
      </c>
      <c r="Q2473" s="4">
        <f t="shared" si="156"/>
        <v>1.0082873792681729E-3</v>
      </c>
      <c r="R2473" s="4">
        <f t="shared" si="156"/>
        <v>0</v>
      </c>
      <c r="S2473" s="4">
        <f t="shared" si="156"/>
        <v>5.2990383069135786E-3</v>
      </c>
      <c r="T2473" s="4">
        <f t="shared" si="156"/>
        <v>-5.5853221359137325E-4</v>
      </c>
      <c r="U2473" s="35"/>
      <c r="V2473" s="35"/>
      <c r="W2473" s="35"/>
      <c r="X2473" s="35"/>
    </row>
    <row r="2474" spans="4:24" x14ac:dyDescent="0.3">
      <c r="D2474" s="23">
        <v>43172</v>
      </c>
      <c r="E2474" s="5">
        <v>249.48699999999999</v>
      </c>
      <c r="F2474" s="28">
        <v>67.224109999999996</v>
      </c>
      <c r="G2474" s="28">
        <v>125.78</v>
      </c>
      <c r="H2474" s="28">
        <v>164.53989999999999</v>
      </c>
      <c r="I2474" s="28">
        <v>128.25040000000001</v>
      </c>
      <c r="J2474" s="29"/>
      <c r="K2474" s="29"/>
      <c r="L2474" s="29"/>
      <c r="M2474" s="29"/>
      <c r="N2474" s="29"/>
      <c r="P2474" s="4">
        <f t="shared" si="156"/>
        <v>-6.4836752032805941E-3</v>
      </c>
      <c r="Q2474" s="4">
        <f t="shared" si="156"/>
        <v>2.518758852869099E-4</v>
      </c>
      <c r="R2474" s="4">
        <f t="shared" si="156"/>
        <v>1.9099162259715579E-3</v>
      </c>
      <c r="S2474" s="4">
        <f t="shared" si="156"/>
        <v>-1.3708341006782586E-2</v>
      </c>
      <c r="T2474" s="4">
        <f t="shared" si="156"/>
        <v>-6.2331456008052587E-3</v>
      </c>
      <c r="U2474" s="35"/>
      <c r="V2474" s="35"/>
      <c r="W2474" s="35"/>
      <c r="X2474" s="35"/>
    </row>
    <row r="2475" spans="4:24" x14ac:dyDescent="0.3">
      <c r="D2475" s="23">
        <v>43173</v>
      </c>
      <c r="E2475" s="5">
        <v>248.20675700000001</v>
      </c>
      <c r="F2475" s="28">
        <v>67.367990000000006</v>
      </c>
      <c r="G2475" s="28">
        <v>125.7</v>
      </c>
      <c r="H2475" s="28">
        <v>164.5111</v>
      </c>
      <c r="I2475" s="28">
        <v>127.6016</v>
      </c>
      <c r="J2475" s="29"/>
      <c r="K2475" s="29"/>
      <c r="L2475" s="29"/>
      <c r="M2475" s="29"/>
      <c r="N2475" s="29"/>
      <c r="P2475" s="4">
        <f t="shared" si="156"/>
        <v>-5.1447132128520602E-3</v>
      </c>
      <c r="Q2475" s="4">
        <f t="shared" si="156"/>
        <v>2.1380163443124058E-3</v>
      </c>
      <c r="R2475" s="4">
        <f t="shared" si="156"/>
        <v>-6.3623351915558185E-4</v>
      </c>
      <c r="S2475" s="4">
        <f t="shared" si="156"/>
        <v>-1.7504885305636634E-4</v>
      </c>
      <c r="T2475" s="4">
        <f t="shared" si="156"/>
        <v>-5.0716929373696897E-3</v>
      </c>
      <c r="U2475" s="35"/>
      <c r="V2475" s="35"/>
      <c r="W2475" s="35"/>
      <c r="X2475" s="35"/>
    </row>
    <row r="2476" spans="4:24" x14ac:dyDescent="0.3">
      <c r="D2476" s="23">
        <v>43174</v>
      </c>
      <c r="E2476" s="5">
        <v>247.93620300000001</v>
      </c>
      <c r="F2476" s="28">
        <v>67.376469999999998</v>
      </c>
      <c r="G2476" s="28">
        <v>124.9</v>
      </c>
      <c r="H2476" s="28">
        <v>164.36750000000001</v>
      </c>
      <c r="I2476" s="28">
        <v>127.43040000000001</v>
      </c>
      <c r="J2476" s="29"/>
      <c r="K2476" s="29"/>
      <c r="L2476" s="29"/>
      <c r="M2476" s="29"/>
      <c r="N2476" s="29"/>
      <c r="P2476" s="4">
        <f t="shared" si="156"/>
        <v>-1.0906293090122534E-3</v>
      </c>
      <c r="Q2476" s="4">
        <f t="shared" si="156"/>
        <v>1.2586788371391451E-4</v>
      </c>
      <c r="R2476" s="4">
        <f t="shared" si="156"/>
        <v>-6.3846984646697682E-3</v>
      </c>
      <c r="S2476" s="4">
        <f t="shared" si="156"/>
        <v>-8.7327061794707415E-4</v>
      </c>
      <c r="T2476" s="4">
        <f t="shared" si="156"/>
        <v>-1.3425768195037429E-3</v>
      </c>
      <c r="U2476" s="35"/>
      <c r="V2476" s="35"/>
      <c r="W2476" s="35"/>
      <c r="X2476" s="35"/>
    </row>
    <row r="2477" spans="4:24" x14ac:dyDescent="0.3">
      <c r="D2477" s="23">
        <v>43175</v>
      </c>
      <c r="E2477" s="5">
        <v>248.20510899999999</v>
      </c>
      <c r="F2477" s="28">
        <v>67.317229999999995</v>
      </c>
      <c r="G2477" s="28">
        <v>124.6</v>
      </c>
      <c r="H2477" s="28">
        <v>163.87870000000001</v>
      </c>
      <c r="I2477" s="28">
        <v>127.6467</v>
      </c>
      <c r="J2477" s="29"/>
      <c r="K2477" s="29"/>
      <c r="L2477" s="29"/>
      <c r="M2477" s="29"/>
      <c r="N2477" s="29"/>
      <c r="P2477" s="4">
        <f t="shared" si="156"/>
        <v>1.0839896611193993E-3</v>
      </c>
      <c r="Q2477" s="4">
        <f t="shared" si="156"/>
        <v>-8.7962545864733689E-4</v>
      </c>
      <c r="R2477" s="4">
        <f t="shared" si="156"/>
        <v>-2.4048107781792843E-3</v>
      </c>
      <c r="S2477" s="4">
        <f t="shared" si="156"/>
        <v>-2.9782545010703103E-3</v>
      </c>
      <c r="T2477" s="4">
        <f t="shared" si="156"/>
        <v>1.6959582169064086E-3</v>
      </c>
      <c r="U2477" s="35"/>
      <c r="V2477" s="35"/>
      <c r="W2477" s="35"/>
      <c r="X2477" s="35"/>
    </row>
    <row r="2478" spans="4:24" x14ac:dyDescent="0.3">
      <c r="D2478" s="23">
        <v>43178</v>
      </c>
      <c r="E2478" s="5">
        <v>244.84683200000001</v>
      </c>
      <c r="F2478" s="28">
        <v>67.266459999999995</v>
      </c>
      <c r="G2478" s="28">
        <v>124.87</v>
      </c>
      <c r="H2478" s="28">
        <v>160.38220000000001</v>
      </c>
      <c r="I2478" s="28">
        <v>126.0067</v>
      </c>
      <c r="J2478" s="29"/>
      <c r="K2478" s="29"/>
      <c r="L2478" s="29"/>
      <c r="M2478" s="29"/>
      <c r="N2478" s="29"/>
      <c r="P2478" s="4">
        <f t="shared" si="156"/>
        <v>-1.362261723411359E-2</v>
      </c>
      <c r="Q2478" s="4">
        <f t="shared" si="156"/>
        <v>-7.5447481650009051E-4</v>
      </c>
      <c r="R2478" s="4">
        <f t="shared" si="156"/>
        <v>2.164589773701047E-3</v>
      </c>
      <c r="S2478" s="4">
        <f t="shared" si="156"/>
        <v>-2.1566803307647934E-2</v>
      </c>
      <c r="T2478" s="4">
        <f t="shared" si="156"/>
        <v>-1.2931211273496748E-2</v>
      </c>
      <c r="U2478" s="35"/>
      <c r="V2478" s="35"/>
      <c r="W2478" s="35"/>
      <c r="X2478" s="35"/>
    </row>
    <row r="2479" spans="4:24" x14ac:dyDescent="0.3">
      <c r="D2479" s="23">
        <v>43179</v>
      </c>
      <c r="E2479" s="5">
        <v>245.263184</v>
      </c>
      <c r="F2479" s="28">
        <v>67.18177</v>
      </c>
      <c r="G2479" s="28">
        <v>124.31</v>
      </c>
      <c r="H2479" s="28">
        <v>160.9101</v>
      </c>
      <c r="I2479" s="28">
        <v>126.19589999999999</v>
      </c>
      <c r="J2479" s="29"/>
      <c r="K2479" s="29"/>
      <c r="L2479" s="29"/>
      <c r="M2479" s="29"/>
      <c r="N2479" s="29"/>
      <c r="P2479" s="4">
        <f t="shared" si="156"/>
        <v>1.6990148601869076E-3</v>
      </c>
      <c r="Q2479" s="4">
        <f t="shared" si="156"/>
        <v>-1.2598159336305033E-3</v>
      </c>
      <c r="R2479" s="4">
        <f t="shared" si="156"/>
        <v>-4.4947503234297002E-3</v>
      </c>
      <c r="S2479" s="4">
        <f t="shared" si="156"/>
        <v>3.2861072303565692E-3</v>
      </c>
      <c r="T2479" s="4">
        <f t="shared" si="156"/>
        <v>1.5003813243244268E-3</v>
      </c>
      <c r="U2479" s="35"/>
      <c r="V2479" s="35"/>
      <c r="W2479" s="35"/>
      <c r="X2479" s="35"/>
    </row>
    <row r="2480" spans="4:24" x14ac:dyDescent="0.3">
      <c r="D2480" s="23">
        <v>43180</v>
      </c>
      <c r="E2480" s="5">
        <v>244.79252600000001</v>
      </c>
      <c r="F2480" s="28">
        <v>67.18177</v>
      </c>
      <c r="G2480" s="28">
        <v>126.48</v>
      </c>
      <c r="H2480" s="28">
        <v>160.20939999999999</v>
      </c>
      <c r="I2480" s="28">
        <v>126.0878</v>
      </c>
      <c r="J2480" s="29"/>
      <c r="K2480" s="29"/>
      <c r="L2480" s="29"/>
      <c r="M2480" s="29"/>
      <c r="N2480" s="29"/>
      <c r="P2480" s="4">
        <f t="shared" si="156"/>
        <v>-1.9208352646761008E-3</v>
      </c>
      <c r="Q2480" s="4">
        <f t="shared" si="156"/>
        <v>0</v>
      </c>
      <c r="R2480" s="4">
        <f t="shared" si="156"/>
        <v>1.7305747097592427E-2</v>
      </c>
      <c r="S2480" s="4">
        <f t="shared" si="156"/>
        <v>-4.3641143692476183E-3</v>
      </c>
      <c r="T2480" s="4">
        <f t="shared" si="156"/>
        <v>-8.569717870454685E-4</v>
      </c>
      <c r="U2480" s="35"/>
      <c r="V2480" s="35"/>
      <c r="W2480" s="35"/>
      <c r="X2480" s="35"/>
    </row>
    <row r="2481" spans="4:24" x14ac:dyDescent="0.3">
      <c r="D2481" s="23">
        <v>43181</v>
      </c>
      <c r="E2481" s="5">
        <v>238.67338599999999</v>
      </c>
      <c r="F2481" s="28">
        <v>67.29186</v>
      </c>
      <c r="G2481" s="28">
        <v>125.98</v>
      </c>
      <c r="H2481" s="28">
        <v>156.2551</v>
      </c>
      <c r="I2481" s="28">
        <v>122.999</v>
      </c>
      <c r="J2481" s="29"/>
      <c r="K2481" s="29"/>
      <c r="L2481" s="29"/>
      <c r="M2481" s="29"/>
      <c r="N2481" s="29"/>
      <c r="P2481" s="4">
        <f t="shared" si="156"/>
        <v>-2.5314987598822804E-2</v>
      </c>
      <c r="Q2481" s="4">
        <f t="shared" si="156"/>
        <v>1.6373474055112202E-3</v>
      </c>
      <c r="R2481" s="4">
        <f t="shared" si="156"/>
        <v>-3.9610287074335832E-3</v>
      </c>
      <c r="S2481" s="4">
        <f t="shared" si="156"/>
        <v>-2.4991781483195863E-2</v>
      </c>
      <c r="T2481" s="4">
        <f t="shared" si="156"/>
        <v>-2.480226442014519E-2</v>
      </c>
      <c r="U2481" s="35"/>
      <c r="V2481" s="35"/>
      <c r="W2481" s="35"/>
      <c r="X2481" s="35"/>
    </row>
    <row r="2482" spans="4:24" x14ac:dyDescent="0.3">
      <c r="D2482" s="23">
        <v>43182</v>
      </c>
      <c r="E2482" s="5">
        <v>233.58616599999999</v>
      </c>
      <c r="F2482" s="28">
        <v>67.308729999999997</v>
      </c>
      <c r="G2482" s="28">
        <v>127.61</v>
      </c>
      <c r="H2482" s="28">
        <v>152.13749999999999</v>
      </c>
      <c r="I2482" s="28">
        <v>120.4205</v>
      </c>
      <c r="J2482" s="29"/>
      <c r="K2482" s="29"/>
      <c r="L2482" s="29"/>
      <c r="M2482" s="29"/>
      <c r="N2482" s="29"/>
      <c r="P2482" s="4">
        <f t="shared" si="156"/>
        <v>-2.1545003217479989E-2</v>
      </c>
      <c r="Q2482" s="4">
        <f t="shared" si="156"/>
        <v>2.5066755039242488E-4</v>
      </c>
      <c r="R2482" s="4">
        <f t="shared" si="156"/>
        <v>1.2855573552102015E-2</v>
      </c>
      <c r="S2482" s="4">
        <f t="shared" si="156"/>
        <v>-2.6705210883162397E-2</v>
      </c>
      <c r="T2482" s="4">
        <f t="shared" si="156"/>
        <v>-2.1186441096188641E-2</v>
      </c>
      <c r="U2482" s="35"/>
      <c r="V2482" s="35"/>
      <c r="W2482" s="35"/>
      <c r="X2482" s="35"/>
    </row>
    <row r="2483" spans="4:24" x14ac:dyDescent="0.3">
      <c r="D2483" s="23">
        <v>43185</v>
      </c>
      <c r="E2483" s="5">
        <v>239.97683699999999</v>
      </c>
      <c r="F2483" s="28">
        <v>67.266459999999995</v>
      </c>
      <c r="G2483" s="28">
        <v>128.28</v>
      </c>
      <c r="H2483" s="28">
        <v>157.79069999999999</v>
      </c>
      <c r="I2483" s="28">
        <v>123.59610000000001</v>
      </c>
      <c r="J2483" s="29"/>
      <c r="K2483" s="29"/>
      <c r="L2483" s="29"/>
      <c r="M2483" s="29"/>
      <c r="N2483" s="29"/>
      <c r="P2483" s="4">
        <f t="shared" si="156"/>
        <v>2.6991377874325442E-2</v>
      </c>
      <c r="Q2483" s="4">
        <f t="shared" si="156"/>
        <v>-6.281990222730073E-4</v>
      </c>
      <c r="R2483" s="4">
        <f t="shared" si="156"/>
        <v>5.2366370790691927E-3</v>
      </c>
      <c r="S2483" s="4">
        <f t="shared" si="156"/>
        <v>3.648475411312508E-2</v>
      </c>
      <c r="T2483" s="4">
        <f t="shared" si="156"/>
        <v>2.6029206965834474E-2</v>
      </c>
      <c r="U2483" s="35"/>
      <c r="V2483" s="35"/>
      <c r="W2483" s="35"/>
      <c r="X2483" s="35"/>
    </row>
    <row r="2484" spans="4:24" x14ac:dyDescent="0.3">
      <c r="D2484" s="23">
        <v>43186</v>
      </c>
      <c r="E2484" s="5">
        <v>235.89444</v>
      </c>
      <c r="F2484" s="28">
        <v>67.494960000000006</v>
      </c>
      <c r="G2484" s="28">
        <v>127.49</v>
      </c>
      <c r="H2484" s="28">
        <v>152.68459999999999</v>
      </c>
      <c r="I2484" s="28">
        <v>121.4067</v>
      </c>
      <c r="J2484" s="29"/>
      <c r="K2484" s="29"/>
      <c r="L2484" s="29"/>
      <c r="M2484" s="29"/>
      <c r="N2484" s="29"/>
      <c r="P2484" s="4">
        <f t="shared" si="156"/>
        <v>-1.715798935752064E-2</v>
      </c>
      <c r="Q2484" s="4">
        <f t="shared" si="156"/>
        <v>3.391181526304379E-3</v>
      </c>
      <c r="R2484" s="4">
        <f t="shared" si="156"/>
        <v>-6.1774446749233419E-3</v>
      </c>
      <c r="S2484" s="4">
        <f t="shared" si="156"/>
        <v>-3.2895115517553988E-2</v>
      </c>
      <c r="T2484" s="4">
        <f t="shared" si="156"/>
        <v>-1.7872924568854687E-2</v>
      </c>
      <c r="U2484" s="35"/>
      <c r="V2484" s="35"/>
      <c r="W2484" s="35"/>
      <c r="X2484" s="35"/>
    </row>
    <row r="2485" spans="4:24" x14ac:dyDescent="0.3">
      <c r="D2485" s="23">
        <v>43187</v>
      </c>
      <c r="E2485" s="5">
        <v>235.19740300000001</v>
      </c>
      <c r="F2485" s="28">
        <v>67.486519999999999</v>
      </c>
      <c r="G2485" s="28">
        <v>125.73</v>
      </c>
      <c r="H2485" s="28">
        <v>150.9282</v>
      </c>
      <c r="I2485" s="28">
        <v>121.1262</v>
      </c>
      <c r="J2485" s="29"/>
      <c r="K2485" s="29"/>
      <c r="L2485" s="29"/>
      <c r="M2485" s="29"/>
      <c r="N2485" s="29"/>
      <c r="P2485" s="4">
        <f t="shared" ref="P2485:T2500" si="157">LN(E2485/E2484)</f>
        <v>-2.9592425299939645E-3</v>
      </c>
      <c r="Q2485" s="4">
        <f t="shared" si="157"/>
        <v>-1.2505419278266967E-4</v>
      </c>
      <c r="R2485" s="4">
        <f t="shared" si="157"/>
        <v>-1.3901179544940932E-2</v>
      </c>
      <c r="S2485" s="4">
        <f t="shared" si="157"/>
        <v>-1.1570128754463213E-2</v>
      </c>
      <c r="T2485" s="4">
        <f t="shared" si="157"/>
        <v>-2.313089276260445E-3</v>
      </c>
      <c r="U2485" s="35"/>
      <c r="V2485" s="35"/>
      <c r="W2485" s="35"/>
      <c r="X2485" s="35"/>
    </row>
    <row r="2486" spans="4:24" x14ac:dyDescent="0.3">
      <c r="D2486" s="23">
        <v>43188</v>
      </c>
      <c r="E2486" s="5">
        <v>238.20263700000001</v>
      </c>
      <c r="F2486" s="28">
        <v>67.655820000000006</v>
      </c>
      <c r="G2486" s="28">
        <v>125.79</v>
      </c>
      <c r="H2486" s="28">
        <v>153.69239999999999</v>
      </c>
      <c r="I2486" s="28">
        <v>122.791</v>
      </c>
      <c r="J2486" s="29"/>
      <c r="K2486" s="29"/>
      <c r="L2486" s="29"/>
      <c r="M2486" s="29"/>
      <c r="N2486" s="29"/>
      <c r="P2486" s="4">
        <f t="shared" si="157"/>
        <v>1.269655309204365E-2</v>
      </c>
      <c r="Q2486" s="4">
        <f t="shared" si="157"/>
        <v>2.505507727127322E-3</v>
      </c>
      <c r="R2486" s="4">
        <f t="shared" si="157"/>
        <v>4.7709924569117821E-4</v>
      </c>
      <c r="S2486" s="4">
        <f t="shared" si="157"/>
        <v>1.8148975305599106E-2</v>
      </c>
      <c r="T2486" s="4">
        <f t="shared" si="157"/>
        <v>1.3650745842327621E-2</v>
      </c>
      <c r="U2486" s="35"/>
      <c r="V2486" s="35"/>
      <c r="W2486" s="35"/>
      <c r="X2486" s="35"/>
    </row>
    <row r="2487" spans="4:24" x14ac:dyDescent="0.3">
      <c r="D2487" s="23">
        <v>43192</v>
      </c>
      <c r="E2487" s="5">
        <v>233.06115700000001</v>
      </c>
      <c r="F2487" s="28">
        <v>67.647319999999993</v>
      </c>
      <c r="G2487" s="28">
        <v>127.26</v>
      </c>
      <c r="H2487" s="28">
        <v>149.25810000000001</v>
      </c>
      <c r="I2487" s="28">
        <v>119.9953</v>
      </c>
      <c r="J2487" s="29"/>
      <c r="K2487" s="29"/>
      <c r="L2487" s="29"/>
      <c r="M2487" s="29"/>
      <c r="N2487" s="29"/>
      <c r="P2487" s="4">
        <f t="shared" si="157"/>
        <v>-2.1820831869241181E-2</v>
      </c>
      <c r="Q2487" s="4">
        <f t="shared" si="157"/>
        <v>-1.2564379527617157E-4</v>
      </c>
      <c r="R2487" s="4">
        <f t="shared" si="157"/>
        <v>1.1618387953865057E-2</v>
      </c>
      <c r="S2487" s="4">
        <f t="shared" si="157"/>
        <v>-2.9276180190523554E-2</v>
      </c>
      <c r="T2487" s="4">
        <f t="shared" si="157"/>
        <v>-2.3031147776580375E-2</v>
      </c>
      <c r="U2487" s="35"/>
      <c r="V2487" s="35"/>
      <c r="W2487" s="35"/>
      <c r="X2487" s="35"/>
    </row>
    <row r="2488" spans="4:24" x14ac:dyDescent="0.3">
      <c r="D2488" s="23">
        <v>43193</v>
      </c>
      <c r="E2488" s="5">
        <v>236.04830899999999</v>
      </c>
      <c r="F2488" s="28">
        <v>67.570939999999993</v>
      </c>
      <c r="G2488" s="28">
        <v>126.3</v>
      </c>
      <c r="H2488" s="28">
        <v>150.93780000000001</v>
      </c>
      <c r="I2488" s="28">
        <v>121.4881</v>
      </c>
      <c r="J2488" s="29"/>
      <c r="K2488" s="29"/>
      <c r="L2488" s="29"/>
      <c r="M2488" s="29"/>
      <c r="N2488" s="29"/>
      <c r="P2488" s="4">
        <f t="shared" si="157"/>
        <v>1.2735587710491476E-2</v>
      </c>
      <c r="Q2488" s="4">
        <f t="shared" si="157"/>
        <v>-1.1297291966865296E-3</v>
      </c>
      <c r="R2488" s="4">
        <f t="shared" si="157"/>
        <v>-7.5722084482007313E-3</v>
      </c>
      <c r="S2488" s="4">
        <f t="shared" si="157"/>
        <v>1.1190809265697833E-2</v>
      </c>
      <c r="T2488" s="4">
        <f t="shared" si="157"/>
        <v>1.2363740248757615E-2</v>
      </c>
      <c r="U2488" s="35"/>
      <c r="V2488" s="35"/>
      <c r="W2488" s="35"/>
      <c r="X2488" s="35"/>
    </row>
    <row r="2489" spans="4:24" x14ac:dyDescent="0.3">
      <c r="D2489" s="23">
        <v>43194</v>
      </c>
      <c r="E2489" s="5">
        <v>238.573837</v>
      </c>
      <c r="F2489" s="28">
        <v>67.570939999999993</v>
      </c>
      <c r="G2489" s="28">
        <v>126.45</v>
      </c>
      <c r="H2489" s="28">
        <v>153.31809999999999</v>
      </c>
      <c r="I2489" s="28">
        <v>122.85420000000001</v>
      </c>
      <c r="J2489" s="29"/>
      <c r="K2489" s="29"/>
      <c r="L2489" s="29"/>
      <c r="M2489" s="29"/>
      <c r="N2489" s="29"/>
      <c r="P2489" s="4">
        <f t="shared" si="157"/>
        <v>1.0642368283972498E-2</v>
      </c>
      <c r="Q2489" s="4">
        <f t="shared" si="157"/>
        <v>0</v>
      </c>
      <c r="R2489" s="4">
        <f t="shared" si="157"/>
        <v>1.1869437595288443E-3</v>
      </c>
      <c r="S2489" s="4">
        <f t="shared" si="157"/>
        <v>1.5647016631065335E-2</v>
      </c>
      <c r="T2489" s="4">
        <f t="shared" si="157"/>
        <v>1.1181970819875511E-2</v>
      </c>
      <c r="U2489" s="35"/>
      <c r="V2489" s="35"/>
      <c r="W2489" s="35"/>
      <c r="X2489" s="35"/>
    </row>
    <row r="2490" spans="4:24" x14ac:dyDescent="0.3">
      <c r="D2490" s="23">
        <v>43195</v>
      </c>
      <c r="E2490" s="5">
        <v>240.45666499999999</v>
      </c>
      <c r="F2490" s="28">
        <v>67.477599999999995</v>
      </c>
      <c r="G2490" s="28">
        <v>125.8</v>
      </c>
      <c r="H2490" s="28">
        <v>154.19149999999999</v>
      </c>
      <c r="I2490" s="28">
        <v>123.71380000000001</v>
      </c>
      <c r="J2490" s="29"/>
      <c r="K2490" s="29"/>
      <c r="L2490" s="29"/>
      <c r="M2490" s="29"/>
      <c r="N2490" s="29"/>
      <c r="P2490" s="4">
        <f t="shared" si="157"/>
        <v>7.8610346858690814E-3</v>
      </c>
      <c r="Q2490" s="4">
        <f t="shared" si="157"/>
        <v>-1.3823180148834942E-3</v>
      </c>
      <c r="R2490" s="4">
        <f t="shared" si="157"/>
        <v>-5.153628849634025E-3</v>
      </c>
      <c r="S2490" s="4">
        <f t="shared" si="157"/>
        <v>5.6804883396651329E-3</v>
      </c>
      <c r="T2490" s="4">
        <f t="shared" si="157"/>
        <v>6.9725469854384006E-3</v>
      </c>
      <c r="U2490" s="35"/>
      <c r="V2490" s="35"/>
      <c r="W2490" s="35"/>
      <c r="X2490" s="35"/>
    </row>
    <row r="2491" spans="4:24" x14ac:dyDescent="0.3">
      <c r="D2491" s="23">
        <v>43196</v>
      </c>
      <c r="E2491" s="5">
        <v>235.09787</v>
      </c>
      <c r="F2491" s="28">
        <v>67.647319999999993</v>
      </c>
      <c r="G2491" s="28">
        <v>126.39</v>
      </c>
      <c r="H2491" s="28">
        <v>150.3331</v>
      </c>
      <c r="I2491" s="28">
        <v>121.11709999999999</v>
      </c>
      <c r="J2491" s="29"/>
      <c r="K2491" s="29"/>
      <c r="L2491" s="29"/>
      <c r="M2491" s="29"/>
      <c r="N2491" s="29"/>
      <c r="P2491" s="4">
        <f t="shared" si="157"/>
        <v>-2.2537990669477957E-2</v>
      </c>
      <c r="Q2491" s="4">
        <f t="shared" si="157"/>
        <v>2.5120472115700578E-3</v>
      </c>
      <c r="R2491" s="4">
        <f t="shared" si="157"/>
        <v>4.6790203926948219E-3</v>
      </c>
      <c r="S2491" s="4">
        <f t="shared" si="157"/>
        <v>-2.5341837666352885E-2</v>
      </c>
      <c r="T2491" s="4">
        <f t="shared" si="157"/>
        <v>-2.1212987196751E-2</v>
      </c>
      <c r="U2491" s="35"/>
      <c r="V2491" s="35"/>
      <c r="W2491" s="35"/>
      <c r="X2491" s="35"/>
    </row>
    <row r="2492" spans="4:24" x14ac:dyDescent="0.3">
      <c r="D2492" s="23">
        <v>43199</v>
      </c>
      <c r="E2492" s="5">
        <v>236.256485</v>
      </c>
      <c r="F2492" s="28">
        <v>67.715230000000005</v>
      </c>
      <c r="G2492" s="28">
        <v>126.82</v>
      </c>
      <c r="H2492" s="28">
        <v>151.38890000000001</v>
      </c>
      <c r="I2492" s="28">
        <v>121.5243</v>
      </c>
      <c r="J2492" s="29"/>
      <c r="K2492" s="29"/>
      <c r="L2492" s="29"/>
      <c r="M2492" s="29"/>
      <c r="N2492" s="29"/>
      <c r="P2492" s="4">
        <f t="shared" si="157"/>
        <v>4.9161202020616985E-3</v>
      </c>
      <c r="Q2492" s="4">
        <f t="shared" si="157"/>
        <v>1.0033795270182313E-3</v>
      </c>
      <c r="R2492" s="4">
        <f t="shared" si="157"/>
        <v>3.3963936128505782E-3</v>
      </c>
      <c r="S2492" s="4">
        <f t="shared" si="157"/>
        <v>6.9985238687385164E-3</v>
      </c>
      <c r="T2492" s="4">
        <f t="shared" si="157"/>
        <v>3.3563965776032111E-3</v>
      </c>
      <c r="U2492" s="35"/>
      <c r="V2492" s="35"/>
      <c r="W2492" s="35"/>
      <c r="X2492" s="35"/>
    </row>
    <row r="2493" spans="4:24" x14ac:dyDescent="0.3">
      <c r="D2493" s="23">
        <v>43200</v>
      </c>
      <c r="E2493" s="5">
        <v>240.01301599999999</v>
      </c>
      <c r="F2493" s="28">
        <v>67.596379999999996</v>
      </c>
      <c r="G2493" s="28">
        <v>127.12</v>
      </c>
      <c r="H2493" s="28">
        <v>154.72900000000001</v>
      </c>
      <c r="I2493" s="28">
        <v>123.4966</v>
      </c>
      <c r="J2493" s="29"/>
      <c r="K2493" s="29"/>
      <c r="L2493" s="29"/>
      <c r="M2493" s="29"/>
      <c r="N2493" s="29"/>
      <c r="P2493" s="4">
        <f t="shared" si="157"/>
        <v>1.5775139472185753E-2</v>
      </c>
      <c r="Q2493" s="4">
        <f t="shared" si="157"/>
        <v>-1.7566863710178294E-3</v>
      </c>
      <c r="R2493" s="4">
        <f t="shared" si="157"/>
        <v>2.3627639565751484E-3</v>
      </c>
      <c r="S2493" s="4">
        <f t="shared" si="157"/>
        <v>2.1823177014217082E-2</v>
      </c>
      <c r="T2493" s="4">
        <f t="shared" si="157"/>
        <v>1.6099382541422569E-2</v>
      </c>
      <c r="U2493" s="35"/>
      <c r="V2493" s="35"/>
      <c r="W2493" s="35"/>
      <c r="X2493" s="35"/>
    </row>
    <row r="2494" spans="4:24" x14ac:dyDescent="0.3">
      <c r="D2494" s="23">
        <v>43201</v>
      </c>
      <c r="E2494" s="5">
        <v>238.754898</v>
      </c>
      <c r="F2494" s="28">
        <v>67.647319999999993</v>
      </c>
      <c r="G2494" s="28">
        <v>128.11000000000001</v>
      </c>
      <c r="H2494" s="28">
        <v>153.8364</v>
      </c>
      <c r="I2494" s="28">
        <v>122.9267</v>
      </c>
      <c r="J2494" s="29"/>
      <c r="K2494" s="29"/>
      <c r="L2494" s="29"/>
      <c r="M2494" s="29"/>
      <c r="N2494" s="29"/>
      <c r="P2494" s="4">
        <f t="shared" si="157"/>
        <v>-5.2556608710983945E-3</v>
      </c>
      <c r="Q2494" s="4">
        <f t="shared" si="157"/>
        <v>7.5330684399954075E-4</v>
      </c>
      <c r="R2494" s="4">
        <f t="shared" si="157"/>
        <v>7.757747639881853E-3</v>
      </c>
      <c r="S2494" s="4">
        <f t="shared" si="157"/>
        <v>-5.7854995392090779E-3</v>
      </c>
      <c r="T2494" s="4">
        <f t="shared" si="157"/>
        <v>-4.6253825514400498E-3</v>
      </c>
      <c r="U2494" s="35"/>
      <c r="V2494" s="35"/>
      <c r="W2494" s="35"/>
      <c r="X2494" s="35"/>
    </row>
    <row r="2495" spans="4:24" x14ac:dyDescent="0.3">
      <c r="D2495" s="23">
        <v>43202</v>
      </c>
      <c r="E2495" s="5">
        <v>240.71914699999999</v>
      </c>
      <c r="F2495" s="28">
        <v>67.520009999999999</v>
      </c>
      <c r="G2495" s="28">
        <v>126.62</v>
      </c>
      <c r="H2495" s="28">
        <v>155.68879999999999</v>
      </c>
      <c r="I2495" s="28">
        <v>123.92189999999999</v>
      </c>
      <c r="J2495" s="29"/>
      <c r="K2495" s="29"/>
      <c r="L2495" s="29"/>
      <c r="M2495" s="29"/>
      <c r="N2495" s="29"/>
      <c r="P2495" s="4">
        <f t="shared" si="157"/>
        <v>8.1933944458008057E-3</v>
      </c>
      <c r="Q2495" s="4">
        <f t="shared" si="157"/>
        <v>-1.8837397712355864E-3</v>
      </c>
      <c r="R2495" s="4">
        <f t="shared" si="157"/>
        <v>-1.1698794752361897E-2</v>
      </c>
      <c r="S2495" s="4">
        <f t="shared" si="157"/>
        <v>1.1969442977073745E-2</v>
      </c>
      <c r="T2495" s="4">
        <f t="shared" si="157"/>
        <v>8.0632856903829798E-3</v>
      </c>
      <c r="U2495" s="35"/>
      <c r="V2495" s="35"/>
      <c r="W2495" s="35"/>
      <c r="X2495" s="35"/>
    </row>
    <row r="2496" spans="4:24" x14ac:dyDescent="0.3">
      <c r="D2496" s="23">
        <v>43203</v>
      </c>
      <c r="E2496" s="5">
        <v>240.01301599999999</v>
      </c>
      <c r="F2496" s="28">
        <v>67.570939999999993</v>
      </c>
      <c r="G2496" s="28">
        <v>127.45</v>
      </c>
      <c r="H2496" s="28">
        <v>154.8826</v>
      </c>
      <c r="I2496" s="28">
        <v>123.569</v>
      </c>
      <c r="J2496" s="29"/>
      <c r="K2496" s="29"/>
      <c r="L2496" s="29"/>
      <c r="M2496" s="29"/>
      <c r="N2496" s="29"/>
      <c r="P2496" s="4">
        <f t="shared" si="157"/>
        <v>-2.9377335747023461E-3</v>
      </c>
      <c r="Q2496" s="4">
        <f t="shared" si="157"/>
        <v>7.5401057454905932E-4</v>
      </c>
      <c r="R2496" s="4">
        <f t="shared" si="157"/>
        <v>6.5336557061440115E-3</v>
      </c>
      <c r="S2496" s="4">
        <f t="shared" si="157"/>
        <v>-5.1917324703080539E-3</v>
      </c>
      <c r="T2496" s="4">
        <f t="shared" si="157"/>
        <v>-2.8518239593858952E-3</v>
      </c>
      <c r="U2496" s="35"/>
      <c r="V2496" s="35"/>
      <c r="W2496" s="35"/>
      <c r="X2496" s="35"/>
    </row>
    <row r="2497" spans="4:24" x14ac:dyDescent="0.3">
      <c r="D2497" s="23">
        <v>43206</v>
      </c>
      <c r="E2497" s="5">
        <v>241.98635899999999</v>
      </c>
      <c r="F2497" s="28">
        <v>67.579409999999996</v>
      </c>
      <c r="G2497" s="28">
        <v>127.63</v>
      </c>
      <c r="H2497" s="28">
        <v>156.06309999999999</v>
      </c>
      <c r="I2497" s="28">
        <v>124.60039999999999</v>
      </c>
      <c r="J2497" s="29"/>
      <c r="K2497" s="29"/>
      <c r="L2497" s="29"/>
      <c r="M2497" s="29"/>
      <c r="N2497" s="29"/>
      <c r="P2497" s="4">
        <f t="shared" si="157"/>
        <v>8.1882015946184005E-3</v>
      </c>
      <c r="Q2497" s="4">
        <f t="shared" si="157"/>
        <v>1.2534188792096918E-4</v>
      </c>
      <c r="R2497" s="4">
        <f t="shared" si="157"/>
        <v>1.4113221724747691E-3</v>
      </c>
      <c r="S2497" s="4">
        <f t="shared" si="157"/>
        <v>7.5930020686914871E-3</v>
      </c>
      <c r="T2497" s="4">
        <f t="shared" si="157"/>
        <v>8.3121121168239966E-3</v>
      </c>
      <c r="U2497" s="35"/>
      <c r="V2497" s="35"/>
      <c r="W2497" s="35"/>
      <c r="X2497" s="35"/>
    </row>
    <row r="2498" spans="4:24" x14ac:dyDescent="0.3">
      <c r="D2498" s="23">
        <v>43207</v>
      </c>
      <c r="E2498" s="5">
        <v>244.57524100000001</v>
      </c>
      <c r="F2498" s="28">
        <v>67.604879999999994</v>
      </c>
      <c r="G2498" s="28">
        <v>127.75</v>
      </c>
      <c r="H2498" s="28">
        <v>159.42240000000001</v>
      </c>
      <c r="I2498" s="28">
        <v>125.9123</v>
      </c>
      <c r="J2498" s="29"/>
      <c r="K2498" s="29"/>
      <c r="L2498" s="29"/>
      <c r="M2498" s="29"/>
      <c r="N2498" s="29"/>
      <c r="P2498" s="4">
        <f t="shared" si="157"/>
        <v>1.0641638926445117E-2</v>
      </c>
      <c r="Q2498" s="4">
        <f t="shared" si="157"/>
        <v>3.7681893807900115E-4</v>
      </c>
      <c r="R2498" s="4">
        <f t="shared" si="157"/>
        <v>9.3977608921440639E-4</v>
      </c>
      <c r="S2498" s="4">
        <f t="shared" si="157"/>
        <v>2.1296870813147087E-2</v>
      </c>
      <c r="T2498" s="4">
        <f t="shared" si="157"/>
        <v>1.0473816241819022E-2</v>
      </c>
      <c r="U2498" s="35"/>
      <c r="V2498" s="35"/>
      <c r="W2498" s="35"/>
      <c r="X2498" s="35"/>
    </row>
    <row r="2499" spans="4:24" x14ac:dyDescent="0.3">
      <c r="D2499" s="23">
        <v>43208</v>
      </c>
      <c r="E2499" s="5">
        <v>244.756348</v>
      </c>
      <c r="F2499" s="28">
        <v>67.384249999999994</v>
      </c>
      <c r="G2499" s="28">
        <v>127.85</v>
      </c>
      <c r="H2499" s="28">
        <v>159.74870000000001</v>
      </c>
      <c r="I2499" s="28">
        <v>126.0842</v>
      </c>
      <c r="J2499" s="29"/>
      <c r="K2499" s="29"/>
      <c r="L2499" s="29"/>
      <c r="M2499" s="29"/>
      <c r="N2499" s="29"/>
      <c r="P2499" s="4">
        <f t="shared" si="157"/>
        <v>7.4022201852766564E-4</v>
      </c>
      <c r="Q2499" s="4">
        <f t="shared" si="157"/>
        <v>-3.2688587067808503E-3</v>
      </c>
      <c r="R2499" s="4">
        <f t="shared" si="157"/>
        <v>7.8247265338174399E-4</v>
      </c>
      <c r="S2499" s="4">
        <f t="shared" si="157"/>
        <v>2.044672050068069E-3</v>
      </c>
      <c r="T2499" s="4">
        <f t="shared" si="157"/>
        <v>1.3643048745796669E-3</v>
      </c>
      <c r="U2499" s="35"/>
      <c r="V2499" s="35"/>
      <c r="W2499" s="35"/>
      <c r="X2499" s="35"/>
    </row>
    <row r="2500" spans="4:24" x14ac:dyDescent="0.3">
      <c r="D2500" s="23">
        <v>43209</v>
      </c>
      <c r="E2500" s="5">
        <v>243.39849899999999</v>
      </c>
      <c r="F2500" s="28">
        <v>67.223029999999994</v>
      </c>
      <c r="G2500" s="28">
        <v>127.6</v>
      </c>
      <c r="H2500" s="28">
        <v>158.28020000000001</v>
      </c>
      <c r="I2500" s="28">
        <v>125.39660000000001</v>
      </c>
      <c r="J2500" s="29"/>
      <c r="K2500" s="29"/>
      <c r="L2500" s="29"/>
      <c r="M2500" s="29"/>
      <c r="N2500" s="29"/>
      <c r="P2500" s="4">
        <f t="shared" si="157"/>
        <v>-5.5632040135451966E-3</v>
      </c>
      <c r="Q2500" s="4">
        <f t="shared" si="157"/>
        <v>-2.395413934374614E-3</v>
      </c>
      <c r="R2500" s="4">
        <f t="shared" si="157"/>
        <v>-1.9573308265061636E-3</v>
      </c>
      <c r="S2500" s="4">
        <f t="shared" si="157"/>
        <v>-9.2350754094047971E-3</v>
      </c>
      <c r="T2500" s="4">
        <f t="shared" si="157"/>
        <v>-5.4684231438612667E-3</v>
      </c>
      <c r="U2500" s="35"/>
      <c r="V2500" s="35"/>
      <c r="W2500" s="35"/>
      <c r="X2500" s="35"/>
    </row>
    <row r="2501" spans="4:24" x14ac:dyDescent="0.3">
      <c r="D2501" s="23">
        <v>43210</v>
      </c>
      <c r="E2501" s="5">
        <v>241.334686</v>
      </c>
      <c r="F2501" s="28">
        <v>67.053309999999996</v>
      </c>
      <c r="G2501" s="28">
        <v>126.63</v>
      </c>
      <c r="H2501" s="28">
        <v>155.77520000000001</v>
      </c>
      <c r="I2501" s="28">
        <v>124.4014</v>
      </c>
      <c r="J2501" s="29"/>
      <c r="K2501" s="29"/>
      <c r="L2501" s="29"/>
      <c r="M2501" s="29"/>
      <c r="N2501" s="29"/>
      <c r="P2501" s="4">
        <f t="shared" ref="P2501:T2516" si="158">LN(E2501/E2500)</f>
        <v>-8.5153050565218991E-3</v>
      </c>
      <c r="Q2501" s="4">
        <f t="shared" si="158"/>
        <v>-2.5279224974621185E-3</v>
      </c>
      <c r="R2501" s="4">
        <f t="shared" si="158"/>
        <v>-7.6309224481724272E-3</v>
      </c>
      <c r="S2501" s="4">
        <f t="shared" si="158"/>
        <v>-1.5952937767421228E-2</v>
      </c>
      <c r="T2501" s="4">
        <f t="shared" si="158"/>
        <v>-7.9680803325646674E-3</v>
      </c>
      <c r="U2501" s="35"/>
      <c r="V2501" s="35"/>
      <c r="W2501" s="35"/>
      <c r="X2501" s="35"/>
    </row>
    <row r="2502" spans="4:24" x14ac:dyDescent="0.3">
      <c r="D2502" s="23">
        <v>43213</v>
      </c>
      <c r="E2502" s="5">
        <v>241.29838599999999</v>
      </c>
      <c r="F2502" s="28">
        <v>67.019400000000005</v>
      </c>
      <c r="G2502" s="28">
        <v>125.62</v>
      </c>
      <c r="H2502" s="28">
        <v>155.3817</v>
      </c>
      <c r="I2502" s="28">
        <v>124.3561</v>
      </c>
      <c r="J2502" s="29"/>
      <c r="K2502" s="29"/>
      <c r="L2502" s="29"/>
      <c r="M2502" s="29"/>
      <c r="N2502" s="29"/>
      <c r="P2502" s="4">
        <f t="shared" si="158"/>
        <v>-1.504248348254918E-4</v>
      </c>
      <c r="Q2502" s="4">
        <f t="shared" si="158"/>
        <v>-5.0584493627469642E-4</v>
      </c>
      <c r="R2502" s="4">
        <f t="shared" si="158"/>
        <v>-8.0079714362822525E-3</v>
      </c>
      <c r="S2502" s="4">
        <f t="shared" si="158"/>
        <v>-2.5292719510664513E-3</v>
      </c>
      <c r="T2502" s="4">
        <f t="shared" si="158"/>
        <v>-3.6421012834382733E-4</v>
      </c>
      <c r="U2502" s="35"/>
      <c r="V2502" s="35"/>
      <c r="W2502" s="35"/>
      <c r="X2502" s="35"/>
    </row>
    <row r="2503" spans="4:24" x14ac:dyDescent="0.3">
      <c r="D2503" s="23">
        <v>43214</v>
      </c>
      <c r="E2503" s="5">
        <v>238.04879800000001</v>
      </c>
      <c r="F2503" s="28">
        <v>66.900540000000007</v>
      </c>
      <c r="G2503" s="28">
        <v>126.23</v>
      </c>
      <c r="H2503" s="28">
        <v>152.08949999999999</v>
      </c>
      <c r="I2503" s="28">
        <v>122.8633</v>
      </c>
      <c r="J2503" s="29"/>
      <c r="K2503" s="29"/>
      <c r="L2503" s="29"/>
      <c r="M2503" s="29"/>
      <c r="N2503" s="29"/>
      <c r="P2503" s="4">
        <f t="shared" si="158"/>
        <v>-1.355859757104768E-2</v>
      </c>
      <c r="Q2503" s="4">
        <f t="shared" si="158"/>
        <v>-1.7750908671275638E-3</v>
      </c>
      <c r="R2503" s="4">
        <f t="shared" si="158"/>
        <v>4.8441627385354645E-3</v>
      </c>
      <c r="S2503" s="4">
        <f t="shared" si="158"/>
        <v>-2.1415507029709211E-2</v>
      </c>
      <c r="T2503" s="4">
        <f t="shared" si="158"/>
        <v>-1.2076868917170679E-2</v>
      </c>
      <c r="U2503" s="35"/>
      <c r="V2503" s="35"/>
      <c r="W2503" s="35"/>
      <c r="X2503" s="35"/>
    </row>
    <row r="2504" spans="4:24" x14ac:dyDescent="0.3">
      <c r="D2504" s="23">
        <v>43215</v>
      </c>
      <c r="E2504" s="5">
        <v>238.63720699999999</v>
      </c>
      <c r="F2504" s="28">
        <v>66.807230000000004</v>
      </c>
      <c r="G2504" s="28">
        <v>125.41</v>
      </c>
      <c r="H2504" s="28">
        <v>152.27189999999999</v>
      </c>
      <c r="I2504" s="28">
        <v>122.999</v>
      </c>
      <c r="J2504" s="29"/>
      <c r="K2504" s="29"/>
      <c r="L2504" s="29"/>
      <c r="M2504" s="29"/>
      <c r="N2504" s="29"/>
      <c r="P2504" s="4">
        <f t="shared" si="158"/>
        <v>2.4687500479453365E-3</v>
      </c>
      <c r="Q2504" s="4">
        <f t="shared" si="158"/>
        <v>-1.3957306317773563E-3</v>
      </c>
      <c r="R2504" s="4">
        <f t="shared" si="158"/>
        <v>-6.5172699288119553E-3</v>
      </c>
      <c r="S2504" s="4">
        <f t="shared" si="158"/>
        <v>1.1985752584660594E-3</v>
      </c>
      <c r="T2504" s="4">
        <f t="shared" si="158"/>
        <v>1.1038700425361854E-3</v>
      </c>
      <c r="U2504" s="35"/>
      <c r="V2504" s="35"/>
      <c r="W2504" s="35"/>
      <c r="X2504" s="35"/>
    </row>
    <row r="2505" spans="4:24" x14ac:dyDescent="0.3">
      <c r="D2505" s="23">
        <v>43216</v>
      </c>
      <c r="E2505" s="5">
        <v>241.06304900000001</v>
      </c>
      <c r="F2505" s="28">
        <v>66.942999999999998</v>
      </c>
      <c r="G2505" s="28">
        <v>124.97</v>
      </c>
      <c r="H2505" s="28">
        <v>155.4776</v>
      </c>
      <c r="I2505" s="28">
        <v>124.1661</v>
      </c>
      <c r="J2505" s="29"/>
      <c r="K2505" s="29"/>
      <c r="L2505" s="29"/>
      <c r="M2505" s="29"/>
      <c r="N2505" s="29"/>
      <c r="P2505" s="4">
        <f t="shared" si="158"/>
        <v>1.0114077067188778E-2</v>
      </c>
      <c r="Q2505" s="4">
        <f t="shared" si="158"/>
        <v>2.0302028136155218E-3</v>
      </c>
      <c r="R2505" s="4">
        <f t="shared" si="158"/>
        <v>-3.5146613382660667E-3</v>
      </c>
      <c r="S2505" s="4">
        <f t="shared" si="158"/>
        <v>2.0833931185719783E-2</v>
      </c>
      <c r="T2505" s="4">
        <f t="shared" si="158"/>
        <v>9.443960124634004E-3</v>
      </c>
      <c r="U2505" s="35"/>
      <c r="V2505" s="35"/>
      <c r="W2505" s="35"/>
      <c r="X2505" s="35"/>
    </row>
    <row r="2506" spans="4:24" x14ac:dyDescent="0.3">
      <c r="D2506" s="23">
        <v>43217</v>
      </c>
      <c r="E2506" s="5">
        <v>241.28935200000001</v>
      </c>
      <c r="F2506" s="28">
        <v>67.044830000000005</v>
      </c>
      <c r="G2506" s="28">
        <v>125.5</v>
      </c>
      <c r="H2506" s="28">
        <v>155.5736</v>
      </c>
      <c r="I2506" s="28">
        <v>124.24760000000001</v>
      </c>
      <c r="J2506" s="29"/>
      <c r="K2506" s="29"/>
      <c r="L2506" s="29"/>
      <c r="M2506" s="29"/>
      <c r="N2506" s="29"/>
      <c r="P2506" s="4">
        <f t="shared" si="158"/>
        <v>9.3833063185821204E-4</v>
      </c>
      <c r="Q2506" s="4">
        <f t="shared" si="158"/>
        <v>1.5199890856563137E-3</v>
      </c>
      <c r="R2506" s="4">
        <f t="shared" si="158"/>
        <v>4.2320500741463117E-3</v>
      </c>
      <c r="S2506" s="4">
        <f t="shared" si="158"/>
        <v>6.1726174371351419E-4</v>
      </c>
      <c r="T2506" s="4">
        <f t="shared" si="158"/>
        <v>6.5616351211036613E-4</v>
      </c>
      <c r="U2506" s="35"/>
      <c r="V2506" s="35"/>
      <c r="W2506" s="35"/>
      <c r="X2506" s="35"/>
    </row>
    <row r="2507" spans="4:24" x14ac:dyDescent="0.3">
      <c r="D2507" s="23">
        <v>43220</v>
      </c>
      <c r="E2507" s="5">
        <v>239.433716</v>
      </c>
      <c r="F2507" s="28">
        <v>67.078770000000006</v>
      </c>
      <c r="G2507" s="28">
        <v>124.59</v>
      </c>
      <c r="H2507" s="28">
        <v>154.46979999999999</v>
      </c>
      <c r="I2507" s="28">
        <v>123.3428</v>
      </c>
      <c r="J2507" s="29"/>
      <c r="K2507" s="29"/>
      <c r="L2507" s="29"/>
      <c r="M2507" s="29"/>
      <c r="N2507" s="29"/>
      <c r="P2507" s="4">
        <f t="shared" si="158"/>
        <v>-7.7202253860097457E-3</v>
      </c>
      <c r="Q2507" s="4">
        <f t="shared" si="158"/>
        <v>5.0610035406798608E-4</v>
      </c>
      <c r="R2507" s="4">
        <f t="shared" si="158"/>
        <v>-7.2774122610667217E-3</v>
      </c>
      <c r="S2507" s="4">
        <f t="shared" si="158"/>
        <v>-7.1203235641190583E-3</v>
      </c>
      <c r="T2507" s="4">
        <f t="shared" si="158"/>
        <v>-7.3088781135435786E-3</v>
      </c>
      <c r="U2507" s="35"/>
      <c r="V2507" s="35"/>
      <c r="W2507" s="35"/>
      <c r="X2507" s="35"/>
    </row>
    <row r="2508" spans="4:24" x14ac:dyDescent="0.3">
      <c r="D2508" s="23">
        <v>43221</v>
      </c>
      <c r="E2508" s="5">
        <v>239.859238</v>
      </c>
      <c r="F2508" s="28">
        <v>66.975040000000007</v>
      </c>
      <c r="G2508" s="28">
        <v>123.71</v>
      </c>
      <c r="H2508" s="28">
        <v>156.23580000000001</v>
      </c>
      <c r="I2508" s="28">
        <v>123.53279999999999</v>
      </c>
      <c r="J2508" s="29"/>
      <c r="K2508" s="29"/>
      <c r="L2508" s="29"/>
      <c r="M2508" s="29"/>
      <c r="N2508" s="29"/>
      <c r="P2508" s="4">
        <f t="shared" si="158"/>
        <v>1.7756243159805654E-3</v>
      </c>
      <c r="Q2508" s="4">
        <f t="shared" si="158"/>
        <v>-1.5475878037784767E-3</v>
      </c>
      <c r="R2508" s="4">
        <f t="shared" si="158"/>
        <v>-7.0882294360317174E-3</v>
      </c>
      <c r="S2508" s="4">
        <f t="shared" si="158"/>
        <v>1.1367796511141686E-2</v>
      </c>
      <c r="T2508" s="4">
        <f t="shared" si="158"/>
        <v>1.5392370693022952E-3</v>
      </c>
      <c r="U2508" s="35"/>
      <c r="V2508" s="35"/>
      <c r="W2508" s="35"/>
      <c r="X2508" s="35"/>
    </row>
    <row r="2509" spans="4:24" x14ac:dyDescent="0.3">
      <c r="D2509" s="23">
        <v>43222</v>
      </c>
      <c r="E2509" s="5">
        <v>238.24792500000001</v>
      </c>
      <c r="F2509" s="28">
        <v>66.983530000000002</v>
      </c>
      <c r="G2509" s="28">
        <v>123.65</v>
      </c>
      <c r="H2509" s="28">
        <v>155.31450000000001</v>
      </c>
      <c r="I2509" s="28">
        <v>122.8181</v>
      </c>
      <c r="J2509" s="29"/>
      <c r="K2509" s="29"/>
      <c r="L2509" s="29"/>
      <c r="M2509" s="29"/>
      <c r="N2509" s="29"/>
      <c r="P2509" s="4">
        <f t="shared" si="158"/>
        <v>-6.7404097879091903E-3</v>
      </c>
      <c r="Q2509" s="4">
        <f t="shared" si="158"/>
        <v>1.267556082654067E-4</v>
      </c>
      <c r="R2509" s="4">
        <f t="shared" si="158"/>
        <v>-4.8512290731488685E-4</v>
      </c>
      <c r="S2509" s="4">
        <f t="shared" si="158"/>
        <v>-5.9143110150553617E-3</v>
      </c>
      <c r="T2509" s="4">
        <f t="shared" si="158"/>
        <v>-5.8023088621690436E-3</v>
      </c>
      <c r="U2509" s="35"/>
      <c r="V2509" s="35"/>
      <c r="W2509" s="35"/>
      <c r="X2509" s="35"/>
    </row>
    <row r="2510" spans="4:24" x14ac:dyDescent="0.3">
      <c r="D2510" s="23">
        <v>43223</v>
      </c>
      <c r="E2510" s="5">
        <v>237.72288499999999</v>
      </c>
      <c r="F2510" s="28">
        <v>67.043080000000003</v>
      </c>
      <c r="G2510" s="28">
        <v>124.28</v>
      </c>
      <c r="H2510" s="28">
        <v>155.2953</v>
      </c>
      <c r="I2510" s="28">
        <v>122.4833</v>
      </c>
      <c r="J2510" s="29"/>
      <c r="K2510" s="29"/>
      <c r="L2510" s="29"/>
      <c r="M2510" s="29"/>
      <c r="N2510" s="29"/>
      <c r="P2510" s="4">
        <f t="shared" si="158"/>
        <v>-2.2061866061023113E-3</v>
      </c>
      <c r="Q2510" s="4">
        <f t="shared" si="158"/>
        <v>8.8862956272197692E-4</v>
      </c>
      <c r="R2510" s="4">
        <f t="shared" si="158"/>
        <v>5.0820905574215144E-3</v>
      </c>
      <c r="S2510" s="4">
        <f t="shared" si="158"/>
        <v>-1.2362778009241627E-4</v>
      </c>
      <c r="T2510" s="4">
        <f t="shared" si="158"/>
        <v>-2.7297048275381065E-3</v>
      </c>
      <c r="U2510" s="35"/>
      <c r="V2510" s="35"/>
      <c r="W2510" s="35"/>
      <c r="X2510" s="35"/>
    </row>
    <row r="2511" spans="4:24" x14ac:dyDescent="0.3">
      <c r="D2511" s="23">
        <v>43224</v>
      </c>
      <c r="E2511" s="5">
        <v>240.80053699999999</v>
      </c>
      <c r="F2511" s="28">
        <v>67.085570000000004</v>
      </c>
      <c r="G2511" s="28">
        <v>124.54</v>
      </c>
      <c r="H2511" s="28">
        <v>158.24180000000001</v>
      </c>
      <c r="I2511" s="28">
        <v>124.06659999999999</v>
      </c>
      <c r="J2511" s="29"/>
      <c r="K2511" s="29"/>
      <c r="L2511" s="29"/>
      <c r="M2511" s="29"/>
      <c r="N2511" s="29"/>
      <c r="P2511" s="4">
        <f t="shared" si="158"/>
        <v>1.2863296947271469E-2</v>
      </c>
      <c r="Q2511" s="4">
        <f t="shared" si="158"/>
        <v>6.3357085039385155E-4</v>
      </c>
      <c r="R2511" s="4">
        <f t="shared" si="158"/>
        <v>2.0898649194592365E-3</v>
      </c>
      <c r="S2511" s="4">
        <f t="shared" si="158"/>
        <v>1.8795777244570371E-2</v>
      </c>
      <c r="T2511" s="4">
        <f t="shared" si="158"/>
        <v>1.28438240335198E-2</v>
      </c>
      <c r="U2511" s="35"/>
      <c r="V2511" s="35"/>
      <c r="W2511" s="35"/>
      <c r="X2511" s="35"/>
    </row>
    <row r="2512" spans="4:24" x14ac:dyDescent="0.3">
      <c r="D2512" s="23">
        <v>43227</v>
      </c>
      <c r="E2512" s="5">
        <v>241.61528000000001</v>
      </c>
      <c r="F2512" s="28">
        <v>67.051569999999998</v>
      </c>
      <c r="G2512" s="28">
        <v>124.57</v>
      </c>
      <c r="H2512" s="28">
        <v>159.55680000000001</v>
      </c>
      <c r="I2512" s="28">
        <v>124.6095</v>
      </c>
      <c r="J2512" s="29"/>
      <c r="K2512" s="29"/>
      <c r="L2512" s="29"/>
      <c r="M2512" s="29"/>
      <c r="N2512" s="29"/>
      <c r="P2512" s="4">
        <f t="shared" si="158"/>
        <v>3.3777655952651974E-3</v>
      </c>
      <c r="Q2512" s="4">
        <f t="shared" si="158"/>
        <v>-5.0694387442801983E-4</v>
      </c>
      <c r="R2512" s="4">
        <f t="shared" si="158"/>
        <v>2.4085745369536581E-4</v>
      </c>
      <c r="S2512" s="4">
        <f t="shared" si="158"/>
        <v>8.2757287483354574E-3</v>
      </c>
      <c r="T2512" s="4">
        <f t="shared" si="158"/>
        <v>4.3663292332834702E-3</v>
      </c>
      <c r="U2512" s="35"/>
      <c r="V2512" s="35"/>
      <c r="W2512" s="35"/>
      <c r="X2512" s="35"/>
    </row>
    <row r="2513" spans="4:24" x14ac:dyDescent="0.3">
      <c r="D2513" s="23">
        <v>43228</v>
      </c>
      <c r="E2513" s="5">
        <v>241.61528000000001</v>
      </c>
      <c r="F2513" s="28">
        <v>67.000510000000006</v>
      </c>
      <c r="G2513" s="28">
        <v>124.59</v>
      </c>
      <c r="H2513" s="28">
        <v>159.39359999999999</v>
      </c>
      <c r="I2513" s="28">
        <v>124.65470000000001</v>
      </c>
      <c r="J2513" s="29"/>
      <c r="K2513" s="29"/>
      <c r="L2513" s="29"/>
      <c r="M2513" s="29"/>
      <c r="N2513" s="29"/>
      <c r="P2513" s="4">
        <f t="shared" si="158"/>
        <v>0</v>
      </c>
      <c r="Q2513" s="4">
        <f t="shared" si="158"/>
        <v>-7.6179351292861882E-4</v>
      </c>
      <c r="R2513" s="4">
        <f t="shared" si="158"/>
        <v>1.6053941277059409E-4</v>
      </c>
      <c r="S2513" s="4">
        <f t="shared" si="158"/>
        <v>-1.0233566989898415E-3</v>
      </c>
      <c r="T2513" s="4">
        <f t="shared" si="158"/>
        <v>3.6266740667469663E-4</v>
      </c>
      <c r="U2513" s="35"/>
      <c r="V2513" s="35"/>
      <c r="W2513" s="35"/>
      <c r="X2513" s="35"/>
    </row>
    <row r="2514" spans="4:24" x14ac:dyDescent="0.3">
      <c r="D2514" s="23">
        <v>43229</v>
      </c>
      <c r="E2514" s="5">
        <v>243.950714</v>
      </c>
      <c r="F2514" s="28">
        <v>66.92398</v>
      </c>
      <c r="G2514" s="28">
        <v>124.33</v>
      </c>
      <c r="H2514" s="28">
        <v>161.13079999999999</v>
      </c>
      <c r="I2514" s="28">
        <v>125.8309</v>
      </c>
      <c r="J2514" s="29"/>
      <c r="K2514" s="29"/>
      <c r="L2514" s="29"/>
      <c r="M2514" s="29"/>
      <c r="N2514" s="29"/>
      <c r="P2514" s="4">
        <f t="shared" si="158"/>
        <v>9.6195039929415291E-3</v>
      </c>
      <c r="Q2514" s="4">
        <f t="shared" si="158"/>
        <v>-1.1428829533743576E-3</v>
      </c>
      <c r="R2514" s="4">
        <f t="shared" si="158"/>
        <v>-2.0890253459256839E-3</v>
      </c>
      <c r="S2514" s="4">
        <f t="shared" si="158"/>
        <v>1.0839842522856056E-2</v>
      </c>
      <c r="T2514" s="4">
        <f t="shared" si="158"/>
        <v>9.3914272513074496E-3</v>
      </c>
      <c r="U2514" s="35"/>
      <c r="V2514" s="35"/>
      <c r="W2514" s="35"/>
      <c r="X2514" s="35"/>
    </row>
    <row r="2515" spans="4:24" x14ac:dyDescent="0.3">
      <c r="D2515" s="23">
        <v>43230</v>
      </c>
      <c r="E2515" s="5">
        <v>246.23175000000001</v>
      </c>
      <c r="F2515" s="28">
        <v>67.060079999999999</v>
      </c>
      <c r="G2515" s="28">
        <v>125.18</v>
      </c>
      <c r="H2515" s="28">
        <v>162.80090000000001</v>
      </c>
      <c r="I2515" s="28">
        <v>126.9256</v>
      </c>
      <c r="J2515" s="29"/>
      <c r="K2515" s="29"/>
      <c r="L2515" s="29"/>
      <c r="M2515" s="29"/>
      <c r="N2515" s="29"/>
      <c r="P2515" s="4">
        <f t="shared" si="158"/>
        <v>9.3069525438342054E-3</v>
      </c>
      <c r="Q2515" s="4">
        <f t="shared" si="158"/>
        <v>2.0315856499782958E-3</v>
      </c>
      <c r="R2515" s="4">
        <f t="shared" si="158"/>
        <v>6.8133805317093692E-3</v>
      </c>
      <c r="S2515" s="4">
        <f t="shared" si="158"/>
        <v>1.0311524300389584E-2</v>
      </c>
      <c r="T2515" s="4">
        <f t="shared" si="158"/>
        <v>8.6621459377391515E-3</v>
      </c>
      <c r="U2515" s="35"/>
      <c r="V2515" s="35"/>
      <c r="W2515" s="35"/>
      <c r="X2515" s="35"/>
    </row>
    <row r="2516" spans="4:24" x14ac:dyDescent="0.3">
      <c r="D2516" s="23">
        <v>43231</v>
      </c>
      <c r="E2516" s="5">
        <v>246.98306299999999</v>
      </c>
      <c r="F2516" s="28">
        <v>67.128079999999997</v>
      </c>
      <c r="G2516" s="28">
        <v>125</v>
      </c>
      <c r="H2516" s="28">
        <v>162.6473</v>
      </c>
      <c r="I2516" s="28">
        <v>127.1789</v>
      </c>
      <c r="J2516" s="29"/>
      <c r="K2516" s="29"/>
      <c r="L2516" s="29"/>
      <c r="M2516" s="29"/>
      <c r="N2516" s="29"/>
      <c r="P2516" s="4">
        <f t="shared" si="158"/>
        <v>3.0465977960209369E-3</v>
      </c>
      <c r="Q2516" s="4">
        <f t="shared" si="158"/>
        <v>1.0135023212289717E-3</v>
      </c>
      <c r="R2516" s="4">
        <f t="shared" si="158"/>
        <v>-1.4389641942543227E-3</v>
      </c>
      <c r="S2516" s="4">
        <f t="shared" si="158"/>
        <v>-9.4392908859124885E-4</v>
      </c>
      <c r="T2516" s="4">
        <f t="shared" si="158"/>
        <v>1.9936686197968242E-3</v>
      </c>
      <c r="U2516" s="35"/>
      <c r="V2516" s="35"/>
      <c r="W2516" s="35"/>
      <c r="X2516" s="35"/>
    </row>
    <row r="2517" spans="4:24" x14ac:dyDescent="0.3">
      <c r="D2517" s="23">
        <v>43234</v>
      </c>
      <c r="E2517" s="5">
        <v>247.10081500000001</v>
      </c>
      <c r="F2517" s="28">
        <v>67.043080000000003</v>
      </c>
      <c r="G2517" s="28">
        <v>124.49</v>
      </c>
      <c r="H2517" s="28">
        <v>162.92570000000001</v>
      </c>
      <c r="I2517" s="28">
        <v>127.2423</v>
      </c>
      <c r="J2517" s="29"/>
      <c r="K2517" s="29"/>
      <c r="L2517" s="29"/>
      <c r="M2517" s="29"/>
      <c r="N2517" s="29"/>
      <c r="P2517" s="4">
        <f t="shared" ref="P2517:T2532" si="159">LN(E2517/E2516)</f>
        <v>4.7664782225246096E-4</v>
      </c>
      <c r="Q2517" s="4">
        <f t="shared" si="159"/>
        <v>-1.267038480869939E-3</v>
      </c>
      <c r="R2517" s="4">
        <f t="shared" si="159"/>
        <v>-4.0883459086066293E-3</v>
      </c>
      <c r="S2517" s="4">
        <f t="shared" si="159"/>
        <v>1.7102159445424284E-3</v>
      </c>
      <c r="T2517" s="4">
        <f t="shared" si="159"/>
        <v>4.9838615109375033E-4</v>
      </c>
      <c r="U2517" s="35"/>
      <c r="V2517" s="35"/>
      <c r="W2517" s="35"/>
      <c r="X2517" s="35"/>
    </row>
    <row r="2518" spans="4:24" x14ac:dyDescent="0.3">
      <c r="D2518" s="23">
        <v>43235</v>
      </c>
      <c r="E2518" s="5">
        <v>245.39901699999999</v>
      </c>
      <c r="F2518" s="28">
        <v>66.728399999999993</v>
      </c>
      <c r="G2518" s="28">
        <v>122.48</v>
      </c>
      <c r="H2518" s="28">
        <v>161.12119999999999</v>
      </c>
      <c r="I2518" s="28">
        <v>126.47320000000001</v>
      </c>
      <c r="J2518" s="29"/>
      <c r="K2518" s="29"/>
      <c r="L2518" s="29"/>
      <c r="M2518" s="29"/>
      <c r="N2518" s="29"/>
      <c r="P2518" s="4">
        <f t="shared" si="159"/>
        <v>-6.9108846851223399E-3</v>
      </c>
      <c r="Q2518" s="4">
        <f t="shared" si="159"/>
        <v>-4.7047484328394734E-3</v>
      </c>
      <c r="R2518" s="4">
        <f t="shared" si="159"/>
        <v>-1.6277640044266142E-2</v>
      </c>
      <c r="S2518" s="4">
        <f t="shared" si="159"/>
        <v>-1.1137391857176415E-2</v>
      </c>
      <c r="T2518" s="4">
        <f t="shared" si="159"/>
        <v>-6.0627147792276367E-3</v>
      </c>
      <c r="U2518" s="35"/>
      <c r="V2518" s="35"/>
      <c r="W2518" s="35"/>
      <c r="X2518" s="35"/>
    </row>
    <row r="2519" spans="4:24" x14ac:dyDescent="0.3">
      <c r="D2519" s="23">
        <v>43236</v>
      </c>
      <c r="E2519" s="5">
        <v>246.43090799999999</v>
      </c>
      <c r="F2519" s="28">
        <v>66.677350000000004</v>
      </c>
      <c r="G2519" s="28">
        <v>122.29</v>
      </c>
      <c r="H2519" s="28">
        <v>162.1866</v>
      </c>
      <c r="I2519" s="28">
        <v>127.0885</v>
      </c>
      <c r="J2519" s="29"/>
      <c r="K2519" s="29"/>
      <c r="L2519" s="29"/>
      <c r="M2519" s="29"/>
      <c r="N2519" s="29"/>
      <c r="P2519" s="4">
        <f t="shared" si="159"/>
        <v>4.1961355405090248E-3</v>
      </c>
      <c r="Q2519" s="4">
        <f t="shared" si="159"/>
        <v>-7.6533436515005093E-4</v>
      </c>
      <c r="R2519" s="4">
        <f t="shared" si="159"/>
        <v>-1.5524781481498341E-3</v>
      </c>
      <c r="S2519" s="4">
        <f t="shared" si="159"/>
        <v>6.5906474044009492E-3</v>
      </c>
      <c r="T2519" s="4">
        <f t="shared" si="159"/>
        <v>4.8532661497436742E-3</v>
      </c>
      <c r="U2519" s="35"/>
      <c r="V2519" s="35"/>
      <c r="W2519" s="35"/>
      <c r="X2519" s="35"/>
    </row>
    <row r="2520" spans="4:24" x14ac:dyDescent="0.3">
      <c r="D2520" s="23">
        <v>43237</v>
      </c>
      <c r="E2520" s="5">
        <v>246.22271699999999</v>
      </c>
      <c r="F2520" s="28">
        <v>66.617819999999995</v>
      </c>
      <c r="G2520" s="28">
        <v>122.36</v>
      </c>
      <c r="H2520" s="28">
        <v>161.56280000000001</v>
      </c>
      <c r="I2520" s="28">
        <v>127.1246</v>
      </c>
      <c r="J2520" s="29"/>
      <c r="K2520" s="29"/>
      <c r="L2520" s="29"/>
      <c r="M2520" s="29"/>
      <c r="N2520" s="29"/>
      <c r="P2520" s="4">
        <f t="shared" si="159"/>
        <v>-8.451820988555329E-4</v>
      </c>
      <c r="Q2520" s="4">
        <f t="shared" si="159"/>
        <v>-8.9320571717408075E-4</v>
      </c>
      <c r="R2520" s="4">
        <f t="shared" si="159"/>
        <v>5.7224608142423627E-4</v>
      </c>
      <c r="S2520" s="4">
        <f t="shared" si="159"/>
        <v>-3.8536026443012033E-3</v>
      </c>
      <c r="T2520" s="4">
        <f t="shared" si="159"/>
        <v>2.8401368963810184E-4</v>
      </c>
      <c r="U2520" s="35"/>
      <c r="V2520" s="35"/>
      <c r="W2520" s="35"/>
      <c r="X2520" s="35"/>
    </row>
    <row r="2521" spans="4:24" x14ac:dyDescent="0.3">
      <c r="D2521" s="23">
        <v>43238</v>
      </c>
      <c r="E2521" s="5">
        <v>245.607178</v>
      </c>
      <c r="F2521" s="28">
        <v>66.796430000000001</v>
      </c>
      <c r="G2521" s="28">
        <v>122.41</v>
      </c>
      <c r="H2521" s="28">
        <v>160.7278</v>
      </c>
      <c r="I2521" s="28">
        <v>126.8442</v>
      </c>
      <c r="J2521" s="29"/>
      <c r="K2521" s="29"/>
      <c r="L2521" s="29"/>
      <c r="M2521" s="29"/>
      <c r="N2521" s="29"/>
      <c r="P2521" s="4">
        <f t="shared" si="159"/>
        <v>-2.5030577752004884E-3</v>
      </c>
      <c r="Q2521" s="4">
        <f t="shared" si="159"/>
        <v>2.6775266766002935E-3</v>
      </c>
      <c r="R2521" s="4">
        <f t="shared" si="159"/>
        <v>4.0854680471831518E-4</v>
      </c>
      <c r="S2521" s="4">
        <f t="shared" si="159"/>
        <v>-5.1816706307384452E-3</v>
      </c>
      <c r="T2521" s="4">
        <f t="shared" si="159"/>
        <v>-2.2081461497140101E-3</v>
      </c>
      <c r="U2521" s="35"/>
      <c r="V2521" s="35"/>
      <c r="W2521" s="35"/>
      <c r="X2521" s="35"/>
    </row>
    <row r="2522" spans="4:24" x14ac:dyDescent="0.3">
      <c r="D2522" s="23">
        <v>43241</v>
      </c>
      <c r="E2522" s="5">
        <v>247.453766</v>
      </c>
      <c r="F2522" s="28">
        <v>66.796430000000001</v>
      </c>
      <c r="G2522" s="28">
        <v>122.48</v>
      </c>
      <c r="H2522" s="28">
        <v>161.62989999999999</v>
      </c>
      <c r="I2522" s="28">
        <v>127.7941</v>
      </c>
      <c r="J2522" s="29"/>
      <c r="K2522" s="29"/>
      <c r="L2522" s="29"/>
      <c r="M2522" s="29"/>
      <c r="N2522" s="29"/>
      <c r="P2522" s="4">
        <f t="shared" si="159"/>
        <v>7.4903382880232199E-3</v>
      </c>
      <c r="Q2522" s="4">
        <f t="shared" si="159"/>
        <v>0</v>
      </c>
      <c r="R2522" s="4">
        <f t="shared" si="159"/>
        <v>5.7168526200719941E-4</v>
      </c>
      <c r="S2522" s="4">
        <f t="shared" si="159"/>
        <v>5.5969027876780113E-3</v>
      </c>
      <c r="T2522" s="4">
        <f t="shared" si="159"/>
        <v>7.4608132888445431E-3</v>
      </c>
      <c r="U2522" s="35"/>
      <c r="V2522" s="35"/>
      <c r="W2522" s="35"/>
      <c r="X2522" s="35"/>
    </row>
    <row r="2523" spans="4:24" x14ac:dyDescent="0.3">
      <c r="D2523" s="23">
        <v>43242</v>
      </c>
      <c r="E2523" s="5">
        <v>246.76577800000001</v>
      </c>
      <c r="F2523" s="28">
        <v>66.813419999999994</v>
      </c>
      <c r="G2523" s="28">
        <v>122.41</v>
      </c>
      <c r="H2523" s="28">
        <v>161.4188</v>
      </c>
      <c r="I2523" s="28">
        <v>127.3237</v>
      </c>
      <c r="J2523" s="29"/>
      <c r="K2523" s="29"/>
      <c r="L2523" s="29"/>
      <c r="M2523" s="29"/>
      <c r="N2523" s="29"/>
      <c r="P2523" s="4">
        <f t="shared" si="159"/>
        <v>-2.7841409865738643E-3</v>
      </c>
      <c r="Q2523" s="4">
        <f t="shared" si="159"/>
        <v>2.5432256815744006E-4</v>
      </c>
      <c r="R2523" s="4">
        <f t="shared" si="159"/>
        <v>-5.7168526200729395E-4</v>
      </c>
      <c r="S2523" s="4">
        <f t="shared" si="159"/>
        <v>-1.3069238789534736E-3</v>
      </c>
      <c r="T2523" s="4">
        <f t="shared" si="159"/>
        <v>-3.6877123673017416E-3</v>
      </c>
      <c r="U2523" s="35"/>
      <c r="V2523" s="35"/>
      <c r="W2523" s="35"/>
      <c r="X2523" s="35"/>
    </row>
    <row r="2524" spans="4:24" x14ac:dyDescent="0.3">
      <c r="D2524" s="23">
        <v>43243</v>
      </c>
      <c r="E2524" s="5">
        <v>247.444717</v>
      </c>
      <c r="F2524" s="28">
        <v>67.017510000000001</v>
      </c>
      <c r="G2524" s="28">
        <v>122.54</v>
      </c>
      <c r="H2524" s="28">
        <v>162.7817</v>
      </c>
      <c r="I2524" s="28">
        <v>127.6584</v>
      </c>
      <c r="J2524" s="29"/>
      <c r="K2524" s="29"/>
      <c r="L2524" s="29"/>
      <c r="M2524" s="29"/>
      <c r="N2524" s="29"/>
      <c r="P2524" s="4">
        <f t="shared" si="159"/>
        <v>2.7475718706365215E-3</v>
      </c>
      <c r="Q2524" s="4">
        <f t="shared" si="159"/>
        <v>3.0499699614899432E-3</v>
      </c>
      <c r="R2524" s="4">
        <f t="shared" si="159"/>
        <v>1.0614412100875049E-3</v>
      </c>
      <c r="S2524" s="4">
        <f t="shared" si="159"/>
        <v>8.4078095422464878E-3</v>
      </c>
      <c r="T2524" s="4">
        <f t="shared" si="159"/>
        <v>2.6252838315516769E-3</v>
      </c>
      <c r="U2524" s="35"/>
      <c r="V2524" s="35"/>
      <c r="W2524" s="35"/>
      <c r="X2524" s="35"/>
    </row>
    <row r="2525" spans="4:24" x14ac:dyDescent="0.3">
      <c r="D2525" s="23">
        <v>43244</v>
      </c>
      <c r="E2525" s="5">
        <v>246.937805</v>
      </c>
      <c r="F2525" s="28">
        <v>67.153599999999997</v>
      </c>
      <c r="G2525" s="28">
        <v>123.59</v>
      </c>
      <c r="H2525" s="28">
        <v>162.7337</v>
      </c>
      <c r="I2525" s="28">
        <v>127.4504</v>
      </c>
      <c r="J2525" s="29"/>
      <c r="K2525" s="29"/>
      <c r="L2525" s="29"/>
      <c r="M2525" s="29"/>
      <c r="N2525" s="29"/>
      <c r="P2525" s="4">
        <f t="shared" si="159"/>
        <v>-2.0506881011621916E-3</v>
      </c>
      <c r="Q2525" s="4">
        <f t="shared" si="159"/>
        <v>2.0286043198151273E-3</v>
      </c>
      <c r="R2525" s="4">
        <f t="shared" si="159"/>
        <v>8.5321283041354667E-3</v>
      </c>
      <c r="S2525" s="4">
        <f t="shared" si="159"/>
        <v>-2.94916924654909E-4</v>
      </c>
      <c r="T2525" s="4">
        <f t="shared" si="159"/>
        <v>-1.630677154933169E-3</v>
      </c>
      <c r="U2525" s="35"/>
      <c r="V2525" s="35"/>
      <c r="W2525" s="35"/>
      <c r="X2525" s="35"/>
    </row>
    <row r="2526" spans="4:24" x14ac:dyDescent="0.3">
      <c r="D2526" s="23">
        <v>43245</v>
      </c>
      <c r="E2526" s="5">
        <v>246.349457</v>
      </c>
      <c r="F2526" s="28">
        <v>67.298190000000005</v>
      </c>
      <c r="G2526" s="28">
        <v>123.21</v>
      </c>
      <c r="H2526" s="28">
        <v>162.89689999999999</v>
      </c>
      <c r="I2526" s="28">
        <v>127.20610000000001</v>
      </c>
      <c r="J2526" s="29"/>
      <c r="K2526" s="29"/>
      <c r="L2526" s="29"/>
      <c r="M2526" s="29"/>
      <c r="N2526" s="29"/>
      <c r="P2526" s="4">
        <f t="shared" si="159"/>
        <v>-2.3854184946938343E-3</v>
      </c>
      <c r="Q2526" s="4">
        <f t="shared" si="159"/>
        <v>2.1508089366337473E-3</v>
      </c>
      <c r="R2526" s="4">
        <f t="shared" si="159"/>
        <v>-3.0794189650672349E-3</v>
      </c>
      <c r="S2526" s="4">
        <f t="shared" si="159"/>
        <v>1.0023628839816712E-3</v>
      </c>
      <c r="T2526" s="4">
        <f t="shared" si="159"/>
        <v>-1.9186635718664742E-3</v>
      </c>
      <c r="U2526" s="35"/>
      <c r="V2526" s="35"/>
      <c r="W2526" s="35"/>
      <c r="X2526" s="35"/>
    </row>
    <row r="2527" spans="4:24" x14ac:dyDescent="0.3">
      <c r="D2527" s="23">
        <v>43249</v>
      </c>
      <c r="E2527" s="5">
        <v>243.51620500000001</v>
      </c>
      <c r="F2527" s="28">
        <v>67.765950000000004</v>
      </c>
      <c r="G2527" s="28">
        <v>123.19</v>
      </c>
      <c r="H2527" s="28">
        <v>162.17699999999999</v>
      </c>
      <c r="I2527" s="28">
        <v>125.9485</v>
      </c>
      <c r="J2527" s="29"/>
      <c r="K2527" s="29"/>
      <c r="L2527" s="29"/>
      <c r="M2527" s="29"/>
      <c r="N2527" s="29"/>
      <c r="P2527" s="4">
        <f t="shared" si="159"/>
        <v>-1.1567594190220435E-2</v>
      </c>
      <c r="Q2527" s="4">
        <f t="shared" si="159"/>
        <v>6.9265146192995664E-3</v>
      </c>
      <c r="R2527" s="4">
        <f t="shared" si="159"/>
        <v>-1.623376626941337E-4</v>
      </c>
      <c r="S2527" s="4">
        <f t="shared" si="159"/>
        <v>-4.4291539670236997E-3</v>
      </c>
      <c r="T2527" s="4">
        <f t="shared" si="159"/>
        <v>-9.9355124912049904E-3</v>
      </c>
      <c r="U2527" s="35"/>
      <c r="V2527" s="35"/>
      <c r="W2527" s="35"/>
      <c r="X2527" s="35"/>
    </row>
    <row r="2528" spans="4:24" x14ac:dyDescent="0.3">
      <c r="D2528" s="23">
        <v>43250</v>
      </c>
      <c r="E2528" s="5">
        <v>246.76577800000001</v>
      </c>
      <c r="F2528" s="28">
        <v>67.561859999999996</v>
      </c>
      <c r="G2528" s="28">
        <v>123.37</v>
      </c>
      <c r="H2528" s="28">
        <v>163.33840000000001</v>
      </c>
      <c r="I2528" s="28">
        <v>127.577</v>
      </c>
      <c r="J2528" s="29"/>
      <c r="K2528" s="29"/>
      <c r="L2528" s="29"/>
      <c r="M2528" s="29"/>
      <c r="N2528" s="29"/>
      <c r="P2528" s="4">
        <f t="shared" si="159"/>
        <v>1.3256128915439799E-2</v>
      </c>
      <c r="Q2528" s="4">
        <f t="shared" si="159"/>
        <v>-3.0162337619820201E-3</v>
      </c>
      <c r="R2528" s="4">
        <f t="shared" si="159"/>
        <v>1.4600911094905813E-3</v>
      </c>
      <c r="S2528" s="4">
        <f t="shared" si="159"/>
        <v>7.1357909835051423E-3</v>
      </c>
      <c r="T2528" s="4">
        <f t="shared" si="159"/>
        <v>1.2847010640056991E-2</v>
      </c>
      <c r="U2528" s="35"/>
      <c r="V2528" s="35"/>
      <c r="W2528" s="35"/>
      <c r="X2528" s="35"/>
    </row>
    <row r="2529" spans="4:24" x14ac:dyDescent="0.3">
      <c r="D2529" s="23">
        <v>43251</v>
      </c>
      <c r="E2529" s="5">
        <v>245.254211</v>
      </c>
      <c r="F2529" s="28">
        <v>67.536349999999999</v>
      </c>
      <c r="G2529" s="28">
        <v>123.1</v>
      </c>
      <c r="H2529" s="28">
        <v>163.2328</v>
      </c>
      <c r="I2529" s="28">
        <v>126.6994</v>
      </c>
      <c r="J2529" s="29"/>
      <c r="K2529" s="29"/>
      <c r="L2529" s="29"/>
      <c r="M2529" s="29"/>
      <c r="N2529" s="29"/>
      <c r="P2529" s="4">
        <f t="shared" si="159"/>
        <v>-6.1443509991988363E-3</v>
      </c>
      <c r="Q2529" s="4">
        <f t="shared" si="159"/>
        <v>-3.7765119616584898E-4</v>
      </c>
      <c r="R2529" s="4">
        <f t="shared" si="159"/>
        <v>-2.1909368929654486E-3</v>
      </c>
      <c r="S2529" s="4">
        <f t="shared" si="159"/>
        <v>-6.4671963529292203E-4</v>
      </c>
      <c r="T2529" s="4">
        <f t="shared" si="159"/>
        <v>-6.9027521598809417E-3</v>
      </c>
      <c r="U2529" s="35"/>
      <c r="V2529" s="35"/>
      <c r="W2529" s="35"/>
      <c r="X2529" s="35"/>
    </row>
    <row r="2530" spans="4:24" x14ac:dyDescent="0.3">
      <c r="D2530" s="23">
        <v>43252</v>
      </c>
      <c r="E2530" s="5">
        <v>247.66198700000001</v>
      </c>
      <c r="F2530" s="28">
        <v>67.578199999999995</v>
      </c>
      <c r="G2530" s="28">
        <v>122.49</v>
      </c>
      <c r="H2530" s="28">
        <v>165.7955</v>
      </c>
      <c r="I2530" s="28">
        <v>128.02029999999999</v>
      </c>
      <c r="J2530" s="29"/>
      <c r="K2530" s="29"/>
      <c r="L2530" s="29"/>
      <c r="M2530" s="29"/>
      <c r="N2530" s="29"/>
      <c r="P2530" s="4">
        <f t="shared" si="159"/>
        <v>9.7695923184276875E-3</v>
      </c>
      <c r="Q2530" s="4">
        <f t="shared" si="159"/>
        <v>6.1947438434000596E-4</v>
      </c>
      <c r="R2530" s="4">
        <f t="shared" si="159"/>
        <v>-4.9676391908137635E-3</v>
      </c>
      <c r="S2530" s="4">
        <f t="shared" si="159"/>
        <v>1.5577698470660905E-2</v>
      </c>
      <c r="T2530" s="4">
        <f t="shared" si="159"/>
        <v>1.0371493374973334E-2</v>
      </c>
      <c r="U2530" s="35"/>
      <c r="V2530" s="35"/>
      <c r="W2530" s="35"/>
      <c r="X2530" s="35"/>
    </row>
    <row r="2531" spans="4:24" x14ac:dyDescent="0.3">
      <c r="D2531" s="23">
        <v>43255</v>
      </c>
      <c r="E2531" s="5">
        <v>248.83874499999999</v>
      </c>
      <c r="F2531" s="28">
        <v>67.432919999999996</v>
      </c>
      <c r="G2531" s="28">
        <v>122.37</v>
      </c>
      <c r="H2531" s="28">
        <v>167.2927</v>
      </c>
      <c r="I2531" s="28">
        <v>128.61750000000001</v>
      </c>
      <c r="J2531" s="29"/>
      <c r="K2531" s="29"/>
      <c r="L2531" s="29"/>
      <c r="M2531" s="29"/>
      <c r="N2531" s="29"/>
      <c r="P2531" s="4">
        <f t="shared" si="159"/>
        <v>4.7402153817707312E-3</v>
      </c>
      <c r="Q2531" s="4">
        <f t="shared" si="159"/>
        <v>-2.1521198561047523E-3</v>
      </c>
      <c r="R2531" s="4">
        <f t="shared" si="159"/>
        <v>-9.8015200201726892E-4</v>
      </c>
      <c r="S2531" s="4">
        <f t="shared" si="159"/>
        <v>8.9898716517304647E-3</v>
      </c>
      <c r="T2531" s="4">
        <f t="shared" si="159"/>
        <v>4.6540383213170217E-3</v>
      </c>
      <c r="U2531" s="35"/>
      <c r="V2531" s="35"/>
      <c r="W2531" s="35"/>
      <c r="X2531" s="35"/>
    </row>
    <row r="2532" spans="4:24" x14ac:dyDescent="0.3">
      <c r="D2532" s="23">
        <v>43256</v>
      </c>
      <c r="E2532" s="5">
        <v>249.01980599999999</v>
      </c>
      <c r="F2532" s="28">
        <v>67.492729999999995</v>
      </c>
      <c r="G2532" s="28">
        <v>122.85</v>
      </c>
      <c r="H2532" s="28">
        <v>167.81100000000001</v>
      </c>
      <c r="I2532" s="28">
        <v>128.8074</v>
      </c>
      <c r="J2532" s="29"/>
      <c r="K2532" s="29"/>
      <c r="L2532" s="29"/>
      <c r="M2532" s="29"/>
      <c r="N2532" s="29"/>
      <c r="P2532" s="4">
        <f t="shared" si="159"/>
        <v>7.2735923735319397E-4</v>
      </c>
      <c r="Q2532" s="4">
        <f t="shared" si="159"/>
        <v>8.8656239814319531E-4</v>
      </c>
      <c r="R2532" s="4">
        <f t="shared" si="159"/>
        <v>3.9148569696111652E-3</v>
      </c>
      <c r="S2532" s="4">
        <f t="shared" si="159"/>
        <v>3.0933732650472016E-3</v>
      </c>
      <c r="T2532" s="4">
        <f t="shared" si="159"/>
        <v>1.4753820197431896E-3</v>
      </c>
      <c r="U2532" s="35"/>
      <c r="V2532" s="35"/>
      <c r="W2532" s="35"/>
      <c r="X2532" s="35"/>
    </row>
    <row r="2533" spans="4:24" x14ac:dyDescent="0.3">
      <c r="D2533" s="23">
        <v>43257</v>
      </c>
      <c r="E2533" s="5">
        <v>251.10176100000001</v>
      </c>
      <c r="F2533" s="28">
        <v>67.304789999999997</v>
      </c>
      <c r="G2533" s="28">
        <v>122.92</v>
      </c>
      <c r="H2533" s="28">
        <v>168.79</v>
      </c>
      <c r="I2533" s="28">
        <v>129.94739999999999</v>
      </c>
      <c r="J2533" s="29"/>
      <c r="K2533" s="29"/>
      <c r="L2533" s="29"/>
      <c r="M2533" s="29"/>
      <c r="N2533" s="29"/>
      <c r="P2533" s="4">
        <f t="shared" ref="P2533:T2548" si="160">LN(E2533/E2532)</f>
        <v>8.3258438110501848E-3</v>
      </c>
      <c r="Q2533" s="4">
        <f t="shared" si="160"/>
        <v>-2.7884804079362758E-3</v>
      </c>
      <c r="R2533" s="4">
        <f t="shared" si="160"/>
        <v>5.6963829509592992E-4</v>
      </c>
      <c r="S2533" s="4">
        <f t="shared" si="160"/>
        <v>5.816992585087612E-3</v>
      </c>
      <c r="T2533" s="4">
        <f t="shared" si="160"/>
        <v>8.8114877560572166E-3</v>
      </c>
      <c r="U2533" s="35"/>
      <c r="V2533" s="35"/>
      <c r="W2533" s="35"/>
      <c r="X2533" s="35"/>
    </row>
    <row r="2534" spans="4:24" x14ac:dyDescent="0.3">
      <c r="D2534" s="23">
        <v>43258</v>
      </c>
      <c r="E2534" s="5">
        <v>251.0746</v>
      </c>
      <c r="F2534" s="28">
        <v>67.475669999999994</v>
      </c>
      <c r="G2534" s="28">
        <v>122.86</v>
      </c>
      <c r="H2534" s="28">
        <v>167.41749999999999</v>
      </c>
      <c r="I2534" s="28">
        <v>129.75739999999999</v>
      </c>
      <c r="J2534" s="29"/>
      <c r="K2534" s="29"/>
      <c r="L2534" s="29"/>
      <c r="M2534" s="29"/>
      <c r="N2534" s="29"/>
      <c r="P2534" s="4">
        <f t="shared" si="160"/>
        <v>-1.0817315244546184E-4</v>
      </c>
      <c r="Q2534" s="4">
        <f t="shared" si="160"/>
        <v>2.5356804919432728E-3</v>
      </c>
      <c r="R2534" s="4">
        <f t="shared" si="160"/>
        <v>-4.8824152650257791E-4</v>
      </c>
      <c r="S2534" s="4">
        <f t="shared" si="160"/>
        <v>-8.1646460854940782E-3</v>
      </c>
      <c r="T2534" s="4">
        <f t="shared" si="160"/>
        <v>-1.4632000170843407E-3</v>
      </c>
      <c r="U2534" s="35"/>
      <c r="V2534" s="35"/>
      <c r="W2534" s="35"/>
      <c r="X2534" s="35"/>
    </row>
    <row r="2535" spans="4:24" x14ac:dyDescent="0.3">
      <c r="D2535" s="23">
        <v>43259</v>
      </c>
      <c r="E2535" s="5">
        <v>251.81686400000001</v>
      </c>
      <c r="F2535" s="28">
        <v>67.390230000000003</v>
      </c>
      <c r="G2535" s="28">
        <v>123.01</v>
      </c>
      <c r="H2535" s="28">
        <v>167.4271</v>
      </c>
      <c r="I2535" s="28">
        <v>130.20070000000001</v>
      </c>
      <c r="J2535" s="29"/>
      <c r="K2535" s="29"/>
      <c r="L2535" s="29"/>
      <c r="M2535" s="29"/>
      <c r="N2535" s="29"/>
      <c r="P2535" s="4">
        <f t="shared" si="160"/>
        <v>2.9519870276477136E-3</v>
      </c>
      <c r="Q2535" s="4">
        <f t="shared" si="160"/>
        <v>-1.2670365367421659E-3</v>
      </c>
      <c r="R2535" s="4">
        <f t="shared" si="160"/>
        <v>1.2201571449123828E-3</v>
      </c>
      <c r="S2535" s="4">
        <f t="shared" si="160"/>
        <v>5.7340031779733315E-5</v>
      </c>
      <c r="T2535" s="4">
        <f t="shared" si="160"/>
        <v>3.4105529291116564E-3</v>
      </c>
      <c r="U2535" s="35"/>
      <c r="V2535" s="35"/>
      <c r="W2535" s="35"/>
      <c r="X2535" s="35"/>
    </row>
    <row r="2536" spans="4:24" x14ac:dyDescent="0.3">
      <c r="D2536" s="23">
        <v>43262</v>
      </c>
      <c r="E2536" s="5">
        <v>252.15171799999999</v>
      </c>
      <c r="F2536" s="28">
        <v>67.330439999999996</v>
      </c>
      <c r="G2536" s="28">
        <v>123.23</v>
      </c>
      <c r="H2536" s="28">
        <v>167.87819999999999</v>
      </c>
      <c r="I2536" s="28">
        <v>130.39080000000001</v>
      </c>
      <c r="J2536" s="29"/>
      <c r="K2536" s="29"/>
      <c r="L2536" s="29"/>
      <c r="M2536" s="29"/>
      <c r="N2536" s="29"/>
      <c r="P2536" s="4">
        <f t="shared" si="160"/>
        <v>1.3288687479185175E-3</v>
      </c>
      <c r="Q2536" s="4">
        <f t="shared" si="160"/>
        <v>-8.8761440876915037E-4</v>
      </c>
      <c r="R2536" s="4">
        <f t="shared" si="160"/>
        <v>1.786875069338023E-3</v>
      </c>
      <c r="S2536" s="4">
        <f t="shared" si="160"/>
        <v>2.6906838165417024E-3</v>
      </c>
      <c r="T2536" s="4">
        <f t="shared" si="160"/>
        <v>1.4589887522911975E-3</v>
      </c>
      <c r="U2536" s="35"/>
      <c r="V2536" s="35"/>
      <c r="W2536" s="35"/>
      <c r="X2536" s="35"/>
    </row>
    <row r="2537" spans="4:24" x14ac:dyDescent="0.3">
      <c r="D2537" s="23">
        <v>43263</v>
      </c>
      <c r="E2537" s="5">
        <v>252.47769199999999</v>
      </c>
      <c r="F2537" s="28">
        <v>67.321920000000006</v>
      </c>
      <c r="G2537" s="28">
        <v>122.82</v>
      </c>
      <c r="H2537" s="28">
        <v>168.7612</v>
      </c>
      <c r="I2537" s="28">
        <v>130.66210000000001</v>
      </c>
      <c r="J2537" s="29"/>
      <c r="K2537" s="29"/>
      <c r="L2537" s="29"/>
      <c r="M2537" s="29"/>
      <c r="N2537" s="29"/>
      <c r="P2537" s="4">
        <f t="shared" si="160"/>
        <v>1.2919343933604454E-3</v>
      </c>
      <c r="Q2537" s="4">
        <f t="shared" si="160"/>
        <v>-1.2654809780326742E-4</v>
      </c>
      <c r="R2537" s="4">
        <f t="shared" si="160"/>
        <v>-3.332659048778715E-3</v>
      </c>
      <c r="S2537" s="4">
        <f t="shared" si="160"/>
        <v>5.2459814569301762E-3</v>
      </c>
      <c r="T2537" s="4">
        <f t="shared" si="160"/>
        <v>2.0785066756376161E-3</v>
      </c>
      <c r="U2537" s="35"/>
      <c r="V2537" s="35"/>
      <c r="W2537" s="35"/>
      <c r="X2537" s="35"/>
    </row>
    <row r="2538" spans="4:24" x14ac:dyDescent="0.3">
      <c r="D2538" s="23">
        <v>43264</v>
      </c>
      <c r="E2538" s="5">
        <v>251.67205799999999</v>
      </c>
      <c r="F2538" s="28">
        <v>67.279150000000001</v>
      </c>
      <c r="G2538" s="28">
        <v>123.19</v>
      </c>
      <c r="H2538" s="28">
        <v>168.7516</v>
      </c>
      <c r="I2538" s="28">
        <v>130.17359999999999</v>
      </c>
      <c r="J2538" s="29"/>
      <c r="K2538" s="29"/>
      <c r="L2538" s="29"/>
      <c r="M2538" s="29"/>
      <c r="N2538" s="29"/>
      <c r="P2538" s="4">
        <f t="shared" si="160"/>
        <v>-3.1960134295906271E-3</v>
      </c>
      <c r="Q2538" s="4">
        <f t="shared" si="160"/>
        <v>-6.3550759944876309E-4</v>
      </c>
      <c r="R2538" s="4">
        <f t="shared" si="160"/>
        <v>3.0080100726296161E-3</v>
      </c>
      <c r="S2538" s="4">
        <f t="shared" si="160"/>
        <v>-5.6886731422273717E-5</v>
      </c>
      <c r="T2538" s="4">
        <f t="shared" si="160"/>
        <v>-3.7456572941181225E-3</v>
      </c>
      <c r="U2538" s="35"/>
      <c r="V2538" s="35"/>
      <c r="W2538" s="35"/>
      <c r="X2538" s="35"/>
    </row>
    <row r="2539" spans="4:24" x14ac:dyDescent="0.3">
      <c r="D2539" s="23">
        <v>43265</v>
      </c>
      <c r="E2539" s="5">
        <v>252.305679</v>
      </c>
      <c r="F2539" s="28">
        <v>67.424390000000002</v>
      </c>
      <c r="G2539" s="28">
        <v>123.38</v>
      </c>
      <c r="H2539" s="28">
        <v>170.46010000000001</v>
      </c>
      <c r="I2539" s="28">
        <v>130.5445</v>
      </c>
      <c r="J2539" s="29"/>
      <c r="K2539" s="29"/>
      <c r="L2539" s="29"/>
      <c r="M2539" s="29"/>
      <c r="N2539" s="29"/>
      <c r="P2539" s="4">
        <f t="shared" si="160"/>
        <v>2.514481443632627E-3</v>
      </c>
      <c r="Q2539" s="4">
        <f t="shared" si="160"/>
        <v>2.156440079946404E-3</v>
      </c>
      <c r="R2539" s="4">
        <f t="shared" si="160"/>
        <v>1.5411448076098116E-3</v>
      </c>
      <c r="S2539" s="4">
        <f t="shared" si="160"/>
        <v>1.0073440552701757E-2</v>
      </c>
      <c r="T2539" s="4">
        <f t="shared" si="160"/>
        <v>2.8452205674372711E-3</v>
      </c>
      <c r="U2539" s="35"/>
      <c r="V2539" s="35"/>
      <c r="W2539" s="35"/>
      <c r="X2539" s="35"/>
    </row>
    <row r="2540" spans="4:24" x14ac:dyDescent="0.3">
      <c r="D2540" s="23">
        <v>43266</v>
      </c>
      <c r="E2540" s="5">
        <v>251.98382599999999</v>
      </c>
      <c r="F2540" s="28">
        <v>67.432919999999996</v>
      </c>
      <c r="G2540" s="28">
        <v>121.34</v>
      </c>
      <c r="H2540" s="28">
        <v>169.86490000000001</v>
      </c>
      <c r="I2540" s="28">
        <v>130.4179</v>
      </c>
      <c r="J2540" s="29"/>
      <c r="K2540" s="29"/>
      <c r="L2540" s="29"/>
      <c r="M2540" s="29"/>
      <c r="N2540" s="29"/>
      <c r="P2540" s="4">
        <f t="shared" si="160"/>
        <v>-1.2764613996915271E-3</v>
      </c>
      <c r="Q2540" s="4">
        <f t="shared" si="160"/>
        <v>1.2650408066683231E-4</v>
      </c>
      <c r="R2540" s="4">
        <f t="shared" si="160"/>
        <v>-1.6672501267340791E-2</v>
      </c>
      <c r="S2540" s="4">
        <f t="shared" si="160"/>
        <v>-3.4978365200848969E-3</v>
      </c>
      <c r="T2540" s="4">
        <f t="shared" si="160"/>
        <v>-9.7025479480346961E-4</v>
      </c>
      <c r="U2540" s="35"/>
      <c r="V2540" s="35"/>
      <c r="W2540" s="35"/>
      <c r="X2540" s="35"/>
    </row>
    <row r="2541" spans="4:24" x14ac:dyDescent="0.3">
      <c r="D2541" s="23">
        <v>43269</v>
      </c>
      <c r="E2541" s="5">
        <v>251.46551500000001</v>
      </c>
      <c r="F2541" s="28">
        <v>67.432919999999996</v>
      </c>
      <c r="G2541" s="28">
        <v>121.11</v>
      </c>
      <c r="H2541" s="28">
        <v>169.76689999999999</v>
      </c>
      <c r="I2541" s="28">
        <v>130.2731</v>
      </c>
      <c r="J2541" s="29"/>
      <c r="K2541" s="29"/>
      <c r="L2541" s="29"/>
      <c r="M2541" s="29"/>
      <c r="N2541" s="29"/>
      <c r="P2541" s="4">
        <f t="shared" si="160"/>
        <v>-2.0590400698180487E-3</v>
      </c>
      <c r="Q2541" s="4">
        <f t="shared" si="160"/>
        <v>0</v>
      </c>
      <c r="R2541" s="4">
        <f t="shared" si="160"/>
        <v>-1.8972989811926484E-3</v>
      </c>
      <c r="S2541" s="4">
        <f t="shared" si="160"/>
        <v>-5.7709556478415045E-4</v>
      </c>
      <c r="T2541" s="4">
        <f t="shared" si="160"/>
        <v>-1.1108938543432697E-3</v>
      </c>
      <c r="U2541" s="35"/>
      <c r="V2541" s="35"/>
      <c r="W2541" s="35"/>
      <c r="X2541" s="35"/>
    </row>
    <row r="2542" spans="4:24" x14ac:dyDescent="0.3">
      <c r="D2542" s="23">
        <v>43270</v>
      </c>
      <c r="E2542" s="5">
        <v>250.50174000000001</v>
      </c>
      <c r="F2542" s="28">
        <v>67.543999999999997</v>
      </c>
      <c r="G2542" s="28">
        <v>120.8</v>
      </c>
      <c r="H2542" s="28">
        <v>169.286</v>
      </c>
      <c r="I2542" s="28">
        <v>129.83879999999999</v>
      </c>
      <c r="J2542" s="29"/>
      <c r="K2542" s="29"/>
      <c r="L2542" s="29"/>
      <c r="M2542" s="29"/>
      <c r="N2542" s="29"/>
      <c r="P2542" s="4">
        <f t="shared" si="160"/>
        <v>-3.8399962335555703E-3</v>
      </c>
      <c r="Q2542" s="4">
        <f t="shared" si="160"/>
        <v>1.6459113910220911E-3</v>
      </c>
      <c r="R2542" s="4">
        <f t="shared" si="160"/>
        <v>-2.5629380322445636E-3</v>
      </c>
      <c r="S2542" s="4">
        <f t="shared" si="160"/>
        <v>-2.8367273807973397E-3</v>
      </c>
      <c r="T2542" s="4">
        <f t="shared" si="160"/>
        <v>-3.339335136754309E-3</v>
      </c>
      <c r="U2542" s="35"/>
      <c r="V2542" s="35"/>
      <c r="W2542" s="35"/>
      <c r="X2542" s="35"/>
    </row>
    <row r="2543" spans="4:24" x14ac:dyDescent="0.3">
      <c r="D2543" s="23">
        <v>43271</v>
      </c>
      <c r="E2543" s="5">
        <v>250.929047</v>
      </c>
      <c r="F2543" s="28">
        <v>67.390230000000003</v>
      </c>
      <c r="G2543" s="28">
        <v>120.26</v>
      </c>
      <c r="H2543" s="28">
        <v>170.48830000000001</v>
      </c>
      <c r="I2543" s="28">
        <v>130.13740000000001</v>
      </c>
      <c r="J2543" s="29"/>
      <c r="K2543" s="29"/>
      <c r="L2543" s="29"/>
      <c r="M2543" s="29"/>
      <c r="N2543" s="29"/>
      <c r="P2543" s="4">
        <f t="shared" si="160"/>
        <v>1.7043512864208794E-3</v>
      </c>
      <c r="Q2543" s="4">
        <f t="shared" si="160"/>
        <v>-2.2791854456139259E-3</v>
      </c>
      <c r="R2543" s="4">
        <f t="shared" si="160"/>
        <v>-4.4802198892918499E-3</v>
      </c>
      <c r="S2543" s="4">
        <f t="shared" si="160"/>
        <v>7.0770803919080159E-3</v>
      </c>
      <c r="T2543" s="4">
        <f t="shared" si="160"/>
        <v>2.2971343631073087E-3</v>
      </c>
      <c r="U2543" s="35"/>
      <c r="V2543" s="35"/>
      <c r="W2543" s="35"/>
      <c r="X2543" s="35"/>
    </row>
    <row r="2544" spans="4:24" x14ac:dyDescent="0.3">
      <c r="D2544" s="23">
        <v>43272</v>
      </c>
      <c r="E2544" s="5">
        <v>249.356064</v>
      </c>
      <c r="F2544" s="28">
        <v>67.424390000000002</v>
      </c>
      <c r="G2544" s="28">
        <v>120.05</v>
      </c>
      <c r="H2544" s="28">
        <v>169.00700000000001</v>
      </c>
      <c r="I2544" s="28">
        <v>129.24170000000001</v>
      </c>
      <c r="J2544" s="29"/>
      <c r="K2544" s="29"/>
      <c r="L2544" s="29"/>
      <c r="M2544" s="29"/>
      <c r="N2544" s="29"/>
      <c r="P2544" s="4">
        <f t="shared" si="160"/>
        <v>-6.2883669685788457E-3</v>
      </c>
      <c r="Q2544" s="4">
        <f t="shared" si="160"/>
        <v>5.0676997392528559E-4</v>
      </c>
      <c r="R2544" s="4">
        <f t="shared" si="160"/>
        <v>-1.7477429441605079E-3</v>
      </c>
      <c r="S2544" s="4">
        <f t="shared" si="160"/>
        <v>-8.7265384844878273E-3</v>
      </c>
      <c r="T2544" s="4">
        <f t="shared" si="160"/>
        <v>-6.9065206904239413E-3</v>
      </c>
      <c r="U2544" s="35"/>
      <c r="V2544" s="35"/>
      <c r="W2544" s="35"/>
      <c r="X2544" s="35"/>
    </row>
    <row r="2545" spans="4:24" x14ac:dyDescent="0.3">
      <c r="D2545" s="23">
        <v>43273</v>
      </c>
      <c r="E2545" s="5">
        <v>249.81062299999999</v>
      </c>
      <c r="F2545" s="28">
        <v>67.467089999999999</v>
      </c>
      <c r="G2545" s="28">
        <v>120.34</v>
      </c>
      <c r="H2545" s="28">
        <v>168.6319</v>
      </c>
      <c r="I2545" s="28">
        <v>129.42619999999999</v>
      </c>
      <c r="J2545" s="29"/>
      <c r="K2545" s="29"/>
      <c r="L2545" s="29"/>
      <c r="M2545" s="29"/>
      <c r="N2545" s="29"/>
      <c r="P2545" s="4">
        <f t="shared" si="160"/>
        <v>1.8212718816664755E-3</v>
      </c>
      <c r="Q2545" s="4">
        <f t="shared" si="160"/>
        <v>6.3310153356221758E-4</v>
      </c>
      <c r="R2545" s="4">
        <f t="shared" si="160"/>
        <v>2.4127471249434569E-3</v>
      </c>
      <c r="S2545" s="4">
        <f t="shared" si="160"/>
        <v>-2.2219012934679891E-3</v>
      </c>
      <c r="T2545" s="4">
        <f t="shared" si="160"/>
        <v>1.4265398318720954E-3</v>
      </c>
      <c r="U2545" s="35"/>
      <c r="V2545" s="35"/>
      <c r="W2545" s="35"/>
      <c r="X2545" s="35"/>
    </row>
    <row r="2546" spans="4:24" x14ac:dyDescent="0.3">
      <c r="D2546" s="23">
        <v>43276</v>
      </c>
      <c r="E2546" s="5">
        <v>246.409988</v>
      </c>
      <c r="F2546" s="28">
        <v>67.458560000000006</v>
      </c>
      <c r="G2546" s="28">
        <v>119.89</v>
      </c>
      <c r="H2546" s="28">
        <v>164.83260000000001</v>
      </c>
      <c r="I2546" s="28">
        <v>127.60899999999999</v>
      </c>
      <c r="J2546" s="29"/>
      <c r="K2546" s="29"/>
      <c r="L2546" s="29"/>
      <c r="M2546" s="29"/>
      <c r="N2546" s="29"/>
      <c r="P2546" s="4">
        <f t="shared" si="160"/>
        <v>-1.3706356255987737E-2</v>
      </c>
      <c r="Q2546" s="4">
        <f t="shared" si="160"/>
        <v>-1.2644000620124849E-4</v>
      </c>
      <c r="R2546" s="4">
        <f t="shared" si="160"/>
        <v>-3.7464140726434455E-3</v>
      </c>
      <c r="S2546" s="4">
        <f t="shared" si="160"/>
        <v>-2.2787819443720204E-2</v>
      </c>
      <c r="T2546" s="4">
        <f t="shared" si="160"/>
        <v>-1.4139933185284071E-2</v>
      </c>
      <c r="U2546" s="35"/>
      <c r="V2546" s="35"/>
      <c r="W2546" s="35"/>
      <c r="X2546" s="35"/>
    </row>
    <row r="2547" spans="4:24" x14ac:dyDescent="0.3">
      <c r="D2547" s="23">
        <v>43277</v>
      </c>
      <c r="E2547" s="5">
        <v>246.955612</v>
      </c>
      <c r="F2547" s="28">
        <v>67.569659999999999</v>
      </c>
      <c r="G2547" s="28">
        <v>119.26</v>
      </c>
      <c r="H2547" s="28">
        <v>165.5059</v>
      </c>
      <c r="I2547" s="28">
        <v>127.8998</v>
      </c>
      <c r="J2547" s="29"/>
      <c r="K2547" s="29"/>
      <c r="L2547" s="29"/>
      <c r="M2547" s="29"/>
      <c r="N2547" s="29"/>
      <c r="P2547" s="4">
        <f t="shared" si="160"/>
        <v>2.2118454243446918E-3</v>
      </c>
      <c r="Q2547" s="4">
        <f t="shared" si="160"/>
        <v>1.6455823096981545E-3</v>
      </c>
      <c r="R2547" s="4">
        <f t="shared" si="160"/>
        <v>-5.2686720246024185E-3</v>
      </c>
      <c r="S2547" s="4">
        <f t="shared" si="160"/>
        <v>4.0764302820762172E-3</v>
      </c>
      <c r="T2547" s="4">
        <f t="shared" si="160"/>
        <v>2.276243523195894E-3</v>
      </c>
      <c r="U2547" s="35"/>
      <c r="V2547" s="35"/>
      <c r="W2547" s="35"/>
      <c r="X2547" s="35"/>
    </row>
    <row r="2548" spans="4:24" x14ac:dyDescent="0.3">
      <c r="D2548" s="23">
        <v>43278</v>
      </c>
      <c r="E2548" s="5">
        <v>244.90971400000001</v>
      </c>
      <c r="F2548" s="28">
        <v>67.732010000000002</v>
      </c>
      <c r="G2548" s="28">
        <v>118.58</v>
      </c>
      <c r="H2548" s="28">
        <v>163.2552</v>
      </c>
      <c r="I2548" s="28">
        <v>126.70950000000001</v>
      </c>
      <c r="J2548" s="29"/>
      <c r="K2548" s="29"/>
      <c r="L2548" s="29"/>
      <c r="M2548" s="29"/>
      <c r="N2548" s="29"/>
      <c r="P2548" s="4">
        <f t="shared" si="160"/>
        <v>-8.3189836355082956E-3</v>
      </c>
      <c r="Q2548" s="4">
        <f t="shared" si="160"/>
        <v>2.3998237112157041E-3</v>
      </c>
      <c r="R2548" s="4">
        <f t="shared" si="160"/>
        <v>-5.7181454157382034E-3</v>
      </c>
      <c r="S2548" s="4">
        <f t="shared" si="160"/>
        <v>-1.3692223093053091E-2</v>
      </c>
      <c r="T2548" s="4">
        <f t="shared" si="160"/>
        <v>-9.3500800773528327E-3</v>
      </c>
      <c r="U2548" s="35"/>
      <c r="V2548" s="35"/>
      <c r="W2548" s="35"/>
      <c r="X2548" s="35"/>
    </row>
    <row r="2549" spans="4:24" x14ac:dyDescent="0.3">
      <c r="D2549" s="23">
        <v>43279</v>
      </c>
      <c r="E2549" s="5">
        <v>246.30998199999999</v>
      </c>
      <c r="F2549" s="28">
        <v>67.680729999999997</v>
      </c>
      <c r="G2549" s="28">
        <v>118.22</v>
      </c>
      <c r="H2549" s="28">
        <v>164.65940000000001</v>
      </c>
      <c r="I2549" s="28">
        <v>127.5</v>
      </c>
      <c r="J2549" s="29"/>
      <c r="K2549" s="29"/>
      <c r="L2549" s="29"/>
      <c r="M2549" s="29"/>
      <c r="N2549" s="29"/>
      <c r="P2549" s="4">
        <f t="shared" ref="P2549:T2564" si="161">LN(E2549/E2548)</f>
        <v>5.7012037759374794E-3</v>
      </c>
      <c r="Q2549" s="4">
        <f t="shared" si="161"/>
        <v>-7.5738815197665143E-4</v>
      </c>
      <c r="R2549" s="4">
        <f t="shared" si="161"/>
        <v>-3.0405428829982217E-3</v>
      </c>
      <c r="S2549" s="4">
        <f t="shared" si="161"/>
        <v>8.564477355957268E-3</v>
      </c>
      <c r="T2549" s="4">
        <f t="shared" si="161"/>
        <v>6.2192998139167007E-3</v>
      </c>
      <c r="U2549" s="35"/>
      <c r="V2549" s="35"/>
      <c r="W2549" s="35"/>
      <c r="X2549" s="35"/>
    </row>
    <row r="2550" spans="4:24" x14ac:dyDescent="0.3">
      <c r="D2550" s="23">
        <v>43280</v>
      </c>
      <c r="E2550" s="5">
        <v>246.66456600000001</v>
      </c>
      <c r="F2550" s="28">
        <v>67.663640000000001</v>
      </c>
      <c r="G2550" s="28">
        <v>118.65</v>
      </c>
      <c r="H2550" s="28">
        <v>165.1019</v>
      </c>
      <c r="I2550" s="28">
        <v>127.5908</v>
      </c>
      <c r="J2550" s="29"/>
      <c r="K2550" s="29"/>
      <c r="L2550" s="29"/>
      <c r="M2550" s="29"/>
      <c r="N2550" s="29"/>
      <c r="P2550" s="4">
        <f t="shared" si="161"/>
        <v>1.4385491607519293E-3</v>
      </c>
      <c r="Q2550" s="4">
        <f t="shared" si="161"/>
        <v>-2.5254098254439122E-4</v>
      </c>
      <c r="R2550" s="4">
        <f t="shared" si="161"/>
        <v>3.6306874855491088E-3</v>
      </c>
      <c r="S2550" s="4">
        <f t="shared" si="161"/>
        <v>2.683761045306798E-3</v>
      </c>
      <c r="T2550" s="4">
        <f t="shared" si="161"/>
        <v>7.1190339937646338E-4</v>
      </c>
      <c r="U2550" s="35"/>
      <c r="V2550" s="35"/>
      <c r="W2550" s="35"/>
      <c r="X2550" s="35"/>
    </row>
    <row r="2551" spans="4:24" x14ac:dyDescent="0.3">
      <c r="D2551" s="23">
        <v>43283</v>
      </c>
      <c r="E2551" s="5">
        <v>247.19198600000001</v>
      </c>
      <c r="F2551" s="28">
        <v>67.621639999999999</v>
      </c>
      <c r="G2551" s="28">
        <v>117.46</v>
      </c>
      <c r="H2551" s="28">
        <v>166.208</v>
      </c>
      <c r="I2551" s="28">
        <v>127.8998</v>
      </c>
      <c r="J2551" s="29"/>
      <c r="K2551" s="29"/>
      <c r="L2551" s="29"/>
      <c r="M2551" s="29"/>
      <c r="N2551" s="29"/>
      <c r="P2551" s="4">
        <f t="shared" si="161"/>
        <v>2.1359246865481287E-3</v>
      </c>
      <c r="Q2551" s="4">
        <f t="shared" si="161"/>
        <v>-6.2091014409479449E-4</v>
      </c>
      <c r="R2551" s="4">
        <f t="shared" si="161"/>
        <v>-1.0080132787399245E-2</v>
      </c>
      <c r="S2551" s="4">
        <f t="shared" si="161"/>
        <v>6.6771570035569832E-3</v>
      </c>
      <c r="T2551" s="4">
        <f t="shared" si="161"/>
        <v>2.4188768640595044E-3</v>
      </c>
      <c r="U2551" s="35"/>
      <c r="V2551" s="35"/>
      <c r="W2551" s="35"/>
      <c r="X2551" s="35"/>
    </row>
    <row r="2552" spans="4:24" x14ac:dyDescent="0.3">
      <c r="D2552" s="23">
        <v>43284</v>
      </c>
      <c r="E2552" s="5">
        <v>246.31904599999999</v>
      </c>
      <c r="F2552" s="28">
        <v>67.758719999999997</v>
      </c>
      <c r="G2552" s="28">
        <v>118.65</v>
      </c>
      <c r="H2552" s="28">
        <v>164.2843</v>
      </c>
      <c r="I2552" s="28">
        <v>127.57259999999999</v>
      </c>
      <c r="J2552" s="29"/>
      <c r="K2552" s="29"/>
      <c r="L2552" s="29"/>
      <c r="M2552" s="29"/>
      <c r="N2552" s="29"/>
      <c r="P2552" s="4">
        <f t="shared" si="161"/>
        <v>-3.5376753661474922E-3</v>
      </c>
      <c r="Q2552" s="4">
        <f t="shared" si="161"/>
        <v>2.0251097994995163E-3</v>
      </c>
      <c r="R2552" s="4">
        <f t="shared" si="161"/>
        <v>1.0080132787399195E-2</v>
      </c>
      <c r="S2552" s="4">
        <f t="shared" si="161"/>
        <v>-1.1641552471007986E-2</v>
      </c>
      <c r="T2552" s="4">
        <f t="shared" si="161"/>
        <v>-2.5615305520952166E-3</v>
      </c>
      <c r="U2552" s="35"/>
      <c r="V2552" s="35"/>
      <c r="W2552" s="35"/>
      <c r="X2552" s="35"/>
    </row>
    <row r="2553" spans="4:24" x14ac:dyDescent="0.3">
      <c r="D2553" s="23">
        <v>43286</v>
      </c>
      <c r="E2553" s="5">
        <v>248.32853700000001</v>
      </c>
      <c r="F2553" s="28">
        <v>67.852909999999994</v>
      </c>
      <c r="G2553" s="28">
        <v>119.05</v>
      </c>
      <c r="H2553" s="28">
        <v>166.3235</v>
      </c>
      <c r="I2553" s="28">
        <v>128.65389999999999</v>
      </c>
      <c r="J2553" s="29"/>
      <c r="K2553" s="29"/>
      <c r="L2553" s="29"/>
      <c r="M2553" s="29"/>
      <c r="N2553" s="29"/>
      <c r="P2553" s="4">
        <f t="shared" si="161"/>
        <v>8.1249848329437019E-3</v>
      </c>
      <c r="Q2553" s="4">
        <f t="shared" si="161"/>
        <v>1.3891141216435042E-3</v>
      </c>
      <c r="R2553" s="4">
        <f t="shared" si="161"/>
        <v>3.3655900510991999E-3</v>
      </c>
      <c r="S2553" s="4">
        <f t="shared" si="161"/>
        <v>1.2336223530108985E-2</v>
      </c>
      <c r="T2553" s="4">
        <f t="shared" si="161"/>
        <v>8.4402387660646675E-3</v>
      </c>
      <c r="U2553" s="35"/>
      <c r="V2553" s="35"/>
      <c r="W2553" s="35"/>
      <c r="X2553" s="35"/>
    </row>
    <row r="2554" spans="4:24" x14ac:dyDescent="0.3">
      <c r="D2554" s="23">
        <v>43287</v>
      </c>
      <c r="E2554" s="5">
        <v>250.428955</v>
      </c>
      <c r="F2554" s="28">
        <v>67.929969999999997</v>
      </c>
      <c r="G2554" s="28">
        <v>118.86</v>
      </c>
      <c r="H2554" s="28">
        <v>168.91079999999999</v>
      </c>
      <c r="I2554" s="28">
        <v>129.73500000000001</v>
      </c>
      <c r="J2554" s="29"/>
      <c r="K2554" s="29"/>
      <c r="L2554" s="29"/>
      <c r="M2554" s="29"/>
      <c r="N2554" s="29"/>
      <c r="P2554" s="4">
        <f t="shared" si="161"/>
        <v>8.4226520937889186E-3</v>
      </c>
      <c r="Q2554" s="4">
        <f t="shared" si="161"/>
        <v>1.1350474857102851E-3</v>
      </c>
      <c r="R2554" s="4">
        <f t="shared" si="161"/>
        <v>-1.59724299435717E-3</v>
      </c>
      <c r="S2554" s="4">
        <f t="shared" si="161"/>
        <v>1.5436077831727566E-2</v>
      </c>
      <c r="T2554" s="4">
        <f t="shared" si="161"/>
        <v>8.3680553506987072E-3</v>
      </c>
      <c r="U2554" s="35"/>
      <c r="V2554" s="35"/>
      <c r="W2554" s="35"/>
      <c r="X2554" s="35"/>
    </row>
    <row r="2555" spans="4:24" x14ac:dyDescent="0.3">
      <c r="D2555" s="23">
        <v>43290</v>
      </c>
      <c r="E2555" s="5">
        <v>252.683975</v>
      </c>
      <c r="F2555" s="28">
        <v>67.870059999999995</v>
      </c>
      <c r="G2555" s="28">
        <v>119.15</v>
      </c>
      <c r="H2555" s="28">
        <v>170.4306</v>
      </c>
      <c r="I2555" s="28">
        <v>130.9162</v>
      </c>
      <c r="J2555" s="29"/>
      <c r="K2555" s="29"/>
      <c r="L2555" s="29"/>
      <c r="M2555" s="29"/>
      <c r="N2555" s="29"/>
      <c r="P2555" s="4">
        <f t="shared" si="161"/>
        <v>8.9643297418262723E-3</v>
      </c>
      <c r="Q2555" s="4">
        <f t="shared" si="161"/>
        <v>-8.8232681372261632E-4</v>
      </c>
      <c r="R2555" s="4">
        <f t="shared" si="161"/>
        <v>2.4368736062366472E-3</v>
      </c>
      <c r="S2555" s="4">
        <f t="shared" si="161"/>
        <v>8.9574108067895231E-3</v>
      </c>
      <c r="T2555" s="4">
        <f t="shared" si="161"/>
        <v>9.0635154261530342E-3</v>
      </c>
      <c r="U2555" s="35"/>
      <c r="V2555" s="35"/>
      <c r="W2555" s="35"/>
      <c r="X2555" s="35"/>
    </row>
    <row r="2556" spans="4:24" x14ac:dyDescent="0.3">
      <c r="D2556" s="23">
        <v>43291</v>
      </c>
      <c r="E2556" s="5">
        <v>253.59316999999999</v>
      </c>
      <c r="F2556" s="28">
        <v>67.827190000000002</v>
      </c>
      <c r="G2556" s="28">
        <v>118.93</v>
      </c>
      <c r="H2556" s="28">
        <v>170.5556</v>
      </c>
      <c r="I2556" s="28">
        <v>131.25239999999999</v>
      </c>
      <c r="J2556" s="29"/>
      <c r="K2556" s="29"/>
      <c r="L2556" s="29"/>
      <c r="M2556" s="29"/>
      <c r="N2556" s="29"/>
      <c r="P2556" s="4">
        <f t="shared" si="161"/>
        <v>3.5916927571513022E-3</v>
      </c>
      <c r="Q2556" s="4">
        <f t="shared" si="161"/>
        <v>-6.3184775559197652E-4</v>
      </c>
      <c r="R2556" s="4">
        <f t="shared" si="161"/>
        <v>-1.8481188055971094E-3</v>
      </c>
      <c r="S2556" s="4">
        <f t="shared" si="161"/>
        <v>7.3316753346223452E-4</v>
      </c>
      <c r="T2556" s="4">
        <f t="shared" si="161"/>
        <v>2.5647631660991265E-3</v>
      </c>
      <c r="U2556" s="35"/>
      <c r="V2556" s="35"/>
      <c r="W2556" s="35"/>
      <c r="X2556" s="35"/>
    </row>
    <row r="2557" spans="4:24" x14ac:dyDescent="0.3">
      <c r="D2557" s="23">
        <v>43292</v>
      </c>
      <c r="E2557" s="5">
        <v>251.73826600000001</v>
      </c>
      <c r="F2557" s="28">
        <v>67.861490000000003</v>
      </c>
      <c r="G2557" s="28">
        <v>117.64</v>
      </c>
      <c r="H2557" s="28">
        <v>169.69</v>
      </c>
      <c r="I2557" s="28">
        <v>130.31649999999999</v>
      </c>
      <c r="J2557" s="29"/>
      <c r="K2557" s="29"/>
      <c r="L2557" s="29"/>
      <c r="M2557" s="29"/>
      <c r="N2557" s="29"/>
      <c r="P2557" s="4">
        <f t="shared" si="161"/>
        <v>-7.341369243209485E-3</v>
      </c>
      <c r="Q2557" s="4">
        <f t="shared" si="161"/>
        <v>5.0556908255866388E-4</v>
      </c>
      <c r="R2557" s="4">
        <f t="shared" si="161"/>
        <v>-1.0905971053359768E-2</v>
      </c>
      <c r="S2557" s="4">
        <f t="shared" si="161"/>
        <v>-5.0881002866286799E-3</v>
      </c>
      <c r="T2557" s="4">
        <f t="shared" si="161"/>
        <v>-7.1560800531670779E-3</v>
      </c>
      <c r="U2557" s="35"/>
      <c r="V2557" s="35"/>
      <c r="W2557" s="35"/>
      <c r="X2557" s="35"/>
    </row>
    <row r="2558" spans="4:24" x14ac:dyDescent="0.3">
      <c r="D2558" s="23">
        <v>43293</v>
      </c>
      <c r="E2558" s="5">
        <v>254.020554</v>
      </c>
      <c r="F2558" s="28">
        <v>67.912850000000006</v>
      </c>
      <c r="G2558" s="28">
        <v>118.13</v>
      </c>
      <c r="H2558" s="28">
        <v>172.614</v>
      </c>
      <c r="I2558" s="28">
        <v>131.3887</v>
      </c>
      <c r="J2558" s="29"/>
      <c r="K2558" s="29"/>
      <c r="L2558" s="29"/>
      <c r="M2558" s="29"/>
      <c r="N2558" s="29"/>
      <c r="P2558" s="4">
        <f t="shared" si="161"/>
        <v>9.0252642239030453E-3</v>
      </c>
      <c r="Q2558" s="4">
        <f t="shared" si="161"/>
        <v>7.5654946950565161E-4</v>
      </c>
      <c r="R2558" s="4">
        <f t="shared" si="161"/>
        <v>4.1565992746342801E-3</v>
      </c>
      <c r="S2558" s="4">
        <f t="shared" si="161"/>
        <v>1.708464477376969E-2</v>
      </c>
      <c r="T2558" s="4">
        <f t="shared" si="161"/>
        <v>8.1939984310298013E-3</v>
      </c>
      <c r="U2558" s="35"/>
      <c r="V2558" s="35"/>
      <c r="W2558" s="35"/>
      <c r="X2558" s="35"/>
    </row>
    <row r="2559" spans="4:24" x14ac:dyDescent="0.3">
      <c r="D2559" s="23">
        <v>43294</v>
      </c>
      <c r="E2559" s="5">
        <v>254.22051999999999</v>
      </c>
      <c r="F2559" s="28">
        <v>67.972809999999996</v>
      </c>
      <c r="G2559" s="28">
        <v>117.61</v>
      </c>
      <c r="H2559" s="28">
        <v>172.75829999999999</v>
      </c>
      <c r="I2559" s="28">
        <v>131.47040000000001</v>
      </c>
      <c r="J2559" s="29"/>
      <c r="K2559" s="29"/>
      <c r="L2559" s="29"/>
      <c r="M2559" s="29"/>
      <c r="N2559" s="29"/>
      <c r="P2559" s="4">
        <f t="shared" si="161"/>
        <v>7.8689433242574113E-4</v>
      </c>
      <c r="Q2559" s="4">
        <f t="shared" si="161"/>
        <v>8.8250671765479217E-4</v>
      </c>
      <c r="R2559" s="4">
        <f t="shared" si="161"/>
        <v>-4.411647097483303E-3</v>
      </c>
      <c r="S2559" s="4">
        <f t="shared" si="161"/>
        <v>8.3562004478390502E-4</v>
      </c>
      <c r="T2559" s="4">
        <f t="shared" si="161"/>
        <v>6.2162582639053976E-4</v>
      </c>
      <c r="U2559" s="35"/>
      <c r="V2559" s="35"/>
      <c r="W2559" s="35"/>
      <c r="X2559" s="35"/>
    </row>
    <row r="2560" spans="4:24" x14ac:dyDescent="0.3">
      <c r="D2560" s="23">
        <v>43297</v>
      </c>
      <c r="E2560" s="5">
        <v>253.993225</v>
      </c>
      <c r="F2560" s="28">
        <v>67.878590000000003</v>
      </c>
      <c r="G2560" s="28">
        <v>117.55</v>
      </c>
      <c r="H2560" s="28">
        <v>172.34469999999999</v>
      </c>
      <c r="I2560" s="28">
        <v>131.26150000000001</v>
      </c>
      <c r="J2560" s="29"/>
      <c r="K2560" s="29"/>
      <c r="L2560" s="29"/>
      <c r="M2560" s="29"/>
      <c r="N2560" s="29"/>
      <c r="P2560" s="4">
        <f t="shared" si="161"/>
        <v>-8.9448590240311175E-4</v>
      </c>
      <c r="Q2560" s="4">
        <f t="shared" si="161"/>
        <v>-1.3871040726419269E-3</v>
      </c>
      <c r="R2560" s="4">
        <f t="shared" si="161"/>
        <v>-5.1029087686669139E-4</v>
      </c>
      <c r="S2560" s="4">
        <f t="shared" si="161"/>
        <v>-2.3969666912571803E-3</v>
      </c>
      <c r="T2560" s="4">
        <f t="shared" si="161"/>
        <v>-1.5902145420627119E-3</v>
      </c>
      <c r="U2560" s="35"/>
      <c r="V2560" s="35"/>
      <c r="W2560" s="35"/>
      <c r="X2560" s="35"/>
    </row>
    <row r="2561" spans="4:24" x14ac:dyDescent="0.3">
      <c r="D2561" s="23">
        <v>43298</v>
      </c>
      <c r="E2561" s="5">
        <v>255.020691</v>
      </c>
      <c r="F2561" s="28">
        <v>67.852909999999994</v>
      </c>
      <c r="G2561" s="28">
        <v>116.28</v>
      </c>
      <c r="H2561" s="28">
        <v>173.3931</v>
      </c>
      <c r="I2561" s="28">
        <v>131.86109999999999</v>
      </c>
      <c r="J2561" s="29"/>
      <c r="K2561" s="29"/>
      <c r="L2561" s="29"/>
      <c r="M2561" s="29"/>
      <c r="N2561" s="29"/>
      <c r="P2561" s="4">
        <f t="shared" si="161"/>
        <v>4.0370896086762559E-3</v>
      </c>
      <c r="Q2561" s="4">
        <f t="shared" si="161"/>
        <v>-3.7839411347284749E-4</v>
      </c>
      <c r="R2561" s="4">
        <f t="shared" si="161"/>
        <v>-1.0862699295403356E-2</v>
      </c>
      <c r="S2561" s="4">
        <f t="shared" si="161"/>
        <v>6.0647300551291104E-3</v>
      </c>
      <c r="T2561" s="4">
        <f t="shared" si="161"/>
        <v>4.5575791504311909E-3</v>
      </c>
      <c r="U2561" s="35"/>
      <c r="V2561" s="35"/>
      <c r="W2561" s="35"/>
      <c r="X2561" s="35"/>
    </row>
    <row r="2562" spans="4:24" x14ac:dyDescent="0.3">
      <c r="D2562" s="23">
        <v>43299</v>
      </c>
      <c r="E2562" s="5">
        <v>255.55720500000001</v>
      </c>
      <c r="F2562" s="28">
        <v>67.818640000000002</v>
      </c>
      <c r="G2562" s="28">
        <v>116.31</v>
      </c>
      <c r="H2562" s="28">
        <v>173.066</v>
      </c>
      <c r="I2562" s="28">
        <v>132.15190000000001</v>
      </c>
      <c r="J2562" s="29"/>
      <c r="K2562" s="29"/>
      <c r="L2562" s="29"/>
      <c r="M2562" s="29"/>
      <c r="N2562" s="29"/>
      <c r="P2562" s="4">
        <f t="shared" si="161"/>
        <v>2.1015958648889655E-3</v>
      </c>
      <c r="Q2562" s="4">
        <f t="shared" si="161"/>
        <v>-5.0519067157190982E-4</v>
      </c>
      <c r="R2562" s="4">
        <f t="shared" si="161"/>
        <v>2.5796466027220563E-4</v>
      </c>
      <c r="S2562" s="4">
        <f t="shared" si="161"/>
        <v>-1.8882465329321623E-3</v>
      </c>
      <c r="T2562" s="4">
        <f t="shared" si="161"/>
        <v>2.2029227166933127E-3</v>
      </c>
      <c r="U2562" s="35"/>
      <c r="V2562" s="35"/>
      <c r="W2562" s="35"/>
      <c r="X2562" s="35"/>
    </row>
    <row r="2563" spans="4:24" x14ac:dyDescent="0.3">
      <c r="D2563" s="23">
        <v>43300</v>
      </c>
      <c r="E2563" s="5">
        <v>254.593369</v>
      </c>
      <c r="F2563" s="28">
        <v>67.947119999999998</v>
      </c>
      <c r="G2563" s="28">
        <v>115.81</v>
      </c>
      <c r="H2563" s="28">
        <v>172.2004</v>
      </c>
      <c r="I2563" s="28">
        <v>131.8339</v>
      </c>
      <c r="J2563" s="29"/>
      <c r="K2563" s="29"/>
      <c r="L2563" s="29"/>
      <c r="M2563" s="29"/>
      <c r="N2563" s="29"/>
      <c r="P2563" s="4">
        <f t="shared" si="161"/>
        <v>-3.7786379000029737E-3</v>
      </c>
      <c r="Q2563" s="4">
        <f t="shared" si="161"/>
        <v>1.8926721782207866E-3</v>
      </c>
      <c r="R2563" s="4">
        <f t="shared" si="161"/>
        <v>-4.3081231546612123E-3</v>
      </c>
      <c r="S2563" s="4">
        <f t="shared" si="161"/>
        <v>-5.0141097629237841E-3</v>
      </c>
      <c r="T2563" s="4">
        <f t="shared" si="161"/>
        <v>-2.4092216612806323E-3</v>
      </c>
      <c r="U2563" s="35"/>
      <c r="V2563" s="35"/>
      <c r="W2563" s="35"/>
      <c r="X2563" s="35"/>
    </row>
    <row r="2564" spans="4:24" x14ac:dyDescent="0.3">
      <c r="D2564" s="23">
        <v>43301</v>
      </c>
      <c r="E2564" s="5">
        <v>254.30235300000001</v>
      </c>
      <c r="F2564" s="28">
        <v>67.792969999999997</v>
      </c>
      <c r="G2564" s="28">
        <v>116.56</v>
      </c>
      <c r="H2564" s="28">
        <v>172.1619</v>
      </c>
      <c r="I2564" s="28">
        <v>131.5977</v>
      </c>
      <c r="J2564" s="29"/>
      <c r="K2564" s="29"/>
      <c r="L2564" s="29"/>
      <c r="M2564" s="29"/>
      <c r="N2564" s="29"/>
      <c r="P2564" s="4">
        <f t="shared" si="161"/>
        <v>-1.1437157717855808E-3</v>
      </c>
      <c r="Q2564" s="4">
        <f t="shared" si="161"/>
        <v>-2.271253338146532E-3</v>
      </c>
      <c r="R2564" s="4">
        <f t="shared" si="161"/>
        <v>6.4552446906631211E-3</v>
      </c>
      <c r="S2564" s="4">
        <f t="shared" si="161"/>
        <v>-2.2360171343032835E-4</v>
      </c>
      <c r="T2564" s="4">
        <f t="shared" si="161"/>
        <v>-1.7932553520303718E-3</v>
      </c>
      <c r="U2564" s="35"/>
      <c r="V2564" s="35"/>
      <c r="W2564" s="35"/>
      <c r="X2564" s="35"/>
    </row>
    <row r="2565" spans="4:24" x14ac:dyDescent="0.3">
      <c r="D2565" s="23">
        <v>43304</v>
      </c>
      <c r="E2565" s="5">
        <v>254.775192</v>
      </c>
      <c r="F2565" s="28">
        <v>67.578850000000003</v>
      </c>
      <c r="G2565" s="28">
        <v>116</v>
      </c>
      <c r="H2565" s="28">
        <v>172.71019999999999</v>
      </c>
      <c r="I2565" s="28">
        <v>131.8066</v>
      </c>
      <c r="J2565" s="29"/>
      <c r="K2565" s="29"/>
      <c r="L2565" s="29"/>
      <c r="M2565" s="29"/>
      <c r="N2565" s="29"/>
      <c r="P2565" s="4">
        <f t="shared" ref="P2565:T2580" si="162">LN(E2565/E2564)</f>
        <v>1.8576310843662603E-3</v>
      </c>
      <c r="Q2565" s="4">
        <f t="shared" si="162"/>
        <v>-3.1634379823550795E-3</v>
      </c>
      <c r="R2565" s="4">
        <f t="shared" si="162"/>
        <v>-4.8159707805848113E-3</v>
      </c>
      <c r="S2565" s="4">
        <f t="shared" si="162"/>
        <v>3.1797322078213172E-3</v>
      </c>
      <c r="T2565" s="4">
        <f t="shared" si="162"/>
        <v>1.5861551523449731E-3</v>
      </c>
      <c r="U2565" s="35"/>
      <c r="V2565" s="35"/>
      <c r="W2565" s="35"/>
      <c r="X2565" s="35"/>
    </row>
    <row r="2566" spans="4:24" x14ac:dyDescent="0.3">
      <c r="D2566" s="23">
        <v>43305</v>
      </c>
      <c r="E2566" s="5">
        <v>256.05728099999999</v>
      </c>
      <c r="F2566" s="28">
        <v>67.681640000000002</v>
      </c>
      <c r="G2566" s="28">
        <v>116.04</v>
      </c>
      <c r="H2566" s="28">
        <v>173.422</v>
      </c>
      <c r="I2566" s="28">
        <v>132.09739999999999</v>
      </c>
      <c r="J2566" s="29"/>
      <c r="K2566" s="29"/>
      <c r="L2566" s="29"/>
      <c r="M2566" s="29"/>
      <c r="N2566" s="29"/>
      <c r="P2566" s="4">
        <f t="shared" si="162"/>
        <v>5.0196170360443477E-3</v>
      </c>
      <c r="Q2566" s="4">
        <f t="shared" si="162"/>
        <v>1.5198824104131591E-3</v>
      </c>
      <c r="R2566" s="4">
        <f t="shared" si="162"/>
        <v>3.4476814683874468E-4</v>
      </c>
      <c r="S2566" s="4">
        <f t="shared" si="162"/>
        <v>4.1128852120089453E-3</v>
      </c>
      <c r="T2566" s="4">
        <f t="shared" si="162"/>
        <v>2.2038325883527339E-3</v>
      </c>
      <c r="U2566" s="35"/>
      <c r="V2566" s="35"/>
      <c r="W2566" s="35"/>
      <c r="X2566" s="35"/>
    </row>
    <row r="2567" spans="4:24" x14ac:dyDescent="0.3">
      <c r="D2567" s="23">
        <v>43306</v>
      </c>
      <c r="E2567" s="5">
        <v>258.239532</v>
      </c>
      <c r="F2567" s="28">
        <v>67.681640000000002</v>
      </c>
      <c r="G2567" s="28">
        <v>116.68</v>
      </c>
      <c r="H2567" s="28">
        <v>175.8458</v>
      </c>
      <c r="I2567" s="28">
        <v>133.22399999999999</v>
      </c>
      <c r="J2567" s="29"/>
      <c r="K2567" s="29"/>
      <c r="L2567" s="29"/>
      <c r="M2567" s="29"/>
      <c r="N2567" s="29"/>
      <c r="P2567" s="4">
        <f t="shared" si="162"/>
        <v>8.4863994556430514E-3</v>
      </c>
      <c r="Q2567" s="4">
        <f t="shared" si="162"/>
        <v>0</v>
      </c>
      <c r="R2567" s="4">
        <f t="shared" si="162"/>
        <v>5.5001857463173355E-3</v>
      </c>
      <c r="S2567" s="4">
        <f t="shared" si="162"/>
        <v>1.3879544065021511E-2</v>
      </c>
      <c r="T2567" s="4">
        <f t="shared" si="162"/>
        <v>8.4923927804306208E-3</v>
      </c>
      <c r="U2567" s="35"/>
      <c r="V2567" s="35"/>
      <c r="W2567" s="35"/>
      <c r="X2567" s="35"/>
    </row>
    <row r="2568" spans="4:24" x14ac:dyDescent="0.3">
      <c r="D2568" s="23">
        <v>43307</v>
      </c>
      <c r="E2568" s="5">
        <v>257.63028000000003</v>
      </c>
      <c r="F2568" s="28">
        <v>67.681640000000002</v>
      </c>
      <c r="G2568" s="28">
        <v>115.77</v>
      </c>
      <c r="H2568" s="28">
        <v>173.1815</v>
      </c>
      <c r="I2568" s="28">
        <v>133.0059</v>
      </c>
      <c r="J2568" s="29"/>
      <c r="K2568" s="29"/>
      <c r="L2568" s="29"/>
      <c r="M2568" s="29"/>
      <c r="N2568" s="29"/>
      <c r="P2568" s="4">
        <f t="shared" si="162"/>
        <v>-2.3620389062925552E-3</v>
      </c>
      <c r="Q2568" s="4">
        <f t="shared" si="162"/>
        <v>0</v>
      </c>
      <c r="R2568" s="4">
        <f t="shared" si="162"/>
        <v>-7.829680781883697E-3</v>
      </c>
      <c r="S2568" s="4">
        <f t="shared" si="162"/>
        <v>-1.526729715232387E-2</v>
      </c>
      <c r="T2568" s="4">
        <f t="shared" si="162"/>
        <v>-1.6384339158761556E-3</v>
      </c>
      <c r="U2568" s="35"/>
      <c r="V2568" s="35"/>
      <c r="W2568" s="35"/>
      <c r="X2568" s="35"/>
    </row>
    <row r="2569" spans="4:24" x14ac:dyDescent="0.3">
      <c r="D2569" s="23">
        <v>43308</v>
      </c>
      <c r="E2569" s="5">
        <v>255.88455200000001</v>
      </c>
      <c r="F2569" s="28">
        <v>67.664500000000004</v>
      </c>
      <c r="G2569" s="28">
        <v>115.83</v>
      </c>
      <c r="H2569" s="28">
        <v>170.8441</v>
      </c>
      <c r="I2569" s="28">
        <v>131.94290000000001</v>
      </c>
      <c r="J2569" s="29"/>
      <c r="K2569" s="29"/>
      <c r="L2569" s="29"/>
      <c r="M2569" s="29"/>
      <c r="N2569" s="29"/>
      <c r="P2569" s="4">
        <f t="shared" si="162"/>
        <v>-6.7991598934174259E-3</v>
      </c>
      <c r="Q2569" s="4">
        <f t="shared" si="162"/>
        <v>-2.5327652626991933E-4</v>
      </c>
      <c r="R2569" s="4">
        <f t="shared" si="162"/>
        <v>5.1813472661760306E-4</v>
      </c>
      <c r="S2569" s="4">
        <f t="shared" si="162"/>
        <v>-1.3588732741657854E-2</v>
      </c>
      <c r="T2569" s="4">
        <f t="shared" si="162"/>
        <v>-8.0242348991817567E-3</v>
      </c>
      <c r="U2569" s="35"/>
      <c r="V2569" s="35"/>
      <c r="W2569" s="35"/>
      <c r="X2569" s="35"/>
    </row>
    <row r="2570" spans="4:24" x14ac:dyDescent="0.3">
      <c r="D2570" s="23">
        <v>43311</v>
      </c>
      <c r="E2570" s="5">
        <v>254.547943</v>
      </c>
      <c r="F2570" s="28">
        <v>67.587379999999996</v>
      </c>
      <c r="G2570" s="28">
        <v>115.65</v>
      </c>
      <c r="H2570" s="28">
        <v>168.4299</v>
      </c>
      <c r="I2570" s="28">
        <v>131.0797</v>
      </c>
      <c r="J2570" s="29"/>
      <c r="K2570" s="29"/>
      <c r="L2570" s="29"/>
      <c r="M2570" s="29"/>
      <c r="N2570" s="29"/>
      <c r="P2570" s="4">
        <f t="shared" si="162"/>
        <v>-5.2371746240060134E-3</v>
      </c>
      <c r="Q2570" s="4">
        <f t="shared" si="162"/>
        <v>-1.1403909262900588E-3</v>
      </c>
      <c r="R2570" s="4">
        <f t="shared" si="162"/>
        <v>-1.5552102668064743E-3</v>
      </c>
      <c r="S2570" s="4">
        <f t="shared" si="162"/>
        <v>-1.4231805257084349E-2</v>
      </c>
      <c r="T2570" s="4">
        <f t="shared" si="162"/>
        <v>-6.56371809158656E-3</v>
      </c>
      <c r="U2570" s="35"/>
      <c r="V2570" s="35"/>
      <c r="W2570" s="35"/>
      <c r="X2570" s="35"/>
    </row>
    <row r="2571" spans="4:24" x14ac:dyDescent="0.3">
      <c r="D2571" s="23">
        <v>43312</v>
      </c>
      <c r="E2571" s="5">
        <v>255.80265800000001</v>
      </c>
      <c r="F2571" s="28">
        <v>67.638810000000007</v>
      </c>
      <c r="G2571" s="28">
        <v>115.99</v>
      </c>
      <c r="H2571" s="28">
        <v>169.71879999999999</v>
      </c>
      <c r="I2571" s="28">
        <v>131.82480000000001</v>
      </c>
      <c r="J2571" s="29"/>
      <c r="K2571" s="29"/>
      <c r="L2571" s="29"/>
      <c r="M2571" s="29"/>
      <c r="N2571" s="29"/>
      <c r="P2571" s="4">
        <f t="shared" si="162"/>
        <v>4.9170806326035458E-3</v>
      </c>
      <c r="Q2571" s="4">
        <f t="shared" si="162"/>
        <v>7.6065150515227168E-4</v>
      </c>
      <c r="R2571" s="4">
        <f t="shared" si="162"/>
        <v>2.935591816336651E-3</v>
      </c>
      <c r="S2571" s="4">
        <f t="shared" si="162"/>
        <v>7.6233103484607484E-3</v>
      </c>
      <c r="T2571" s="4">
        <f t="shared" si="162"/>
        <v>5.668233103151986E-3</v>
      </c>
      <c r="U2571" s="35"/>
      <c r="V2571" s="35"/>
      <c r="W2571" s="35"/>
      <c r="X2571" s="35"/>
    </row>
    <row r="2572" spans="4:24" x14ac:dyDescent="0.3">
      <c r="D2572" s="23">
        <v>43313</v>
      </c>
      <c r="E2572" s="5">
        <v>255.375305</v>
      </c>
      <c r="F2572" s="28">
        <v>67.601910000000004</v>
      </c>
      <c r="G2572" s="28">
        <v>115.14</v>
      </c>
      <c r="H2572" s="28">
        <v>170.36330000000001</v>
      </c>
      <c r="I2572" s="28">
        <v>131.6703</v>
      </c>
      <c r="J2572" s="29"/>
      <c r="K2572" s="29"/>
      <c r="L2572" s="29"/>
      <c r="M2572" s="29"/>
      <c r="N2572" s="29"/>
      <c r="P2572" s="4">
        <f t="shared" si="162"/>
        <v>-1.672032562023078E-3</v>
      </c>
      <c r="Q2572" s="4">
        <f t="shared" si="162"/>
        <v>-5.4569364782557734E-4</v>
      </c>
      <c r="R2572" s="4">
        <f t="shared" si="162"/>
        <v>-7.3552012461212341E-3</v>
      </c>
      <c r="S2572" s="4">
        <f t="shared" si="162"/>
        <v>3.7902657715881498E-3</v>
      </c>
      <c r="T2572" s="4">
        <f t="shared" si="162"/>
        <v>-1.1726974634895047E-3</v>
      </c>
      <c r="U2572" s="35"/>
      <c r="V2572" s="35"/>
      <c r="W2572" s="35"/>
      <c r="X2572" s="35"/>
    </row>
    <row r="2573" spans="4:24" x14ac:dyDescent="0.3">
      <c r="D2573" s="23">
        <v>43314</v>
      </c>
      <c r="E2573" s="5">
        <v>256.76644900000002</v>
      </c>
      <c r="F2573" s="28">
        <v>67.636229999999998</v>
      </c>
      <c r="G2573" s="28">
        <v>114.52</v>
      </c>
      <c r="H2573" s="28">
        <v>172.68129999999999</v>
      </c>
      <c r="I2573" s="28">
        <v>132.45169999999999</v>
      </c>
      <c r="J2573" s="29"/>
      <c r="K2573" s="29"/>
      <c r="L2573" s="29"/>
      <c r="M2573" s="29"/>
      <c r="N2573" s="29"/>
      <c r="P2573" s="4">
        <f t="shared" si="162"/>
        <v>5.4326655096359356E-3</v>
      </c>
      <c r="Q2573" s="4">
        <f t="shared" si="162"/>
        <v>5.0754913867853235E-4</v>
      </c>
      <c r="R2573" s="4">
        <f t="shared" si="162"/>
        <v>-5.3992990177493252E-3</v>
      </c>
      <c r="S2573" s="4">
        <f t="shared" si="162"/>
        <v>1.3514483423417352E-2</v>
      </c>
      <c r="T2573" s="4">
        <f t="shared" si="162"/>
        <v>5.9169798788100327E-3</v>
      </c>
      <c r="U2573" s="35"/>
      <c r="V2573" s="35"/>
      <c r="W2573" s="35"/>
      <c r="X2573" s="35"/>
    </row>
    <row r="2574" spans="4:24" x14ac:dyDescent="0.3">
      <c r="D2574" s="23">
        <v>43315</v>
      </c>
      <c r="E2574" s="5">
        <v>257.866669</v>
      </c>
      <c r="F2574" s="28">
        <v>67.782200000000003</v>
      </c>
      <c r="G2574" s="28">
        <v>114.92</v>
      </c>
      <c r="H2574" s="28">
        <v>173.21029999999999</v>
      </c>
      <c r="I2574" s="28">
        <v>132.89689999999999</v>
      </c>
      <c r="J2574" s="29"/>
      <c r="K2574" s="29"/>
      <c r="L2574" s="29"/>
      <c r="M2574" s="29"/>
      <c r="N2574" s="29"/>
      <c r="P2574" s="4">
        <f t="shared" si="162"/>
        <v>4.2757515507945527E-3</v>
      </c>
      <c r="Q2574" s="4">
        <f t="shared" si="162"/>
        <v>2.1558373780379836E-3</v>
      </c>
      <c r="R2574" s="4">
        <f t="shared" si="162"/>
        <v>3.486753881174628E-3</v>
      </c>
      <c r="S2574" s="4">
        <f t="shared" si="162"/>
        <v>3.0587641471795201E-3</v>
      </c>
      <c r="T2574" s="4">
        <f t="shared" si="162"/>
        <v>3.355588970471975E-3</v>
      </c>
      <c r="U2574" s="35"/>
      <c r="V2574" s="35"/>
      <c r="W2574" s="35"/>
      <c r="X2574" s="35"/>
    </row>
    <row r="2575" spans="4:24" x14ac:dyDescent="0.3">
      <c r="D2575" s="23">
        <v>43318</v>
      </c>
      <c r="E2575" s="5">
        <v>258.81231700000001</v>
      </c>
      <c r="F2575" s="28">
        <v>67.842280000000002</v>
      </c>
      <c r="G2575" s="28">
        <v>114.33</v>
      </c>
      <c r="H2575" s="28">
        <v>174.22989999999999</v>
      </c>
      <c r="I2575" s="28">
        <v>133.4966</v>
      </c>
      <c r="J2575" s="29"/>
      <c r="K2575" s="29"/>
      <c r="L2575" s="29"/>
      <c r="M2575" s="29"/>
      <c r="N2575" s="29"/>
      <c r="P2575" s="4">
        <f t="shared" si="162"/>
        <v>3.66048971037176E-3</v>
      </c>
      <c r="Q2575" s="4">
        <f t="shared" si="162"/>
        <v>8.8597580510527032E-4</v>
      </c>
      <c r="R2575" s="4">
        <f t="shared" si="162"/>
        <v>-5.1472305572102545E-3</v>
      </c>
      <c r="S2575" s="4">
        <f t="shared" si="162"/>
        <v>5.8692282983748992E-3</v>
      </c>
      <c r="T2575" s="4">
        <f t="shared" si="162"/>
        <v>4.5023697129212134E-3</v>
      </c>
      <c r="U2575" s="35"/>
      <c r="V2575" s="35"/>
      <c r="W2575" s="35"/>
      <c r="X2575" s="35"/>
    </row>
    <row r="2576" spans="4:24" x14ac:dyDescent="0.3">
      <c r="D2576" s="23">
        <v>43319</v>
      </c>
      <c r="E2576" s="5">
        <v>259.66702299999997</v>
      </c>
      <c r="F2576" s="28">
        <v>67.722059999999999</v>
      </c>
      <c r="G2576" s="28">
        <v>114.59</v>
      </c>
      <c r="H2576" s="28">
        <v>174.8647</v>
      </c>
      <c r="I2576" s="28">
        <v>133.93270000000001</v>
      </c>
      <c r="J2576" s="29"/>
      <c r="K2576" s="29"/>
      <c r="L2576" s="29"/>
      <c r="M2576" s="29"/>
      <c r="N2576" s="29"/>
      <c r="P2576" s="4">
        <f t="shared" si="162"/>
        <v>3.2969752438902788E-3</v>
      </c>
      <c r="Q2576" s="4">
        <f t="shared" si="162"/>
        <v>-1.7736232332937133E-3</v>
      </c>
      <c r="R2576" s="4">
        <f t="shared" si="162"/>
        <v>2.2715368844783649E-3</v>
      </c>
      <c r="S2576" s="4">
        <f t="shared" si="162"/>
        <v>3.6368405566140996E-3</v>
      </c>
      <c r="T2576" s="4">
        <f t="shared" si="162"/>
        <v>3.2614256295964528E-3</v>
      </c>
      <c r="U2576" s="35"/>
      <c r="V2576" s="35"/>
      <c r="W2576" s="35"/>
      <c r="X2576" s="35"/>
    </row>
    <row r="2577" spans="4:24" x14ac:dyDescent="0.3">
      <c r="D2577" s="23">
        <v>43320</v>
      </c>
      <c r="E2577" s="5">
        <v>259.557861</v>
      </c>
      <c r="F2577" s="28">
        <v>67.704899999999995</v>
      </c>
      <c r="G2577" s="28">
        <v>114.91</v>
      </c>
      <c r="H2577" s="28">
        <v>175.0763</v>
      </c>
      <c r="I2577" s="28">
        <v>133.80549999999999</v>
      </c>
      <c r="J2577" s="29"/>
      <c r="K2577" s="29"/>
      <c r="L2577" s="29"/>
      <c r="M2577" s="29"/>
      <c r="N2577" s="29"/>
      <c r="P2577" s="4">
        <f t="shared" si="162"/>
        <v>-4.2048062399226063E-4</v>
      </c>
      <c r="Q2577" s="4">
        <f t="shared" si="162"/>
        <v>-2.534207382613285E-4</v>
      </c>
      <c r="R2577" s="4">
        <f t="shared" si="162"/>
        <v>2.7886728311853864E-3</v>
      </c>
      <c r="S2577" s="4">
        <f t="shared" si="162"/>
        <v>1.2093468658379682E-3</v>
      </c>
      <c r="T2577" s="4">
        <f t="shared" si="162"/>
        <v>-9.5018200294300548E-4</v>
      </c>
      <c r="U2577" s="35"/>
      <c r="V2577" s="35"/>
      <c r="W2577" s="35"/>
      <c r="X2577" s="35"/>
    </row>
    <row r="2578" spans="4:24" x14ac:dyDescent="0.3">
      <c r="D2578" s="23">
        <v>43321</v>
      </c>
      <c r="E2578" s="5">
        <v>259.20327800000001</v>
      </c>
      <c r="F2578" s="28">
        <v>67.833690000000004</v>
      </c>
      <c r="G2578" s="28">
        <v>114.74</v>
      </c>
      <c r="H2578" s="28">
        <v>174.97049999999999</v>
      </c>
      <c r="I2578" s="28">
        <v>133.71459999999999</v>
      </c>
      <c r="J2578" s="29"/>
      <c r="K2578" s="29"/>
      <c r="L2578" s="29"/>
      <c r="M2578" s="29"/>
      <c r="N2578" s="29"/>
      <c r="P2578" s="4">
        <f t="shared" si="162"/>
        <v>-1.3670378467580224E-3</v>
      </c>
      <c r="Q2578" s="4">
        <f t="shared" si="162"/>
        <v>1.9004187480687947E-3</v>
      </c>
      <c r="R2578" s="4">
        <f t="shared" si="162"/>
        <v>-1.4805140958173641E-3</v>
      </c>
      <c r="S2578" s="4">
        <f t="shared" si="162"/>
        <v>-6.0449061794997554E-4</v>
      </c>
      <c r="T2578" s="4">
        <f t="shared" si="162"/>
        <v>-6.795751309775247E-4</v>
      </c>
      <c r="U2578" s="35"/>
      <c r="V2578" s="35"/>
      <c r="W2578" s="35"/>
      <c r="X2578" s="35"/>
    </row>
    <row r="2579" spans="4:24" x14ac:dyDescent="0.3">
      <c r="D2579" s="23">
        <v>43322</v>
      </c>
      <c r="E2579" s="5">
        <v>257.46658300000001</v>
      </c>
      <c r="F2579" s="28">
        <v>67.971010000000007</v>
      </c>
      <c r="G2579" s="28">
        <v>114.69</v>
      </c>
      <c r="H2579" s="28">
        <v>173.6335</v>
      </c>
      <c r="I2579" s="28">
        <v>132.87880000000001</v>
      </c>
      <c r="J2579" s="29"/>
      <c r="K2579" s="29"/>
      <c r="L2579" s="29"/>
      <c r="M2579" s="29"/>
      <c r="N2579" s="29"/>
      <c r="P2579" s="4">
        <f t="shared" si="162"/>
        <v>-6.7226740780534115E-3</v>
      </c>
      <c r="Q2579" s="4">
        <f t="shared" si="162"/>
        <v>2.022316559007648E-3</v>
      </c>
      <c r="R2579" s="4">
        <f t="shared" si="162"/>
        <v>-4.3586279729381763E-4</v>
      </c>
      <c r="S2579" s="4">
        <f t="shared" si="162"/>
        <v>-7.6706323254711831E-3</v>
      </c>
      <c r="T2579" s="4">
        <f t="shared" si="162"/>
        <v>-6.2702432869993063E-3</v>
      </c>
      <c r="U2579" s="35"/>
      <c r="V2579" s="35"/>
      <c r="W2579" s="35"/>
      <c r="X2579" s="35"/>
    </row>
    <row r="2580" spans="4:24" x14ac:dyDescent="0.3">
      <c r="D2580" s="23">
        <v>43325</v>
      </c>
      <c r="E2580" s="5">
        <v>256.50280800000002</v>
      </c>
      <c r="F2580" s="28">
        <v>67.979590000000002</v>
      </c>
      <c r="G2580" s="28">
        <v>112.96</v>
      </c>
      <c r="H2580" s="28">
        <v>173.44120000000001</v>
      </c>
      <c r="I2580" s="28">
        <v>132.3699</v>
      </c>
      <c r="J2580" s="29"/>
      <c r="K2580" s="29"/>
      <c r="L2580" s="29"/>
      <c r="M2580" s="29"/>
      <c r="N2580" s="29"/>
      <c r="P2580" s="4">
        <f t="shared" si="162"/>
        <v>-3.7503250057135504E-3</v>
      </c>
      <c r="Q2580" s="4">
        <f t="shared" si="162"/>
        <v>1.2622231915683765E-4</v>
      </c>
      <c r="R2580" s="4">
        <f t="shared" si="162"/>
        <v>-1.5199062631499184E-2</v>
      </c>
      <c r="S2580" s="4">
        <f t="shared" si="162"/>
        <v>-1.1081189131765124E-3</v>
      </c>
      <c r="T2580" s="4">
        <f t="shared" si="162"/>
        <v>-3.8371582926588002E-3</v>
      </c>
      <c r="U2580" s="35"/>
      <c r="V2580" s="35"/>
      <c r="W2580" s="35"/>
      <c r="X2580" s="35"/>
    </row>
    <row r="2581" spans="4:24" x14ac:dyDescent="0.3">
      <c r="D2581" s="23">
        <v>43326</v>
      </c>
      <c r="E2581" s="5">
        <v>258.13949600000001</v>
      </c>
      <c r="F2581" s="28">
        <v>67.936700000000002</v>
      </c>
      <c r="G2581" s="28">
        <v>113.07</v>
      </c>
      <c r="H2581" s="28">
        <v>174.52799999999999</v>
      </c>
      <c r="I2581" s="28">
        <v>133.2422</v>
      </c>
      <c r="J2581" s="29"/>
      <c r="K2581" s="29"/>
      <c r="L2581" s="29"/>
      <c r="M2581" s="29"/>
      <c r="N2581" s="29"/>
      <c r="P2581" s="4">
        <f t="shared" ref="P2581:T2596" si="163">LN(E2581/E2580)</f>
        <v>6.3605090568978843E-3</v>
      </c>
      <c r="Q2581" s="4">
        <f t="shared" si="163"/>
        <v>-6.3112378102210889E-4</v>
      </c>
      <c r="R2581" s="4">
        <f t="shared" si="163"/>
        <v>9.733222022218624E-4</v>
      </c>
      <c r="S2581" s="4">
        <f t="shared" si="163"/>
        <v>6.2465501765885979E-3</v>
      </c>
      <c r="T2581" s="4">
        <f t="shared" si="163"/>
        <v>6.5682484800465507E-3</v>
      </c>
      <c r="U2581" s="35"/>
      <c r="V2581" s="35"/>
      <c r="W2581" s="35"/>
      <c r="X2581" s="35"/>
    </row>
    <row r="2582" spans="4:24" x14ac:dyDescent="0.3">
      <c r="D2582" s="23">
        <v>43327</v>
      </c>
      <c r="E2582" s="5">
        <v>256.211792</v>
      </c>
      <c r="F2582" s="28">
        <v>68.013949999999994</v>
      </c>
      <c r="G2582" s="28">
        <v>111.19</v>
      </c>
      <c r="H2582" s="28">
        <v>172.39269999999999</v>
      </c>
      <c r="I2582" s="28">
        <v>132.18819999999999</v>
      </c>
      <c r="J2582" s="29"/>
      <c r="K2582" s="29"/>
      <c r="L2582" s="29"/>
      <c r="M2582" s="29"/>
      <c r="N2582" s="29"/>
      <c r="P2582" s="4">
        <f t="shared" si="163"/>
        <v>-7.4957060310118298E-3</v>
      </c>
      <c r="Q2582" s="4">
        <f t="shared" si="163"/>
        <v>1.1364419120324795E-3</v>
      </c>
      <c r="R2582" s="4">
        <f t="shared" si="163"/>
        <v>-1.6766646231995835E-2</v>
      </c>
      <c r="S2582" s="4">
        <f t="shared" si="163"/>
        <v>-1.2310173277508205E-2</v>
      </c>
      <c r="T2582" s="4">
        <f t="shared" si="163"/>
        <v>-7.9418600124051535E-3</v>
      </c>
      <c r="U2582" s="35"/>
      <c r="V2582" s="35"/>
      <c r="W2582" s="35"/>
      <c r="X2582" s="35"/>
    </row>
    <row r="2583" spans="4:24" x14ac:dyDescent="0.3">
      <c r="D2583" s="23">
        <v>43328</v>
      </c>
      <c r="E2583" s="5">
        <v>258.28500400000001</v>
      </c>
      <c r="F2583" s="28">
        <v>68.048299999999998</v>
      </c>
      <c r="G2583" s="28">
        <v>111.1</v>
      </c>
      <c r="H2583" s="28">
        <v>172.96029999999999</v>
      </c>
      <c r="I2583" s="28">
        <v>133.22399999999999</v>
      </c>
      <c r="J2583" s="29"/>
      <c r="K2583" s="29"/>
      <c r="L2583" s="29"/>
      <c r="M2583" s="29"/>
      <c r="N2583" s="29"/>
      <c r="P2583" s="4">
        <f t="shared" si="163"/>
        <v>8.059226947818009E-3</v>
      </c>
      <c r="Q2583" s="4">
        <f t="shared" si="163"/>
        <v>5.049159591255717E-4</v>
      </c>
      <c r="R2583" s="4">
        <f t="shared" si="163"/>
        <v>-8.0975306957353148E-4</v>
      </c>
      <c r="S2583" s="4">
        <f t="shared" si="163"/>
        <v>3.2870744488665048E-3</v>
      </c>
      <c r="T2583" s="4">
        <f t="shared" si="163"/>
        <v>7.8052573211195931E-3</v>
      </c>
      <c r="U2583" s="35"/>
      <c r="V2583" s="35"/>
      <c r="W2583" s="35"/>
      <c r="X2583" s="35"/>
    </row>
    <row r="2584" spans="4:24" x14ac:dyDescent="0.3">
      <c r="D2584" s="23">
        <v>43329</v>
      </c>
      <c r="E2584" s="5">
        <v>259.19412199999999</v>
      </c>
      <c r="F2584" s="28">
        <v>68.125559999999993</v>
      </c>
      <c r="G2584" s="28">
        <v>112.13</v>
      </c>
      <c r="H2584" s="28">
        <v>172.99870000000001</v>
      </c>
      <c r="I2584" s="28">
        <v>133.71459999999999</v>
      </c>
      <c r="J2584" s="29"/>
      <c r="K2584" s="29"/>
      <c r="L2584" s="29"/>
      <c r="M2584" s="29"/>
      <c r="N2584" s="29"/>
      <c r="P2584" s="4">
        <f t="shared" si="163"/>
        <v>3.5136448588188127E-3</v>
      </c>
      <c r="Q2584" s="4">
        <f t="shared" si="163"/>
        <v>1.1347259788333222E-3</v>
      </c>
      <c r="R2584" s="4">
        <f t="shared" si="163"/>
        <v>9.2282158272051426E-3</v>
      </c>
      <c r="S2584" s="4">
        <f t="shared" si="163"/>
        <v>2.2199162419657561E-4</v>
      </c>
      <c r="T2584" s="4">
        <f t="shared" si="163"/>
        <v>3.6757557908971539E-3</v>
      </c>
      <c r="U2584" s="35"/>
      <c r="V2584" s="35"/>
      <c r="W2584" s="35"/>
      <c r="X2584" s="35"/>
    </row>
    <row r="2585" spans="4:24" x14ac:dyDescent="0.3">
      <c r="D2585" s="23">
        <v>43332</v>
      </c>
      <c r="E2585" s="5">
        <v>259.74890099999999</v>
      </c>
      <c r="F2585" s="28">
        <v>68.211380000000005</v>
      </c>
      <c r="G2585" s="28">
        <v>112.69</v>
      </c>
      <c r="H2585" s="28">
        <v>172.84479999999999</v>
      </c>
      <c r="I2585" s="28">
        <v>133.96899999999999</v>
      </c>
      <c r="J2585" s="29"/>
      <c r="K2585" s="29"/>
      <c r="L2585" s="29"/>
      <c r="M2585" s="29"/>
      <c r="N2585" s="29"/>
      <c r="P2585" s="4">
        <f t="shared" si="163"/>
        <v>2.1381122272021115E-3</v>
      </c>
      <c r="Q2585" s="4">
        <f t="shared" si="163"/>
        <v>1.258939966452284E-3</v>
      </c>
      <c r="R2585" s="4">
        <f t="shared" si="163"/>
        <v>4.9817734914685509E-3</v>
      </c>
      <c r="S2585" s="4">
        <f t="shared" si="163"/>
        <v>-8.8999799133802329E-4</v>
      </c>
      <c r="T2585" s="4">
        <f t="shared" si="163"/>
        <v>1.9007520564772065E-3</v>
      </c>
      <c r="U2585" s="35"/>
      <c r="V2585" s="35"/>
      <c r="W2585" s="35"/>
      <c r="X2585" s="35"/>
    </row>
    <row r="2586" spans="4:24" x14ac:dyDescent="0.3">
      <c r="D2586" s="23">
        <v>43333</v>
      </c>
      <c r="E2586" s="5">
        <v>260.35806300000002</v>
      </c>
      <c r="F2586" s="28">
        <v>68.177030000000002</v>
      </c>
      <c r="G2586" s="28">
        <v>113.02</v>
      </c>
      <c r="H2586" s="28">
        <v>173.47970000000001</v>
      </c>
      <c r="I2586" s="28">
        <v>134.46870000000001</v>
      </c>
      <c r="J2586" s="29"/>
      <c r="K2586" s="29"/>
      <c r="L2586" s="29"/>
      <c r="M2586" s="29"/>
      <c r="N2586" s="29"/>
      <c r="P2586" s="4">
        <f t="shared" si="163"/>
        <v>2.3424499985852726E-3</v>
      </c>
      <c r="Q2586" s="4">
        <f t="shared" si="163"/>
        <v>-5.0370850024992228E-4</v>
      </c>
      <c r="R2586" s="4">
        <f t="shared" si="163"/>
        <v>2.9241082374392578E-3</v>
      </c>
      <c r="S2586" s="4">
        <f t="shared" si="163"/>
        <v>3.6665076323581509E-3</v>
      </c>
      <c r="T2586" s="4">
        <f t="shared" si="163"/>
        <v>3.7230283018556687E-3</v>
      </c>
      <c r="U2586" s="35"/>
      <c r="V2586" s="35"/>
      <c r="W2586" s="35"/>
      <c r="X2586" s="35"/>
    </row>
    <row r="2587" spans="4:24" x14ac:dyDescent="0.3">
      <c r="D2587" s="23">
        <v>43334</v>
      </c>
      <c r="E2587" s="5">
        <v>260.20349099999999</v>
      </c>
      <c r="F2587" s="28">
        <v>68.219989999999996</v>
      </c>
      <c r="G2587" s="28">
        <v>113.27</v>
      </c>
      <c r="H2587" s="28">
        <v>174.15289999999999</v>
      </c>
      <c r="I2587" s="28">
        <v>134.51419999999999</v>
      </c>
      <c r="J2587" s="29"/>
      <c r="K2587" s="29"/>
      <c r="L2587" s="29"/>
      <c r="M2587" s="29"/>
      <c r="N2587" s="29"/>
      <c r="P2587" s="4">
        <f t="shared" si="163"/>
        <v>-5.9386638661702471E-4</v>
      </c>
      <c r="Q2587" s="4">
        <f t="shared" si="163"/>
        <v>6.2992580659839445E-4</v>
      </c>
      <c r="R2587" s="4">
        <f t="shared" si="163"/>
        <v>2.2095550109249829E-3</v>
      </c>
      <c r="S2587" s="4">
        <f t="shared" si="163"/>
        <v>3.8730593248894954E-3</v>
      </c>
      <c r="T2587" s="4">
        <f t="shared" si="163"/>
        <v>3.3831147209693662E-4</v>
      </c>
      <c r="U2587" s="35"/>
      <c r="V2587" s="35"/>
      <c r="W2587" s="35"/>
      <c r="X2587" s="35"/>
    </row>
    <row r="2588" spans="4:24" x14ac:dyDescent="0.3">
      <c r="D2588" s="23">
        <v>43335</v>
      </c>
      <c r="E2588" s="5">
        <v>259.85797100000002</v>
      </c>
      <c r="F2588" s="28">
        <v>68.219989999999996</v>
      </c>
      <c r="G2588" s="28">
        <v>112.2</v>
      </c>
      <c r="H2588" s="28">
        <v>173.90289999999999</v>
      </c>
      <c r="I2588" s="28">
        <v>134.25069999999999</v>
      </c>
      <c r="J2588" s="29"/>
      <c r="K2588" s="29"/>
      <c r="L2588" s="29"/>
      <c r="M2588" s="29"/>
      <c r="N2588" s="29"/>
      <c r="P2588" s="4">
        <f t="shared" si="163"/>
        <v>-1.3287662173977577E-3</v>
      </c>
      <c r="Q2588" s="4">
        <f t="shared" si="163"/>
        <v>0</v>
      </c>
      <c r="R2588" s="4">
        <f t="shared" si="163"/>
        <v>-9.4913561240261915E-3</v>
      </c>
      <c r="S2588" s="4">
        <f t="shared" si="163"/>
        <v>-1.4365515126789376E-3</v>
      </c>
      <c r="T2588" s="4">
        <f t="shared" si="163"/>
        <v>-1.9608221492158923E-3</v>
      </c>
      <c r="U2588" s="35"/>
      <c r="V2588" s="35"/>
      <c r="W2588" s="35"/>
      <c r="X2588" s="35"/>
    </row>
    <row r="2589" spans="4:24" x14ac:dyDescent="0.3">
      <c r="D2589" s="23">
        <v>43336</v>
      </c>
      <c r="E2589" s="5">
        <v>261.42193600000002</v>
      </c>
      <c r="F2589" s="28">
        <v>68.254310000000004</v>
      </c>
      <c r="G2589" s="28">
        <v>114.16</v>
      </c>
      <c r="H2589" s="28">
        <v>175.5188</v>
      </c>
      <c r="I2589" s="28">
        <v>135.0866</v>
      </c>
      <c r="J2589" s="29"/>
      <c r="K2589" s="29"/>
      <c r="L2589" s="29"/>
      <c r="M2589" s="29"/>
      <c r="N2589" s="29"/>
      <c r="P2589" s="4">
        <f t="shared" si="163"/>
        <v>6.0004986636559643E-3</v>
      </c>
      <c r="Q2589" s="4">
        <f t="shared" si="163"/>
        <v>5.0295184842084678E-4</v>
      </c>
      <c r="R2589" s="4">
        <f t="shared" si="163"/>
        <v>1.7317980079984915E-2</v>
      </c>
      <c r="S2589" s="4">
        <f t="shared" si="163"/>
        <v>9.2490622039279498E-3</v>
      </c>
      <c r="T2589" s="4">
        <f t="shared" si="163"/>
        <v>6.2071067305320363E-3</v>
      </c>
      <c r="U2589" s="35"/>
      <c r="V2589" s="35"/>
      <c r="W2589" s="35"/>
      <c r="X2589" s="35"/>
    </row>
    <row r="2590" spans="4:24" x14ac:dyDescent="0.3">
      <c r="D2590" s="23">
        <v>43339</v>
      </c>
      <c r="E2590" s="5">
        <v>263.48599200000001</v>
      </c>
      <c r="F2590" s="28">
        <v>68.168459999999996</v>
      </c>
      <c r="G2590" s="28">
        <v>114.59</v>
      </c>
      <c r="H2590" s="28">
        <v>177.30779999999999</v>
      </c>
      <c r="I2590" s="28">
        <v>136.05879999999999</v>
      </c>
      <c r="J2590" s="29"/>
      <c r="K2590" s="29"/>
      <c r="L2590" s="29"/>
      <c r="M2590" s="29"/>
      <c r="N2590" s="29"/>
      <c r="P2590" s="4">
        <f t="shared" si="163"/>
        <v>7.8644902407083803E-3</v>
      </c>
      <c r="Q2590" s="4">
        <f t="shared" si="163"/>
        <v>-1.2585877171753022E-3</v>
      </c>
      <c r="R2590" s="4">
        <f t="shared" si="163"/>
        <v>3.7595672697758897E-3</v>
      </c>
      <c r="S2590" s="4">
        <f t="shared" si="163"/>
        <v>1.0141045668461732E-2</v>
      </c>
      <c r="T2590" s="4">
        <f t="shared" si="163"/>
        <v>7.1710909810139417E-3</v>
      </c>
      <c r="U2590" s="35"/>
      <c r="V2590" s="35"/>
      <c r="W2590" s="35"/>
      <c r="X2590" s="35"/>
    </row>
    <row r="2591" spans="4:24" x14ac:dyDescent="0.3">
      <c r="D2591" s="23">
        <v>43340</v>
      </c>
      <c r="E2591" s="5">
        <v>263.61318999999997</v>
      </c>
      <c r="F2591" s="28">
        <v>68.065449999999998</v>
      </c>
      <c r="G2591" s="28">
        <v>113.68</v>
      </c>
      <c r="H2591" s="28">
        <v>177.5675</v>
      </c>
      <c r="I2591" s="28">
        <v>136.1405</v>
      </c>
      <c r="J2591" s="29"/>
      <c r="K2591" s="29"/>
      <c r="L2591" s="29"/>
      <c r="M2591" s="29"/>
      <c r="N2591" s="29"/>
      <c r="P2591" s="4">
        <f t="shared" si="163"/>
        <v>4.8263403478026939E-4</v>
      </c>
      <c r="Q2591" s="4">
        <f t="shared" si="163"/>
        <v>-1.512252267165895E-3</v>
      </c>
      <c r="R2591" s="4">
        <f t="shared" si="163"/>
        <v>-7.9730566495116277E-3</v>
      </c>
      <c r="S2591" s="4">
        <f t="shared" si="163"/>
        <v>1.4636129725567437E-3</v>
      </c>
      <c r="T2591" s="4">
        <f t="shared" si="163"/>
        <v>6.0029546331259991E-4</v>
      </c>
      <c r="U2591" s="35"/>
      <c r="V2591" s="35"/>
      <c r="W2591" s="35"/>
      <c r="X2591" s="35"/>
    </row>
    <row r="2592" spans="4:24" x14ac:dyDescent="0.3">
      <c r="D2592" s="23">
        <v>43341</v>
      </c>
      <c r="E2592" s="5">
        <v>265.031677</v>
      </c>
      <c r="F2592" s="28">
        <v>68.022509999999997</v>
      </c>
      <c r="G2592" s="28">
        <v>114.2</v>
      </c>
      <c r="H2592" s="28">
        <v>179.61619999999999</v>
      </c>
      <c r="I2592" s="28">
        <v>136.85830000000001</v>
      </c>
      <c r="J2592" s="29"/>
      <c r="K2592" s="29"/>
      <c r="L2592" s="29"/>
      <c r="M2592" s="29"/>
      <c r="N2592" s="29"/>
      <c r="P2592" s="4">
        <f t="shared" si="163"/>
        <v>5.3665153786751092E-3</v>
      </c>
      <c r="Q2592" s="4">
        <f t="shared" si="163"/>
        <v>-6.310624602652357E-4</v>
      </c>
      <c r="R2592" s="4">
        <f t="shared" si="163"/>
        <v>4.5638134330646153E-3</v>
      </c>
      <c r="S2592" s="4">
        <f t="shared" si="163"/>
        <v>1.1471533928862316E-2</v>
      </c>
      <c r="T2592" s="4">
        <f t="shared" si="163"/>
        <v>5.2586432916864375E-3</v>
      </c>
      <c r="U2592" s="35"/>
      <c r="V2592" s="35"/>
      <c r="W2592" s="35"/>
      <c r="X2592" s="35"/>
    </row>
    <row r="2593" spans="4:24" x14ac:dyDescent="0.3">
      <c r="D2593" s="23">
        <v>43342</v>
      </c>
      <c r="E2593" s="5">
        <v>263.95877100000001</v>
      </c>
      <c r="F2593" s="28">
        <v>68.07405</v>
      </c>
      <c r="G2593" s="28">
        <v>113.64</v>
      </c>
      <c r="H2593" s="28">
        <v>179.2988</v>
      </c>
      <c r="I2593" s="28">
        <v>136.29499999999999</v>
      </c>
      <c r="J2593" s="29"/>
      <c r="K2593" s="29"/>
      <c r="L2593" s="29"/>
      <c r="M2593" s="29"/>
      <c r="N2593" s="29"/>
      <c r="P2593" s="4">
        <f t="shared" si="163"/>
        <v>-4.0564341955429796E-3</v>
      </c>
      <c r="Q2593" s="4">
        <f t="shared" si="163"/>
        <v>7.5740345624996047E-4</v>
      </c>
      <c r="R2593" s="4">
        <f t="shared" si="163"/>
        <v>-4.9157402359227094E-3</v>
      </c>
      <c r="S2593" s="4">
        <f t="shared" si="163"/>
        <v>-1.7686643508361005E-3</v>
      </c>
      <c r="T2593" s="4">
        <f t="shared" si="163"/>
        <v>-4.1244297507719895E-3</v>
      </c>
      <c r="U2593" s="35"/>
      <c r="V2593" s="35"/>
      <c r="W2593" s="35"/>
      <c r="X2593" s="35"/>
    </row>
    <row r="2594" spans="4:24" x14ac:dyDescent="0.3">
      <c r="D2594" s="23">
        <v>43343</v>
      </c>
      <c r="E2594" s="5">
        <v>263.96786500000002</v>
      </c>
      <c r="F2594" s="28">
        <v>68.091189999999997</v>
      </c>
      <c r="G2594" s="28">
        <v>113.51</v>
      </c>
      <c r="H2594" s="28">
        <v>179.52969999999999</v>
      </c>
      <c r="I2594" s="28">
        <v>136.34950000000001</v>
      </c>
      <c r="J2594" s="29"/>
      <c r="K2594" s="29"/>
      <c r="L2594" s="29"/>
      <c r="M2594" s="29"/>
      <c r="N2594" s="29"/>
      <c r="P2594" s="4">
        <f t="shared" si="163"/>
        <v>3.4451756667520862E-5</v>
      </c>
      <c r="Q2594" s="4">
        <f t="shared" si="163"/>
        <v>2.5175294503239343E-4</v>
      </c>
      <c r="R2594" s="4">
        <f t="shared" si="163"/>
        <v>-1.1446182187391015E-3</v>
      </c>
      <c r="S2594" s="4">
        <f t="shared" si="163"/>
        <v>1.2869659565480107E-3</v>
      </c>
      <c r="T2594" s="4">
        <f t="shared" si="163"/>
        <v>3.997880076503318E-4</v>
      </c>
      <c r="U2594" s="35"/>
      <c r="V2594" s="35"/>
      <c r="W2594" s="35"/>
      <c r="X2594" s="35"/>
    </row>
    <row r="2595" spans="4:24" x14ac:dyDescent="0.3">
      <c r="D2595" s="23">
        <v>43347</v>
      </c>
      <c r="E2595" s="5">
        <v>263.51318400000002</v>
      </c>
      <c r="F2595" s="28">
        <v>67.986249999999998</v>
      </c>
      <c r="G2595" s="28">
        <v>112.93</v>
      </c>
      <c r="H2595" s="28">
        <v>178.7602</v>
      </c>
      <c r="I2595" s="28">
        <v>136.15870000000001</v>
      </c>
      <c r="J2595" s="29"/>
      <c r="K2595" s="29"/>
      <c r="L2595" s="29"/>
      <c r="M2595" s="29"/>
      <c r="N2595" s="29"/>
      <c r="P2595" s="4">
        <f t="shared" si="163"/>
        <v>-1.7239713672149155E-3</v>
      </c>
      <c r="Q2595" s="4">
        <f t="shared" si="163"/>
        <v>-1.5423573636186262E-3</v>
      </c>
      <c r="R2595" s="4">
        <f t="shared" si="163"/>
        <v>-5.1227810316690769E-3</v>
      </c>
      <c r="S2595" s="4">
        <f t="shared" si="163"/>
        <v>-4.2954109682773059E-3</v>
      </c>
      <c r="T2595" s="4">
        <f t="shared" si="163"/>
        <v>-1.4003250630877304E-3</v>
      </c>
      <c r="U2595" s="35"/>
      <c r="V2595" s="35"/>
      <c r="W2595" s="35"/>
      <c r="X2595" s="35"/>
    </row>
    <row r="2596" spans="4:24" x14ac:dyDescent="0.3">
      <c r="D2596" s="23">
        <v>43348</v>
      </c>
      <c r="E2596" s="5">
        <v>262.80398600000001</v>
      </c>
      <c r="F2596" s="28">
        <v>68.003429999999994</v>
      </c>
      <c r="G2596" s="28">
        <v>113.32</v>
      </c>
      <c r="H2596" s="28">
        <v>176.45179999999999</v>
      </c>
      <c r="I2596" s="28">
        <v>135.71350000000001</v>
      </c>
      <c r="J2596" s="29"/>
      <c r="K2596" s="29"/>
      <c r="L2596" s="29"/>
      <c r="M2596" s="29"/>
      <c r="N2596" s="29"/>
      <c r="P2596" s="4">
        <f t="shared" si="163"/>
        <v>-2.6949469622153093E-3</v>
      </c>
      <c r="Q2596" s="4">
        <f t="shared" si="163"/>
        <v>2.5266623307581274E-4</v>
      </c>
      <c r="R2596" s="4">
        <f t="shared" si="163"/>
        <v>3.447517226736739E-3</v>
      </c>
      <c r="S2596" s="4">
        <f t="shared" si="163"/>
        <v>-1.2997491623766431E-2</v>
      </c>
      <c r="T2596" s="4">
        <f t="shared" si="163"/>
        <v>-3.2750711395862263E-3</v>
      </c>
      <c r="U2596" s="35"/>
      <c r="V2596" s="35"/>
      <c r="W2596" s="35"/>
      <c r="X2596" s="35"/>
    </row>
    <row r="2597" spans="4:24" x14ac:dyDescent="0.3">
      <c r="D2597" s="23">
        <v>43349</v>
      </c>
      <c r="E2597" s="5">
        <v>262.01297</v>
      </c>
      <c r="F2597" s="28">
        <v>68.10669</v>
      </c>
      <c r="G2597" s="28">
        <v>113.54</v>
      </c>
      <c r="H2597" s="28">
        <v>174.87430000000001</v>
      </c>
      <c r="I2597" s="28">
        <v>135.30459999999999</v>
      </c>
      <c r="J2597" s="29"/>
      <c r="K2597" s="29"/>
      <c r="L2597" s="29"/>
      <c r="M2597" s="29"/>
      <c r="N2597" s="29"/>
      <c r="P2597" s="4">
        <f t="shared" ref="P2597:T2612" si="164">LN(E2597/E2596)</f>
        <v>-3.0144475705156824E-3</v>
      </c>
      <c r="Q2597" s="4">
        <f t="shared" si="164"/>
        <v>1.5173011354404043E-3</v>
      </c>
      <c r="R2597" s="4">
        <f t="shared" si="164"/>
        <v>1.9395227802645081E-3</v>
      </c>
      <c r="S2597" s="4">
        <f t="shared" si="164"/>
        <v>-8.9803211409374018E-3</v>
      </c>
      <c r="T2597" s="4">
        <f t="shared" si="164"/>
        <v>-3.0175129282210009E-3</v>
      </c>
      <c r="U2597" s="35"/>
      <c r="V2597" s="35"/>
      <c r="W2597" s="35"/>
      <c r="X2597" s="35"/>
    </row>
    <row r="2598" spans="4:24" x14ac:dyDescent="0.3">
      <c r="D2598" s="23">
        <v>43350</v>
      </c>
      <c r="E2598" s="5">
        <v>261.50375400000001</v>
      </c>
      <c r="F2598" s="28">
        <v>67.891570000000002</v>
      </c>
      <c r="G2598" s="28">
        <v>113.23</v>
      </c>
      <c r="H2598" s="28">
        <v>174.20099999999999</v>
      </c>
      <c r="I2598" s="28">
        <v>134.9957</v>
      </c>
      <c r="J2598" s="29"/>
      <c r="K2598" s="29"/>
      <c r="L2598" s="29"/>
      <c r="M2598" s="29"/>
      <c r="N2598" s="29"/>
      <c r="P2598" s="4">
        <f t="shared" si="164"/>
        <v>-1.9453673101453932E-3</v>
      </c>
      <c r="Q2598" s="4">
        <f t="shared" si="164"/>
        <v>-3.1635725253172861E-3</v>
      </c>
      <c r="R2598" s="4">
        <f t="shared" si="164"/>
        <v>-2.7340494166320046E-3</v>
      </c>
      <c r="S2598" s="4">
        <f t="shared" si="164"/>
        <v>-3.8576251883945291E-3</v>
      </c>
      <c r="T2598" s="4">
        <f t="shared" si="164"/>
        <v>-2.2856070413124381E-3</v>
      </c>
      <c r="U2598" s="35"/>
      <c r="V2598" s="35"/>
      <c r="W2598" s="35"/>
      <c r="X2598" s="35"/>
    </row>
    <row r="2599" spans="4:24" x14ac:dyDescent="0.3">
      <c r="D2599" s="23">
        <v>43353</v>
      </c>
      <c r="E2599" s="5">
        <v>261.95837399999999</v>
      </c>
      <c r="F2599" s="28">
        <v>67.934619999999995</v>
      </c>
      <c r="G2599" s="28">
        <v>113.15</v>
      </c>
      <c r="H2599" s="28">
        <v>174.7878</v>
      </c>
      <c r="I2599" s="28">
        <v>135.28649999999999</v>
      </c>
      <c r="J2599" s="29"/>
      <c r="K2599" s="29"/>
      <c r="L2599" s="29"/>
      <c r="M2599" s="29"/>
      <c r="N2599" s="29"/>
      <c r="P2599" s="4">
        <f t="shared" si="164"/>
        <v>1.7369742336050431E-3</v>
      </c>
      <c r="Q2599" s="4">
        <f t="shared" si="164"/>
        <v>6.338983879551535E-4</v>
      </c>
      <c r="R2599" s="4">
        <f t="shared" si="164"/>
        <v>-7.0677624640179404E-4</v>
      </c>
      <c r="S2599" s="4">
        <f t="shared" si="164"/>
        <v>3.362861805319499E-3</v>
      </c>
      <c r="T2599" s="4">
        <f t="shared" si="164"/>
        <v>2.1518258487529811E-3</v>
      </c>
      <c r="U2599" s="35"/>
      <c r="V2599" s="35"/>
      <c r="W2599" s="35"/>
      <c r="X2599" s="35"/>
    </row>
    <row r="2600" spans="4:24" x14ac:dyDescent="0.3">
      <c r="D2600" s="23">
        <v>43354</v>
      </c>
      <c r="E2600" s="5">
        <v>262.82214399999998</v>
      </c>
      <c r="F2600" s="28">
        <v>67.788300000000007</v>
      </c>
      <c r="G2600" s="28">
        <v>113.22</v>
      </c>
      <c r="H2600" s="28">
        <v>176.1343</v>
      </c>
      <c r="I2600" s="28">
        <v>135.7407</v>
      </c>
      <c r="J2600" s="29"/>
      <c r="K2600" s="29"/>
      <c r="L2600" s="29"/>
      <c r="M2600" s="29"/>
      <c r="N2600" s="29"/>
      <c r="P2600" s="4">
        <f t="shared" si="164"/>
        <v>3.2919315805954889E-3</v>
      </c>
      <c r="Q2600" s="4">
        <f t="shared" si="164"/>
        <v>-2.1561583951630429E-3</v>
      </c>
      <c r="R2600" s="4">
        <f t="shared" si="164"/>
        <v>6.1845652896736088E-4</v>
      </c>
      <c r="S2600" s="4">
        <f t="shared" si="164"/>
        <v>7.6741054960910611E-3</v>
      </c>
      <c r="T2600" s="4">
        <f t="shared" si="164"/>
        <v>3.3516962519026727E-3</v>
      </c>
      <c r="U2600" s="35"/>
      <c r="V2600" s="35"/>
      <c r="W2600" s="35"/>
      <c r="X2600" s="35"/>
    </row>
    <row r="2601" spans="4:24" x14ac:dyDescent="0.3">
      <c r="D2601" s="23">
        <v>43355</v>
      </c>
      <c r="E2601" s="5">
        <v>262.88586400000003</v>
      </c>
      <c r="F2601" s="28">
        <v>67.839929999999995</v>
      </c>
      <c r="G2601" s="28">
        <v>114.17</v>
      </c>
      <c r="H2601" s="28">
        <v>175.61490000000001</v>
      </c>
      <c r="I2601" s="28">
        <v>135.74979999999999</v>
      </c>
      <c r="J2601" s="29"/>
      <c r="K2601" s="29"/>
      <c r="L2601" s="29"/>
      <c r="M2601" s="29"/>
      <c r="N2601" s="29"/>
      <c r="P2601" s="4">
        <f t="shared" si="164"/>
        <v>2.4241593942815517E-4</v>
      </c>
      <c r="Q2601" s="4">
        <f t="shared" si="164"/>
        <v>7.6134596011353606E-4</v>
      </c>
      <c r="R2601" s="4">
        <f t="shared" si="164"/>
        <v>8.3557370797219949E-3</v>
      </c>
      <c r="S2601" s="4">
        <f t="shared" si="164"/>
        <v>-2.9532426939517637E-3</v>
      </c>
      <c r="T2601" s="4">
        <f t="shared" si="164"/>
        <v>6.7037336506459581E-5</v>
      </c>
      <c r="U2601" s="35"/>
      <c r="V2601" s="35"/>
      <c r="W2601" s="35"/>
      <c r="X2601" s="35"/>
    </row>
    <row r="2602" spans="4:24" x14ac:dyDescent="0.3">
      <c r="D2602" s="23">
        <v>43356</v>
      </c>
      <c r="E2602" s="5">
        <v>264.44061299999998</v>
      </c>
      <c r="F2602" s="28">
        <v>67.882949999999994</v>
      </c>
      <c r="G2602" s="28">
        <v>113.76</v>
      </c>
      <c r="H2602" s="28">
        <v>177.4906</v>
      </c>
      <c r="I2602" s="28">
        <v>136.43119999999999</v>
      </c>
      <c r="J2602" s="29"/>
      <c r="K2602" s="29"/>
      <c r="L2602" s="29"/>
      <c r="M2602" s="29"/>
      <c r="N2602" s="29"/>
      <c r="P2602" s="4">
        <f t="shared" si="164"/>
        <v>5.8967397727768345E-3</v>
      </c>
      <c r="Q2602" s="4">
        <f t="shared" si="164"/>
        <v>6.3393882359023314E-4</v>
      </c>
      <c r="R2602" s="4">
        <f t="shared" si="164"/>
        <v>-3.5975996333050585E-3</v>
      </c>
      <c r="S2602" s="4">
        <f t="shared" si="164"/>
        <v>1.0624120229167481E-2</v>
      </c>
      <c r="T2602" s="4">
        <f t="shared" si="164"/>
        <v>5.0069727390584908E-3</v>
      </c>
      <c r="U2602" s="35"/>
      <c r="V2602" s="35"/>
      <c r="W2602" s="35"/>
      <c r="X2602" s="35"/>
    </row>
    <row r="2603" spans="4:24" x14ac:dyDescent="0.3">
      <c r="D2603" s="23">
        <v>43357</v>
      </c>
      <c r="E2603" s="5">
        <v>264.48611499999998</v>
      </c>
      <c r="F2603" s="28">
        <v>67.771119999999996</v>
      </c>
      <c r="G2603" s="28">
        <v>113.02</v>
      </c>
      <c r="H2603" s="28">
        <v>176.97120000000001</v>
      </c>
      <c r="I2603" s="28">
        <v>136.5403</v>
      </c>
      <c r="J2603" s="29"/>
      <c r="K2603" s="29"/>
      <c r="L2603" s="29"/>
      <c r="M2603" s="29"/>
      <c r="N2603" s="29"/>
      <c r="P2603" s="4">
        <f t="shared" si="164"/>
        <v>1.7205407744972205E-4</v>
      </c>
      <c r="Q2603" s="4">
        <f t="shared" si="164"/>
        <v>-1.6487529689760837E-3</v>
      </c>
      <c r="R2603" s="4">
        <f t="shared" si="164"/>
        <v>-6.5261718532335757E-3</v>
      </c>
      <c r="S2603" s="4">
        <f t="shared" si="164"/>
        <v>-2.9306422962697702E-3</v>
      </c>
      <c r="T2603" s="4">
        <f t="shared" si="164"/>
        <v>7.9935089054520376E-4</v>
      </c>
      <c r="U2603" s="35"/>
      <c r="V2603" s="35"/>
      <c r="W2603" s="35"/>
      <c r="X2603" s="35"/>
    </row>
    <row r="2604" spans="4:24" x14ac:dyDescent="0.3">
      <c r="D2604" s="23">
        <v>43360</v>
      </c>
      <c r="E2604" s="5">
        <v>263.085846</v>
      </c>
      <c r="F2604" s="28">
        <v>67.762519999999995</v>
      </c>
      <c r="G2604" s="28">
        <v>113.61</v>
      </c>
      <c r="H2604" s="28">
        <v>174.4222</v>
      </c>
      <c r="I2604" s="28">
        <v>135.6771</v>
      </c>
      <c r="J2604" s="29"/>
      <c r="K2604" s="29"/>
      <c r="L2604" s="29"/>
      <c r="M2604" s="29"/>
      <c r="N2604" s="29"/>
      <c r="P2604" s="4">
        <f t="shared" si="164"/>
        <v>-5.3083650825399139E-3</v>
      </c>
      <c r="Q2604" s="4">
        <f t="shared" si="164"/>
        <v>-1.2690576319712295E-4</v>
      </c>
      <c r="R2604" s="4">
        <f t="shared" si="164"/>
        <v>5.2067363801160029E-3</v>
      </c>
      <c r="S2604" s="4">
        <f t="shared" si="164"/>
        <v>-1.450821051868996E-2</v>
      </c>
      <c r="T2604" s="4">
        <f t="shared" si="164"/>
        <v>-6.3420111516476032E-3</v>
      </c>
      <c r="U2604" s="35"/>
      <c r="V2604" s="35"/>
      <c r="W2604" s="35"/>
      <c r="X2604" s="35"/>
    </row>
    <row r="2605" spans="4:24" x14ac:dyDescent="0.3">
      <c r="D2605" s="23">
        <v>43361</v>
      </c>
      <c r="E2605" s="5">
        <v>264.51342799999998</v>
      </c>
      <c r="F2605" s="28">
        <v>67.607619999999997</v>
      </c>
      <c r="G2605" s="28">
        <v>113.44</v>
      </c>
      <c r="H2605" s="28">
        <v>175.86500000000001</v>
      </c>
      <c r="I2605" s="28">
        <v>136.404</v>
      </c>
      <c r="J2605" s="29"/>
      <c r="K2605" s="29"/>
      <c r="L2605" s="29"/>
      <c r="M2605" s="29"/>
      <c r="N2605" s="29"/>
      <c r="P2605" s="4">
        <f t="shared" si="164"/>
        <v>5.4116279317641082E-3</v>
      </c>
      <c r="Q2605" s="4">
        <f t="shared" si="164"/>
        <v>-2.2885411451352517E-3</v>
      </c>
      <c r="R2605" s="4">
        <f t="shared" si="164"/>
        <v>-1.4974677979958267E-3</v>
      </c>
      <c r="S2605" s="4">
        <f t="shared" si="164"/>
        <v>8.2378583020015651E-3</v>
      </c>
      <c r="T2605" s="4">
        <f t="shared" si="164"/>
        <v>5.3432724981588853E-3</v>
      </c>
      <c r="U2605" s="35"/>
      <c r="V2605" s="35"/>
      <c r="W2605" s="35"/>
      <c r="X2605" s="35"/>
    </row>
    <row r="2606" spans="4:24" x14ac:dyDescent="0.3">
      <c r="D2606" s="23">
        <v>43362</v>
      </c>
      <c r="E2606" s="5">
        <v>264.79522700000001</v>
      </c>
      <c r="F2606" s="28">
        <v>67.504360000000005</v>
      </c>
      <c r="G2606" s="28">
        <v>113.88</v>
      </c>
      <c r="H2606" s="28">
        <v>175.7304</v>
      </c>
      <c r="I2606" s="28">
        <v>136.4222</v>
      </c>
      <c r="J2606" s="29"/>
      <c r="K2606" s="29"/>
      <c r="L2606" s="29"/>
      <c r="M2606" s="29"/>
      <c r="N2606" s="29"/>
      <c r="P2606" s="4">
        <f t="shared" si="164"/>
        <v>1.0647814803798322E-3</v>
      </c>
      <c r="Q2606" s="4">
        <f t="shared" si="164"/>
        <v>-1.5285102047091447E-3</v>
      </c>
      <c r="R2606" s="4">
        <f t="shared" si="164"/>
        <v>3.8711996260194876E-3</v>
      </c>
      <c r="S2606" s="4">
        <f t="shared" si="164"/>
        <v>-7.6565283035831501E-4</v>
      </c>
      <c r="T2606" s="4">
        <f t="shared" si="164"/>
        <v>1.334182716103244E-4</v>
      </c>
      <c r="U2606" s="35"/>
      <c r="V2606" s="35"/>
      <c r="W2606" s="35"/>
      <c r="X2606" s="35"/>
    </row>
    <row r="2607" spans="4:24" x14ac:dyDescent="0.3">
      <c r="D2607" s="23">
        <v>43363</v>
      </c>
      <c r="E2607" s="5">
        <v>266.94113199999998</v>
      </c>
      <c r="F2607" s="28">
        <v>67.590400000000002</v>
      </c>
      <c r="G2607" s="28">
        <v>114.27</v>
      </c>
      <c r="H2607" s="28">
        <v>177.67330000000001</v>
      </c>
      <c r="I2607" s="28">
        <v>137.4761</v>
      </c>
      <c r="J2607" s="29"/>
      <c r="K2607" s="29"/>
      <c r="L2607" s="29"/>
      <c r="M2607" s="29"/>
      <c r="N2607" s="29"/>
      <c r="P2607" s="4">
        <f t="shared" si="164"/>
        <v>8.0713557144131472E-3</v>
      </c>
      <c r="Q2607" s="4">
        <f t="shared" si="164"/>
        <v>1.2737727448985119E-3</v>
      </c>
      <c r="R2607" s="4">
        <f t="shared" si="164"/>
        <v>3.4188067487854611E-3</v>
      </c>
      <c r="S2607" s="4">
        <f t="shared" si="164"/>
        <v>1.0995468212302666E-2</v>
      </c>
      <c r="T2607" s="4">
        <f t="shared" si="164"/>
        <v>7.6955950524927744E-3</v>
      </c>
      <c r="U2607" s="35"/>
      <c r="V2607" s="35"/>
      <c r="W2607" s="35"/>
      <c r="X2607" s="35"/>
    </row>
    <row r="2608" spans="4:24" x14ac:dyDescent="0.3">
      <c r="D2608" s="23">
        <v>43364</v>
      </c>
      <c r="E2608" s="5">
        <v>266.697205</v>
      </c>
      <c r="F2608" s="28">
        <v>67.633439999999993</v>
      </c>
      <c r="G2608" s="28">
        <v>113.49</v>
      </c>
      <c r="H2608" s="28">
        <v>176.70189999999999</v>
      </c>
      <c r="I2608" s="28">
        <v>137.3398</v>
      </c>
      <c r="J2608" s="29"/>
      <c r="K2608" s="29"/>
      <c r="L2608" s="29"/>
      <c r="M2608" s="29"/>
      <c r="N2608" s="29"/>
      <c r="P2608" s="4">
        <f t="shared" si="164"/>
        <v>-9.1420349729807711E-4</v>
      </c>
      <c r="Q2608" s="4">
        <f t="shared" si="164"/>
        <v>6.365741640439607E-4</v>
      </c>
      <c r="R2608" s="4">
        <f t="shared" si="164"/>
        <v>-6.849341845574783E-3</v>
      </c>
      <c r="S2608" s="4">
        <f t="shared" si="164"/>
        <v>-5.4823386796538009E-3</v>
      </c>
      <c r="T2608" s="4">
        <f t="shared" si="164"/>
        <v>-9.919368651952476E-4</v>
      </c>
      <c r="U2608" s="35"/>
      <c r="V2608" s="35"/>
      <c r="W2608" s="35"/>
      <c r="X2608" s="35"/>
    </row>
    <row r="2609" spans="4:24" x14ac:dyDescent="0.3">
      <c r="D2609" s="23">
        <v>43367</v>
      </c>
      <c r="E2609" s="5">
        <v>265.81118800000002</v>
      </c>
      <c r="F2609" s="28">
        <v>67.547380000000004</v>
      </c>
      <c r="G2609" s="28">
        <v>113.47</v>
      </c>
      <c r="H2609" s="28">
        <v>177.19329999999999</v>
      </c>
      <c r="I2609" s="28">
        <v>136.84010000000001</v>
      </c>
      <c r="J2609" s="29"/>
      <c r="K2609" s="29"/>
      <c r="L2609" s="29"/>
      <c r="M2609" s="29"/>
      <c r="N2609" s="29"/>
      <c r="P2609" s="4">
        <f t="shared" si="164"/>
        <v>-3.3277140013913504E-3</v>
      </c>
      <c r="Q2609" s="4">
        <f t="shared" si="164"/>
        <v>-1.2732577243811714E-3</v>
      </c>
      <c r="R2609" s="4">
        <f t="shared" si="164"/>
        <v>-1.7624251014953265E-4</v>
      </c>
      <c r="S2609" s="4">
        <f t="shared" si="164"/>
        <v>2.7770951163898485E-3</v>
      </c>
      <c r="T2609" s="4">
        <f t="shared" si="164"/>
        <v>-3.6450560618711695E-3</v>
      </c>
      <c r="U2609" s="35"/>
      <c r="V2609" s="35"/>
      <c r="W2609" s="35"/>
      <c r="X2609" s="35"/>
    </row>
    <row r="2610" spans="4:24" x14ac:dyDescent="0.3">
      <c r="D2610" s="23">
        <v>43368</v>
      </c>
      <c r="E2610" s="5">
        <v>265.56457499999999</v>
      </c>
      <c r="F2610" s="28">
        <v>67.495739999999998</v>
      </c>
      <c r="G2610" s="28">
        <v>113.65</v>
      </c>
      <c r="H2610" s="28">
        <v>177.4342</v>
      </c>
      <c r="I2610" s="28">
        <v>136.76750000000001</v>
      </c>
      <c r="J2610" s="29"/>
      <c r="K2610" s="29"/>
      <c r="L2610" s="29"/>
      <c r="M2610" s="29"/>
      <c r="N2610" s="29"/>
      <c r="P2610" s="4">
        <f t="shared" si="164"/>
        <v>-9.2820574394975161E-4</v>
      </c>
      <c r="Q2610" s="4">
        <f t="shared" si="164"/>
        <v>-7.6479279384336098E-4</v>
      </c>
      <c r="R2610" s="4">
        <f t="shared" si="164"/>
        <v>1.5850654956542291E-3</v>
      </c>
      <c r="S2610" s="4">
        <f t="shared" si="164"/>
        <v>1.3586088899187106E-3</v>
      </c>
      <c r="T2610" s="4">
        <f t="shared" si="164"/>
        <v>-5.3068702553467492E-4</v>
      </c>
      <c r="U2610" s="35"/>
      <c r="V2610" s="35"/>
      <c r="W2610" s="35"/>
      <c r="X2610" s="35"/>
    </row>
    <row r="2611" spans="4:24" x14ac:dyDescent="0.3">
      <c r="D2611" s="23">
        <v>43369</v>
      </c>
      <c r="E2611" s="5">
        <v>264.77005000000003</v>
      </c>
      <c r="F2611" s="28">
        <v>67.667860000000005</v>
      </c>
      <c r="G2611" s="28">
        <v>113.05</v>
      </c>
      <c r="H2611" s="28">
        <v>177.55940000000001</v>
      </c>
      <c r="I2611" s="28">
        <v>136.24039999999999</v>
      </c>
      <c r="J2611" s="29"/>
      <c r="K2611" s="29"/>
      <c r="L2611" s="29"/>
      <c r="M2611" s="29"/>
      <c r="N2611" s="29"/>
      <c r="P2611" s="4">
        <f t="shared" si="164"/>
        <v>-2.9963180112247377E-3</v>
      </c>
      <c r="Q2611" s="4">
        <f t="shared" si="164"/>
        <v>2.546840910371901E-3</v>
      </c>
      <c r="R2611" s="4">
        <f t="shared" si="164"/>
        <v>-5.2933515745734894E-3</v>
      </c>
      <c r="S2611" s="4">
        <f t="shared" si="164"/>
        <v>7.0536485835805433E-4</v>
      </c>
      <c r="T2611" s="4">
        <f t="shared" si="164"/>
        <v>-3.8614315186505598E-3</v>
      </c>
      <c r="U2611" s="35"/>
      <c r="V2611" s="35"/>
      <c r="W2611" s="35"/>
      <c r="X2611" s="35"/>
    </row>
    <row r="2612" spans="4:24" x14ac:dyDescent="0.3">
      <c r="D2612" s="23">
        <v>43370</v>
      </c>
      <c r="E2612" s="5">
        <v>265.50982699999997</v>
      </c>
      <c r="F2612" s="28">
        <v>67.719480000000004</v>
      </c>
      <c r="G2612" s="28">
        <v>112.05</v>
      </c>
      <c r="H2612" s="28">
        <v>179.0626</v>
      </c>
      <c r="I2612" s="28">
        <v>136.55850000000001</v>
      </c>
      <c r="J2612" s="29"/>
      <c r="K2612" s="29"/>
      <c r="L2612" s="29"/>
      <c r="M2612" s="29"/>
      <c r="N2612" s="29"/>
      <c r="P2612" s="4">
        <f t="shared" si="164"/>
        <v>2.7901397432163995E-3</v>
      </c>
      <c r="Q2612" s="4">
        <f t="shared" si="164"/>
        <v>7.6255287239366458E-4</v>
      </c>
      <c r="R2612" s="4">
        <f t="shared" si="164"/>
        <v>-8.884998477042886E-3</v>
      </c>
      <c r="S2612" s="4">
        <f t="shared" si="164"/>
        <v>8.4302645524466993E-3</v>
      </c>
      <c r="T2612" s="4">
        <f t="shared" si="164"/>
        <v>2.3321218976566308E-3</v>
      </c>
      <c r="U2612" s="35"/>
      <c r="V2612" s="35"/>
      <c r="W2612" s="35"/>
      <c r="X2612" s="35"/>
    </row>
    <row r="2613" spans="4:24" x14ac:dyDescent="0.3">
      <c r="D2613" s="23">
        <v>43371</v>
      </c>
      <c r="E2613" s="5">
        <v>265.53732300000001</v>
      </c>
      <c r="F2613" s="28">
        <v>67.719480000000004</v>
      </c>
      <c r="G2613" s="28">
        <v>112.76</v>
      </c>
      <c r="H2613" s="28">
        <v>179.0241</v>
      </c>
      <c r="I2613" s="28">
        <v>136.61689999999999</v>
      </c>
      <c r="J2613" s="29"/>
      <c r="K2613" s="29"/>
      <c r="L2613" s="29"/>
      <c r="M2613" s="29"/>
      <c r="N2613" s="29"/>
      <c r="P2613" s="4">
        <f t="shared" ref="P2613:T2628" si="165">LN(E2613/E2612)</f>
        <v>1.0355389356528309E-4</v>
      </c>
      <c r="Q2613" s="4">
        <f t="shared" si="165"/>
        <v>0</v>
      </c>
      <c r="R2613" s="4">
        <f t="shared" si="165"/>
        <v>6.3164659989758598E-3</v>
      </c>
      <c r="S2613" s="4">
        <f t="shared" si="165"/>
        <v>-2.1503172359285924E-4</v>
      </c>
      <c r="T2613" s="4">
        <f t="shared" si="165"/>
        <v>4.2756412831951096E-4</v>
      </c>
      <c r="U2613" s="35"/>
      <c r="V2613" s="35"/>
      <c r="W2613" s="35"/>
      <c r="X2613" s="35"/>
    </row>
    <row r="2614" spans="4:24" x14ac:dyDescent="0.3">
      <c r="D2614" s="23">
        <v>43374</v>
      </c>
      <c r="E2614" s="5">
        <v>266.45977800000003</v>
      </c>
      <c r="F2614" s="28">
        <v>67.592709999999997</v>
      </c>
      <c r="G2614" s="28">
        <v>112.57</v>
      </c>
      <c r="H2614" s="28">
        <v>179.39019999999999</v>
      </c>
      <c r="I2614" s="28">
        <v>136.82679999999999</v>
      </c>
      <c r="J2614" s="29"/>
      <c r="K2614" s="29"/>
      <c r="L2614" s="29"/>
      <c r="M2614" s="29"/>
      <c r="N2614" s="29"/>
      <c r="P2614" s="4">
        <f t="shared" si="165"/>
        <v>3.4678983127691171E-3</v>
      </c>
      <c r="Q2614" s="4">
        <f t="shared" si="165"/>
        <v>-1.8737415614929363E-3</v>
      </c>
      <c r="R2614" s="4">
        <f t="shared" si="165"/>
        <v>-1.6864158791993222E-3</v>
      </c>
      <c r="S2614" s="4">
        <f t="shared" si="165"/>
        <v>2.0428879501916066E-3</v>
      </c>
      <c r="T2614" s="4">
        <f t="shared" si="165"/>
        <v>1.5352340626379932E-3</v>
      </c>
      <c r="U2614" s="35"/>
      <c r="V2614" s="35"/>
      <c r="W2614" s="35"/>
      <c r="X2614" s="35"/>
    </row>
    <row r="2615" spans="4:24" x14ac:dyDescent="0.3">
      <c r="D2615" s="23">
        <v>43375</v>
      </c>
      <c r="E2615" s="5">
        <v>266.30450400000001</v>
      </c>
      <c r="F2615" s="28">
        <v>67.713440000000006</v>
      </c>
      <c r="G2615" s="28">
        <v>113.87</v>
      </c>
      <c r="H2615" s="28">
        <v>178.9855</v>
      </c>
      <c r="I2615" s="28">
        <v>136.626</v>
      </c>
      <c r="J2615" s="29"/>
      <c r="K2615" s="29"/>
      <c r="L2615" s="29"/>
      <c r="M2615" s="29"/>
      <c r="N2615" s="29"/>
      <c r="P2615" s="4">
        <f t="shared" si="165"/>
        <v>-5.8289945344536308E-4</v>
      </c>
      <c r="Q2615" s="4">
        <f t="shared" si="165"/>
        <v>1.7845461132370061E-3</v>
      </c>
      <c r="R2615" s="4">
        <f t="shared" si="165"/>
        <v>1.1482196455801182E-2</v>
      </c>
      <c r="S2615" s="4">
        <f t="shared" si="165"/>
        <v>-2.2585246266918018E-3</v>
      </c>
      <c r="T2615" s="4">
        <f t="shared" si="165"/>
        <v>-1.4686266594565341E-3</v>
      </c>
      <c r="U2615" s="35"/>
      <c r="V2615" s="35"/>
      <c r="W2615" s="35"/>
      <c r="X2615" s="35"/>
    </row>
    <row r="2616" spans="4:24" x14ac:dyDescent="0.3">
      <c r="D2616" s="23">
        <v>43376</v>
      </c>
      <c r="E2616" s="5">
        <v>266.45059199999997</v>
      </c>
      <c r="F2616" s="28">
        <v>67.368430000000004</v>
      </c>
      <c r="G2616" s="28">
        <v>113.42</v>
      </c>
      <c r="H2616" s="28">
        <v>179.17830000000001</v>
      </c>
      <c r="I2616" s="28">
        <v>136.80860000000001</v>
      </c>
      <c r="J2616" s="29"/>
      <c r="K2616" s="29"/>
      <c r="L2616" s="29"/>
      <c r="M2616" s="29"/>
      <c r="N2616" s="29"/>
      <c r="P2616" s="4">
        <f t="shared" si="165"/>
        <v>5.4842461295403903E-4</v>
      </c>
      <c r="Q2616" s="4">
        <f t="shared" si="165"/>
        <v>-5.1081725505790557E-3</v>
      </c>
      <c r="R2616" s="4">
        <f t="shared" si="165"/>
        <v>-3.9597042366316809E-3</v>
      </c>
      <c r="S2616" s="4">
        <f t="shared" si="165"/>
        <v>1.0766024853569066E-3</v>
      </c>
      <c r="T2616" s="4">
        <f t="shared" si="165"/>
        <v>1.3356029349908701E-3</v>
      </c>
      <c r="U2616" s="35"/>
      <c r="V2616" s="35"/>
      <c r="W2616" s="35"/>
      <c r="X2616" s="35"/>
    </row>
    <row r="2617" spans="4:24" x14ac:dyDescent="0.3">
      <c r="D2617" s="23">
        <v>43377</v>
      </c>
      <c r="E2617" s="5">
        <v>264.368134</v>
      </c>
      <c r="F2617" s="28">
        <v>67.195999999999998</v>
      </c>
      <c r="G2617" s="28">
        <v>113.48</v>
      </c>
      <c r="H2617" s="28">
        <v>175.73820000000001</v>
      </c>
      <c r="I2617" s="28">
        <v>135.64920000000001</v>
      </c>
      <c r="J2617" s="29"/>
      <c r="K2617" s="29"/>
      <c r="L2617" s="29"/>
      <c r="M2617" s="29"/>
      <c r="N2617" s="29"/>
      <c r="P2617" s="4">
        <f t="shared" si="165"/>
        <v>-7.8462517678205765E-3</v>
      </c>
      <c r="Q2617" s="4">
        <f t="shared" si="165"/>
        <v>-2.5627886117458626E-3</v>
      </c>
      <c r="R2617" s="4">
        <f t="shared" si="165"/>
        <v>5.288673547686316E-4</v>
      </c>
      <c r="S2617" s="4">
        <f t="shared" si="165"/>
        <v>-1.9386011846697422E-2</v>
      </c>
      <c r="T2617" s="4">
        <f t="shared" si="165"/>
        <v>-8.5107271524324738E-3</v>
      </c>
      <c r="U2617" s="35"/>
      <c r="V2617" s="35"/>
      <c r="W2617" s="35"/>
      <c r="X2617" s="35"/>
    </row>
    <row r="2618" spans="4:24" x14ac:dyDescent="0.3">
      <c r="D2618" s="23">
        <v>43378</v>
      </c>
      <c r="E2618" s="5">
        <v>262.88845800000001</v>
      </c>
      <c r="F2618" s="28">
        <v>67.075199999999995</v>
      </c>
      <c r="G2618" s="28">
        <v>113.8</v>
      </c>
      <c r="H2618" s="28">
        <v>173.58949999999999</v>
      </c>
      <c r="I2618" s="28">
        <v>134.77279999999999</v>
      </c>
      <c r="J2618" s="29"/>
      <c r="K2618" s="29"/>
      <c r="L2618" s="29"/>
      <c r="M2618" s="29"/>
      <c r="N2618" s="29"/>
      <c r="P2618" s="4">
        <f t="shared" si="165"/>
        <v>-5.6127506302039954E-3</v>
      </c>
      <c r="Q2618" s="4">
        <f t="shared" si="165"/>
        <v>-1.7993439038636856E-3</v>
      </c>
      <c r="R2618" s="4">
        <f t="shared" si="165"/>
        <v>2.815911751579918E-3</v>
      </c>
      <c r="S2618" s="4">
        <f t="shared" si="165"/>
        <v>-1.2302071085633774E-2</v>
      </c>
      <c r="T2618" s="4">
        <f t="shared" si="165"/>
        <v>-6.4817438547718582E-3</v>
      </c>
      <c r="U2618" s="35"/>
      <c r="V2618" s="35"/>
      <c r="W2618" s="35"/>
      <c r="X2618" s="35"/>
    </row>
    <row r="2619" spans="4:24" x14ac:dyDescent="0.3">
      <c r="D2619" s="23">
        <v>43381</v>
      </c>
      <c r="E2619" s="5">
        <v>262.88845800000001</v>
      </c>
      <c r="F2619" s="28">
        <v>67.049319999999994</v>
      </c>
      <c r="G2619" s="28">
        <v>112.54</v>
      </c>
      <c r="H2619" s="28">
        <v>172.52950000000001</v>
      </c>
      <c r="I2619" s="28">
        <v>134.67240000000001</v>
      </c>
      <c r="J2619" s="29"/>
      <c r="K2619" s="29"/>
      <c r="L2619" s="29"/>
      <c r="M2619" s="29"/>
      <c r="N2619" s="29"/>
      <c r="P2619" s="4">
        <f t="shared" si="165"/>
        <v>0</v>
      </c>
      <c r="Q2619" s="4">
        <f t="shared" si="165"/>
        <v>-3.8591005315338094E-4</v>
      </c>
      <c r="R2619" s="4">
        <f t="shared" si="165"/>
        <v>-1.1133807687097555E-2</v>
      </c>
      <c r="S2619" s="4">
        <f t="shared" si="165"/>
        <v>-6.1250801832021711E-3</v>
      </c>
      <c r="T2619" s="4">
        <f t="shared" si="165"/>
        <v>-7.4523505816116785E-4</v>
      </c>
      <c r="U2619" s="35"/>
      <c r="V2619" s="35"/>
      <c r="W2619" s="35"/>
      <c r="X2619" s="35"/>
    </row>
    <row r="2620" spans="4:24" x14ac:dyDescent="0.3">
      <c r="D2620" s="23">
        <v>43382</v>
      </c>
      <c r="E2620" s="5">
        <v>262.50485200000003</v>
      </c>
      <c r="F2620" s="28">
        <v>67.178730000000002</v>
      </c>
      <c r="G2620" s="28">
        <v>112.6</v>
      </c>
      <c r="H2620" s="28">
        <v>173.08840000000001</v>
      </c>
      <c r="I2620" s="28">
        <v>134.435</v>
      </c>
      <c r="J2620" s="29"/>
      <c r="K2620" s="29"/>
      <c r="L2620" s="29"/>
      <c r="M2620" s="29"/>
      <c r="N2620" s="29"/>
      <c r="P2620" s="4">
        <f t="shared" si="165"/>
        <v>-1.4602624771362681E-3</v>
      </c>
      <c r="Q2620" s="4">
        <f t="shared" si="165"/>
        <v>1.928211578660944E-3</v>
      </c>
      <c r="R2620" s="4">
        <f t="shared" si="165"/>
        <v>5.3300170045706091E-4</v>
      </c>
      <c r="S2620" s="4">
        <f t="shared" si="165"/>
        <v>3.2342103066990758E-3</v>
      </c>
      <c r="T2620" s="4">
        <f t="shared" si="165"/>
        <v>-1.7643517910267601E-3</v>
      </c>
      <c r="U2620" s="35"/>
      <c r="V2620" s="35"/>
      <c r="W2620" s="35"/>
      <c r="X2620" s="35"/>
    </row>
    <row r="2621" spans="4:24" x14ac:dyDescent="0.3">
      <c r="D2621" s="23">
        <v>43383</v>
      </c>
      <c r="E2621" s="5">
        <v>254.19309999999999</v>
      </c>
      <c r="F2621" s="28">
        <v>67.12697</v>
      </c>
      <c r="G2621" s="28">
        <v>112.88</v>
      </c>
      <c r="H2621" s="28">
        <v>165.4761</v>
      </c>
      <c r="I2621" s="28">
        <v>130.15350000000001</v>
      </c>
      <c r="J2621" s="29"/>
      <c r="K2621" s="29"/>
      <c r="L2621" s="29"/>
      <c r="M2621" s="29"/>
      <c r="N2621" s="29"/>
      <c r="P2621" s="4">
        <f t="shared" si="165"/>
        <v>-3.2175351264546952E-2</v>
      </c>
      <c r="Q2621" s="4">
        <f t="shared" si="165"/>
        <v>-7.7077894032131329E-4</v>
      </c>
      <c r="R2621" s="4">
        <f t="shared" si="165"/>
        <v>2.4835918389685512E-3</v>
      </c>
      <c r="S2621" s="4">
        <f t="shared" si="165"/>
        <v>-4.4975673136825559E-2</v>
      </c>
      <c r="T2621" s="4">
        <f t="shared" si="165"/>
        <v>-3.2366287726554262E-2</v>
      </c>
      <c r="U2621" s="35"/>
      <c r="V2621" s="35"/>
      <c r="W2621" s="35"/>
      <c r="X2621" s="35"/>
    </row>
    <row r="2622" spans="4:24" x14ac:dyDescent="0.3">
      <c r="D2622" s="23">
        <v>43384</v>
      </c>
      <c r="E2622" s="5">
        <v>248.59414699999999</v>
      </c>
      <c r="F2622" s="28">
        <v>67.316689999999994</v>
      </c>
      <c r="G2622" s="28">
        <v>115.78</v>
      </c>
      <c r="H2622" s="28">
        <v>163.4237</v>
      </c>
      <c r="I2622" s="28">
        <v>127.37820000000001</v>
      </c>
      <c r="J2622" s="29"/>
      <c r="K2622" s="29"/>
      <c r="L2622" s="29"/>
      <c r="M2622" s="29"/>
      <c r="N2622" s="29"/>
      <c r="P2622" s="4">
        <f t="shared" si="165"/>
        <v>-2.2272579451916848E-2</v>
      </c>
      <c r="Q2622" s="4">
        <f t="shared" si="165"/>
        <v>2.8222993324122825E-3</v>
      </c>
      <c r="R2622" s="4">
        <f t="shared" si="165"/>
        <v>2.5366531106300039E-2</v>
      </c>
      <c r="S2622" s="4">
        <f t="shared" si="165"/>
        <v>-1.2480558764866074E-2</v>
      </c>
      <c r="T2622" s="4">
        <f t="shared" si="165"/>
        <v>-2.1553909230023541E-2</v>
      </c>
      <c r="U2622" s="35"/>
      <c r="V2622" s="35"/>
      <c r="W2622" s="35"/>
      <c r="X2622" s="35"/>
    </row>
    <row r="2623" spans="4:24" x14ac:dyDescent="0.3">
      <c r="D2623" s="23">
        <v>43385</v>
      </c>
      <c r="E2623" s="5">
        <v>252.04667699999999</v>
      </c>
      <c r="F2623" s="28">
        <v>67.299440000000004</v>
      </c>
      <c r="G2623" s="28">
        <v>115.23</v>
      </c>
      <c r="H2623" s="28">
        <v>167.9718</v>
      </c>
      <c r="I2623" s="28">
        <v>129.05799999999999</v>
      </c>
      <c r="J2623" s="29"/>
      <c r="K2623" s="29"/>
      <c r="L2623" s="29"/>
      <c r="M2623" s="29"/>
      <c r="N2623" s="29"/>
      <c r="P2623" s="4">
        <f t="shared" si="165"/>
        <v>1.3792661595731698E-2</v>
      </c>
      <c r="Q2623" s="4">
        <f t="shared" si="165"/>
        <v>-2.5628429660553377E-4</v>
      </c>
      <c r="R2623" s="4">
        <f t="shared" si="165"/>
        <v>-4.761707624935366E-3</v>
      </c>
      <c r="S2623" s="4">
        <f t="shared" si="165"/>
        <v>2.7449893422950691E-2</v>
      </c>
      <c r="T2623" s="4">
        <f t="shared" si="165"/>
        <v>1.3101301822799035E-2</v>
      </c>
      <c r="U2623" s="35"/>
      <c r="V2623" s="35"/>
      <c r="W2623" s="35"/>
      <c r="X2623" s="35"/>
    </row>
    <row r="2624" spans="4:24" x14ac:dyDescent="0.3">
      <c r="D2624" s="23">
        <v>43388</v>
      </c>
      <c r="E2624" s="5">
        <v>250.630875</v>
      </c>
      <c r="F2624" s="28">
        <v>67.282210000000006</v>
      </c>
      <c r="G2624" s="28">
        <v>116</v>
      </c>
      <c r="H2624" s="28">
        <v>165.93860000000001</v>
      </c>
      <c r="I2624" s="28">
        <v>128.4828</v>
      </c>
      <c r="J2624" s="29"/>
      <c r="K2624" s="29"/>
      <c r="L2624" s="29"/>
      <c r="M2624" s="29"/>
      <c r="N2624" s="29"/>
      <c r="P2624" s="4">
        <f t="shared" si="165"/>
        <v>-5.6330573670495265E-3</v>
      </c>
      <c r="Q2624" s="4">
        <f t="shared" si="165"/>
        <v>-2.5605273964370115E-4</v>
      </c>
      <c r="R2624" s="4">
        <f t="shared" si="165"/>
        <v>6.6600600804414987E-3</v>
      </c>
      <c r="S2624" s="4">
        <f t="shared" si="165"/>
        <v>-1.2178267754645386E-2</v>
      </c>
      <c r="T2624" s="4">
        <f t="shared" si="165"/>
        <v>-4.466872483203153E-3</v>
      </c>
      <c r="U2624" s="35"/>
      <c r="V2624" s="35"/>
      <c r="W2624" s="35"/>
      <c r="X2624" s="35"/>
    </row>
    <row r="2625" spans="4:24" x14ac:dyDescent="0.3">
      <c r="D2625" s="23">
        <v>43389</v>
      </c>
      <c r="E2625" s="5">
        <v>256.11114500000002</v>
      </c>
      <c r="F2625" s="28">
        <v>67.333939999999998</v>
      </c>
      <c r="G2625" s="28">
        <v>115.8</v>
      </c>
      <c r="H2625" s="28">
        <v>170.7662</v>
      </c>
      <c r="I2625" s="28">
        <v>131.31290000000001</v>
      </c>
      <c r="J2625" s="29"/>
      <c r="K2625" s="29"/>
      <c r="L2625" s="29"/>
      <c r="M2625" s="29"/>
      <c r="N2625" s="29"/>
      <c r="P2625" s="4">
        <f t="shared" si="165"/>
        <v>2.1630271232964886E-2</v>
      </c>
      <c r="Q2625" s="4">
        <f t="shared" si="165"/>
        <v>7.6855566804281017E-4</v>
      </c>
      <c r="R2625" s="4">
        <f t="shared" si="165"/>
        <v>-1.7256259674698364E-3</v>
      </c>
      <c r="S2625" s="4">
        <f t="shared" si="165"/>
        <v>2.8677529083377909E-2</v>
      </c>
      <c r="T2625" s="4">
        <f t="shared" si="165"/>
        <v>2.1787981532871432E-2</v>
      </c>
      <c r="U2625" s="35"/>
      <c r="V2625" s="35"/>
      <c r="W2625" s="35"/>
      <c r="X2625" s="35"/>
    </row>
    <row r="2626" spans="4:24" x14ac:dyDescent="0.3">
      <c r="D2626" s="23">
        <v>43390</v>
      </c>
      <c r="E2626" s="5">
        <v>256.15689099999997</v>
      </c>
      <c r="F2626" s="28">
        <v>67.213200000000001</v>
      </c>
      <c r="G2626" s="28">
        <v>115.79</v>
      </c>
      <c r="H2626" s="28">
        <v>170.83359999999999</v>
      </c>
      <c r="I2626" s="28">
        <v>131.2764</v>
      </c>
      <c r="J2626" s="29"/>
      <c r="K2626" s="29"/>
      <c r="L2626" s="29"/>
      <c r="M2626" s="29"/>
      <c r="N2626" s="29"/>
      <c r="P2626" s="4">
        <f t="shared" si="165"/>
        <v>1.7860181353000757E-4</v>
      </c>
      <c r="Q2626" s="4">
        <f t="shared" si="165"/>
        <v>-1.7947617825296203E-3</v>
      </c>
      <c r="R2626" s="4">
        <f t="shared" si="165"/>
        <v>-8.6359514713148301E-5</v>
      </c>
      <c r="S2626" s="4">
        <f t="shared" si="165"/>
        <v>3.9461381929742985E-4</v>
      </c>
      <c r="T2626" s="4">
        <f t="shared" si="165"/>
        <v>-2.7800066670722787E-4</v>
      </c>
      <c r="U2626" s="35"/>
      <c r="V2626" s="35"/>
      <c r="W2626" s="35"/>
      <c r="X2626" s="35"/>
    </row>
    <row r="2627" spans="4:24" x14ac:dyDescent="0.3">
      <c r="D2627" s="23">
        <v>43391</v>
      </c>
      <c r="E2627" s="5">
        <v>252.457626</v>
      </c>
      <c r="F2627" s="28">
        <v>67.170090000000002</v>
      </c>
      <c r="G2627" s="28">
        <v>115.92</v>
      </c>
      <c r="H2627" s="28">
        <v>166.8733</v>
      </c>
      <c r="I2627" s="28">
        <v>129.3775</v>
      </c>
      <c r="J2627" s="29"/>
      <c r="K2627" s="29"/>
      <c r="L2627" s="29"/>
      <c r="M2627" s="29"/>
      <c r="N2627" s="29"/>
      <c r="P2627" s="4">
        <f t="shared" si="165"/>
        <v>-1.4546695418446057E-2</v>
      </c>
      <c r="Q2627" s="4">
        <f t="shared" si="165"/>
        <v>-6.4159764921433761E-4</v>
      </c>
      <c r="R2627" s="4">
        <f t="shared" si="165"/>
        <v>1.1220923882451204E-3</v>
      </c>
      <c r="S2627" s="4">
        <f t="shared" si="165"/>
        <v>-2.3455141482139064E-2</v>
      </c>
      <c r="T2627" s="4">
        <f t="shared" si="165"/>
        <v>-1.4570536597932308E-2</v>
      </c>
      <c r="U2627" s="35"/>
      <c r="V2627" s="35"/>
      <c r="W2627" s="35"/>
      <c r="X2627" s="35"/>
    </row>
    <row r="2628" spans="4:24" x14ac:dyDescent="0.3">
      <c r="D2628" s="23">
        <v>43392</v>
      </c>
      <c r="E2628" s="5">
        <v>252.32072400000001</v>
      </c>
      <c r="F2628" s="28">
        <v>67.135540000000006</v>
      </c>
      <c r="G2628" s="28">
        <v>116.01</v>
      </c>
      <c r="H2628" s="28">
        <v>166.7191</v>
      </c>
      <c r="I2628" s="28">
        <v>129.03970000000001</v>
      </c>
      <c r="J2628" s="29"/>
      <c r="K2628" s="29"/>
      <c r="L2628" s="29"/>
      <c r="M2628" s="29"/>
      <c r="N2628" s="29"/>
      <c r="P2628" s="4">
        <f t="shared" si="165"/>
        <v>-5.4242422780866311E-4</v>
      </c>
      <c r="Q2628" s="4">
        <f t="shared" si="165"/>
        <v>-5.1449817497802551E-4</v>
      </c>
      <c r="R2628" s="4">
        <f t="shared" si="165"/>
        <v>7.7609627488845108E-4</v>
      </c>
      <c r="S2628" s="4">
        <f t="shared" si="165"/>
        <v>-9.2448155882727504E-4</v>
      </c>
      <c r="T2628" s="4">
        <f t="shared" si="165"/>
        <v>-2.6143785506887087E-3</v>
      </c>
      <c r="U2628" s="35"/>
      <c r="V2628" s="35"/>
      <c r="W2628" s="35"/>
      <c r="X2628" s="35"/>
    </row>
    <row r="2629" spans="4:24" x14ac:dyDescent="0.3">
      <c r="D2629" s="23">
        <v>43395</v>
      </c>
      <c r="E2629" s="5">
        <v>251.188019</v>
      </c>
      <c r="F2629" s="28">
        <v>67.109700000000004</v>
      </c>
      <c r="G2629" s="28">
        <v>115.71</v>
      </c>
      <c r="H2629" s="28">
        <v>167.57669999999999</v>
      </c>
      <c r="I2629" s="28">
        <v>128.52850000000001</v>
      </c>
      <c r="J2629" s="29"/>
      <c r="K2629" s="29"/>
      <c r="L2629" s="29"/>
      <c r="M2629" s="29"/>
      <c r="N2629" s="29"/>
      <c r="P2629" s="4">
        <f t="shared" ref="P2629:T2644" si="166">LN(E2629/E2628)</f>
        <v>-4.4992541899338415E-3</v>
      </c>
      <c r="Q2629" s="4">
        <f t="shared" si="166"/>
        <v>-3.8496709930461548E-4</v>
      </c>
      <c r="R2629" s="4">
        <f t="shared" si="166"/>
        <v>-2.5893333990693449E-3</v>
      </c>
      <c r="S2629" s="4">
        <f t="shared" si="166"/>
        <v>5.1307966260087838E-3</v>
      </c>
      <c r="T2629" s="4">
        <f t="shared" si="166"/>
        <v>-3.9694393269396723E-3</v>
      </c>
      <c r="U2629" s="35"/>
      <c r="V2629" s="35"/>
      <c r="W2629" s="35"/>
      <c r="X2629" s="35"/>
    </row>
    <row r="2630" spans="4:24" x14ac:dyDescent="0.3">
      <c r="D2630" s="23">
        <v>43396</v>
      </c>
      <c r="E2630" s="5">
        <v>249.90936300000001</v>
      </c>
      <c r="F2630" s="28">
        <v>67.204599999999999</v>
      </c>
      <c r="G2630" s="28">
        <v>116.39</v>
      </c>
      <c r="H2630" s="28">
        <v>166.96</v>
      </c>
      <c r="I2630" s="28">
        <v>127.77079999999999</v>
      </c>
      <c r="J2630" s="29"/>
      <c r="K2630" s="29"/>
      <c r="L2630" s="29"/>
      <c r="M2630" s="29"/>
      <c r="N2630" s="29"/>
      <c r="P2630" s="4">
        <f t="shared" si="166"/>
        <v>-5.1034342670721574E-3</v>
      </c>
      <c r="Q2630" s="4">
        <f t="shared" si="166"/>
        <v>1.4131036798292549E-3</v>
      </c>
      <c r="R2630" s="4">
        <f t="shared" si="166"/>
        <v>5.8595600656390226E-3</v>
      </c>
      <c r="S2630" s="4">
        <f t="shared" si="166"/>
        <v>-3.686894134942002E-3</v>
      </c>
      <c r="T2630" s="4">
        <f t="shared" si="166"/>
        <v>-5.9126357924879471E-3</v>
      </c>
      <c r="U2630" s="35"/>
      <c r="V2630" s="35"/>
      <c r="W2630" s="35"/>
      <c r="X2630" s="35"/>
    </row>
    <row r="2631" spans="4:24" x14ac:dyDescent="0.3">
      <c r="D2631" s="23">
        <v>43397</v>
      </c>
      <c r="E2631" s="5">
        <v>242.33749399999999</v>
      </c>
      <c r="F2631" s="28">
        <v>67.3857</v>
      </c>
      <c r="G2631" s="28">
        <v>116.66</v>
      </c>
      <c r="H2631" s="28">
        <v>159.31880000000001</v>
      </c>
      <c r="I2631" s="28">
        <v>123.7996</v>
      </c>
      <c r="J2631" s="29"/>
      <c r="K2631" s="29"/>
      <c r="L2631" s="29"/>
      <c r="M2631" s="29"/>
      <c r="N2631" s="29"/>
      <c r="P2631" s="4">
        <f t="shared" si="166"/>
        <v>-3.0766946219364964E-2</v>
      </c>
      <c r="Q2631" s="4">
        <f t="shared" si="166"/>
        <v>2.6911316684291877E-3</v>
      </c>
      <c r="R2631" s="4">
        <f t="shared" si="166"/>
        <v>2.317100371606557E-3</v>
      </c>
      <c r="S2631" s="4">
        <f t="shared" si="166"/>
        <v>-4.6847036494914472E-2</v>
      </c>
      <c r="T2631" s="4">
        <f t="shared" si="166"/>
        <v>-3.1573904606809679E-2</v>
      </c>
      <c r="U2631" s="35"/>
      <c r="V2631" s="35"/>
      <c r="W2631" s="35"/>
      <c r="X2631" s="35"/>
    </row>
    <row r="2632" spans="4:24" x14ac:dyDescent="0.3">
      <c r="D2632" s="23">
        <v>43398</v>
      </c>
      <c r="E2632" s="5">
        <v>246.68512000000001</v>
      </c>
      <c r="F2632" s="28">
        <v>67.308040000000005</v>
      </c>
      <c r="G2632" s="28">
        <v>116.4</v>
      </c>
      <c r="H2632" s="28">
        <v>164.8304</v>
      </c>
      <c r="I2632" s="28">
        <v>126.1276</v>
      </c>
      <c r="J2632" s="29"/>
      <c r="K2632" s="29"/>
      <c r="L2632" s="29"/>
      <c r="M2632" s="29"/>
      <c r="N2632" s="29"/>
      <c r="P2632" s="4">
        <f t="shared" si="166"/>
        <v>1.7781347636261043E-2</v>
      </c>
      <c r="Q2632" s="4">
        <f t="shared" si="166"/>
        <v>-1.1531346387069566E-3</v>
      </c>
      <c r="R2632" s="4">
        <f t="shared" si="166"/>
        <v>-2.231186028154049E-3</v>
      </c>
      <c r="S2632" s="4">
        <f t="shared" si="166"/>
        <v>3.4009840208993704E-2</v>
      </c>
      <c r="T2632" s="4">
        <f t="shared" si="166"/>
        <v>1.8629963703564536E-2</v>
      </c>
      <c r="U2632" s="35"/>
      <c r="V2632" s="35"/>
      <c r="W2632" s="35"/>
      <c r="X2632" s="35"/>
    </row>
    <row r="2633" spans="4:24" x14ac:dyDescent="0.3">
      <c r="D2633" s="23">
        <v>43399</v>
      </c>
      <c r="E2633" s="5">
        <v>242.34660299999999</v>
      </c>
      <c r="F2633" s="28">
        <v>67.428830000000005</v>
      </c>
      <c r="G2633" s="28">
        <v>116.77</v>
      </c>
      <c r="H2633" s="28">
        <v>160.5907</v>
      </c>
      <c r="I2633" s="28">
        <v>123.9457</v>
      </c>
      <c r="J2633" s="29"/>
      <c r="K2633" s="29"/>
      <c r="L2633" s="29"/>
      <c r="M2633" s="29"/>
      <c r="N2633" s="29"/>
      <c r="P2633" s="4">
        <f t="shared" si="166"/>
        <v>-1.7743760267261443E-2</v>
      </c>
      <c r="Q2633" s="4">
        <f t="shared" si="166"/>
        <v>1.7929766716310435E-3</v>
      </c>
      <c r="R2633" s="4">
        <f t="shared" si="166"/>
        <v>3.1736527902860652E-3</v>
      </c>
      <c r="S2633" s="4">
        <f t="shared" si="166"/>
        <v>-2.6058174492666505E-2</v>
      </c>
      <c r="T2633" s="4">
        <f t="shared" si="166"/>
        <v>-1.7450526459456824E-2</v>
      </c>
      <c r="U2633" s="35"/>
      <c r="V2633" s="35"/>
      <c r="W2633" s="35"/>
      <c r="X2633" s="35"/>
    </row>
    <row r="2634" spans="4:24" x14ac:dyDescent="0.3">
      <c r="D2634" s="23">
        <v>43402</v>
      </c>
      <c r="E2634" s="5">
        <v>241.003906</v>
      </c>
      <c r="F2634" s="28">
        <v>67.368430000000004</v>
      </c>
      <c r="G2634" s="28">
        <v>116.31</v>
      </c>
      <c r="H2634" s="28">
        <v>157.28559999999999</v>
      </c>
      <c r="I2634" s="28">
        <v>123.261</v>
      </c>
      <c r="J2634" s="29"/>
      <c r="K2634" s="29"/>
      <c r="L2634" s="29"/>
      <c r="M2634" s="29"/>
      <c r="N2634" s="29"/>
      <c r="P2634" s="4">
        <f t="shared" si="166"/>
        <v>-5.5558044472709123E-3</v>
      </c>
      <c r="Q2634" s="4">
        <f t="shared" si="166"/>
        <v>-8.9616070893864912E-4</v>
      </c>
      <c r="R2634" s="4">
        <f t="shared" si="166"/>
        <v>-3.9471477366760498E-3</v>
      </c>
      <c r="S2634" s="4">
        <f t="shared" si="166"/>
        <v>-2.0795630935426399E-2</v>
      </c>
      <c r="T2634" s="4">
        <f t="shared" si="166"/>
        <v>-5.5395080384119735E-3</v>
      </c>
      <c r="U2634" s="35"/>
      <c r="V2634" s="35"/>
      <c r="W2634" s="35"/>
      <c r="X2634" s="35"/>
    </row>
    <row r="2635" spans="4:24" x14ac:dyDescent="0.3">
      <c r="D2635" s="23">
        <v>43403</v>
      </c>
      <c r="E2635" s="5">
        <v>244.575211</v>
      </c>
      <c r="F2635" s="28">
        <v>67.273579999999995</v>
      </c>
      <c r="G2635" s="28">
        <v>115.8</v>
      </c>
      <c r="H2635" s="28">
        <v>159.8777</v>
      </c>
      <c r="I2635" s="28">
        <v>125.18729999999999</v>
      </c>
      <c r="J2635" s="29"/>
      <c r="K2635" s="29"/>
      <c r="L2635" s="29"/>
      <c r="M2635" s="29"/>
      <c r="N2635" s="29"/>
      <c r="P2635" s="4">
        <f t="shared" si="166"/>
        <v>1.4709732235972051E-2</v>
      </c>
      <c r="Q2635" s="4">
        <f t="shared" si="166"/>
        <v>-1.408921564528833E-3</v>
      </c>
      <c r="R2635" s="4">
        <f t="shared" si="166"/>
        <v>-4.3944752120526421E-3</v>
      </c>
      <c r="S2635" s="4">
        <f t="shared" si="166"/>
        <v>1.6345886895372537E-2</v>
      </c>
      <c r="T2635" s="4">
        <f t="shared" si="166"/>
        <v>1.5506957387965068E-2</v>
      </c>
      <c r="U2635" s="35"/>
      <c r="V2635" s="35"/>
      <c r="W2635" s="35"/>
      <c r="X2635" s="35"/>
    </row>
    <row r="2636" spans="4:24" x14ac:dyDescent="0.3">
      <c r="D2636" s="23">
        <v>43404</v>
      </c>
      <c r="E2636" s="5">
        <v>247.187546</v>
      </c>
      <c r="F2636" s="28">
        <v>67.135540000000006</v>
      </c>
      <c r="G2636" s="28">
        <v>115.15</v>
      </c>
      <c r="H2636" s="28">
        <v>163.63560000000001</v>
      </c>
      <c r="I2636" s="28">
        <v>126.4927</v>
      </c>
      <c r="J2636" s="29"/>
      <c r="K2636" s="29"/>
      <c r="L2636" s="29"/>
      <c r="M2636" s="29"/>
      <c r="N2636" s="29"/>
      <c r="P2636" s="4">
        <f t="shared" si="166"/>
        <v>1.062447099134102E-2</v>
      </c>
      <c r="Q2636" s="4">
        <f t="shared" si="166"/>
        <v>-2.0540280084105117E-3</v>
      </c>
      <c r="R2636" s="4">
        <f t="shared" si="166"/>
        <v>-5.6289388722005366E-3</v>
      </c>
      <c r="S2636" s="4">
        <f t="shared" si="166"/>
        <v>2.3232856458025676E-2</v>
      </c>
      <c r="T2636" s="4">
        <f t="shared" si="166"/>
        <v>1.0373583171384964E-2</v>
      </c>
      <c r="U2636" s="35"/>
      <c r="V2636" s="35"/>
      <c r="W2636" s="35"/>
      <c r="X2636" s="35"/>
    </row>
    <row r="2637" spans="4:24" x14ac:dyDescent="0.3">
      <c r="D2637" s="23">
        <v>43405</v>
      </c>
      <c r="E2637" s="5">
        <v>249.81805399999999</v>
      </c>
      <c r="F2637" s="28">
        <v>67.260090000000005</v>
      </c>
      <c r="G2637" s="28">
        <v>116.63</v>
      </c>
      <c r="H2637" s="28">
        <v>165.79409999999999</v>
      </c>
      <c r="I2637" s="28">
        <v>127.926</v>
      </c>
      <c r="J2637" s="29"/>
      <c r="K2637" s="29"/>
      <c r="L2637" s="29"/>
      <c r="M2637" s="29"/>
      <c r="N2637" s="29"/>
      <c r="P2637" s="4">
        <f t="shared" si="166"/>
        <v>1.0585524843397746E-2</v>
      </c>
      <c r="Q2637" s="4">
        <f t="shared" si="166"/>
        <v>1.8534834154441979E-3</v>
      </c>
      <c r="R2637" s="4">
        <f t="shared" si="166"/>
        <v>1.2770904436264245E-2</v>
      </c>
      <c r="S2637" s="4">
        <f t="shared" si="166"/>
        <v>1.3104652617482251E-2</v>
      </c>
      <c r="T2637" s="4">
        <f t="shared" si="166"/>
        <v>1.1267372748371633E-2</v>
      </c>
      <c r="U2637" s="35"/>
      <c r="V2637" s="35"/>
      <c r="W2637" s="35"/>
      <c r="X2637" s="35"/>
    </row>
    <row r="2638" spans="4:24" x14ac:dyDescent="0.3">
      <c r="D2638" s="23">
        <v>43406</v>
      </c>
      <c r="E2638" s="5">
        <v>248.338425</v>
      </c>
      <c r="F2638" s="28">
        <v>67.009339999999995</v>
      </c>
      <c r="G2638" s="28">
        <v>116.65</v>
      </c>
      <c r="H2638" s="28">
        <v>163.21170000000001</v>
      </c>
      <c r="I2638" s="28">
        <v>127.40560000000001</v>
      </c>
      <c r="J2638" s="29"/>
      <c r="K2638" s="29"/>
      <c r="L2638" s="29"/>
      <c r="M2638" s="29"/>
      <c r="N2638" s="29"/>
      <c r="P2638" s="4">
        <f t="shared" si="166"/>
        <v>-5.9404360419422868E-3</v>
      </c>
      <c r="Q2638" s="4">
        <f t="shared" si="166"/>
        <v>-3.7350317418711945E-3</v>
      </c>
      <c r="R2638" s="4">
        <f t="shared" si="166"/>
        <v>1.7146776448063677E-4</v>
      </c>
      <c r="S2638" s="4">
        <f t="shared" si="166"/>
        <v>-1.5698525889024612E-2</v>
      </c>
      <c r="T2638" s="4">
        <f t="shared" si="166"/>
        <v>-4.0762735249422772E-3</v>
      </c>
      <c r="U2638" s="35"/>
      <c r="V2638" s="35"/>
      <c r="W2638" s="35"/>
      <c r="X2638" s="35"/>
    </row>
    <row r="2639" spans="4:24" x14ac:dyDescent="0.3">
      <c r="D2639" s="23">
        <v>43409</v>
      </c>
      <c r="E2639" s="5">
        <v>249.70845</v>
      </c>
      <c r="F2639" s="28">
        <v>67.061199999999999</v>
      </c>
      <c r="G2639" s="28">
        <v>116.37</v>
      </c>
      <c r="H2639" s="28">
        <v>162.80699999999999</v>
      </c>
      <c r="I2639" s="28">
        <v>128.0264</v>
      </c>
      <c r="J2639" s="29"/>
      <c r="K2639" s="29"/>
      <c r="L2639" s="29"/>
      <c r="M2639" s="29"/>
      <c r="N2639" s="29"/>
      <c r="P2639" s="4">
        <f t="shared" si="166"/>
        <v>5.5016044649139687E-3</v>
      </c>
      <c r="Q2639" s="4">
        <f t="shared" si="166"/>
        <v>7.736226405366687E-4</v>
      </c>
      <c r="R2639" s="4">
        <f t="shared" si="166"/>
        <v>-2.4032283474534834E-3</v>
      </c>
      <c r="S2639" s="4">
        <f t="shared" si="166"/>
        <v>-2.4826809497181671E-3</v>
      </c>
      <c r="T2639" s="4">
        <f t="shared" si="166"/>
        <v>4.8607944370296016E-3</v>
      </c>
      <c r="U2639" s="35"/>
      <c r="V2639" s="35"/>
      <c r="W2639" s="35"/>
      <c r="X2639" s="35"/>
    </row>
    <row r="2640" spans="4:24" x14ac:dyDescent="0.3">
      <c r="D2640" s="23">
        <v>43410</v>
      </c>
      <c r="E2640" s="5">
        <v>251.288498</v>
      </c>
      <c r="F2640" s="28">
        <v>67.052570000000003</v>
      </c>
      <c r="G2640" s="28">
        <v>116.04</v>
      </c>
      <c r="H2640" s="28">
        <v>164.0403</v>
      </c>
      <c r="I2640" s="28">
        <v>128.7567</v>
      </c>
      <c r="J2640" s="29"/>
      <c r="K2640" s="29"/>
      <c r="L2640" s="29"/>
      <c r="M2640" s="29"/>
      <c r="N2640" s="29"/>
      <c r="P2640" s="4">
        <f t="shared" si="166"/>
        <v>6.307636184170122E-3</v>
      </c>
      <c r="Q2640" s="4">
        <f t="shared" si="166"/>
        <v>-1.2869670298447028E-4</v>
      </c>
      <c r="R2640" s="4">
        <f t="shared" si="166"/>
        <v>-2.8398108667821872E-3</v>
      </c>
      <c r="S2640" s="4">
        <f t="shared" si="166"/>
        <v>7.5466791573552206E-3</v>
      </c>
      <c r="T2640" s="4">
        <f t="shared" si="166"/>
        <v>5.6880843718136653E-3</v>
      </c>
      <c r="U2640" s="35"/>
      <c r="V2640" s="35"/>
      <c r="W2640" s="35"/>
      <c r="X2640" s="35"/>
    </row>
    <row r="2641" spans="4:24" x14ac:dyDescent="0.3">
      <c r="D2641" s="23">
        <v>43411</v>
      </c>
      <c r="E2641" s="5">
        <v>256.66836499999999</v>
      </c>
      <c r="F2641" s="28">
        <v>67.113110000000006</v>
      </c>
      <c r="G2641" s="28">
        <v>116.03</v>
      </c>
      <c r="H2641" s="28">
        <v>169.1859</v>
      </c>
      <c r="I2641" s="28">
        <v>131.38589999999999</v>
      </c>
      <c r="J2641" s="29"/>
      <c r="K2641" s="29"/>
      <c r="L2641" s="29"/>
      <c r="M2641" s="29"/>
      <c r="N2641" s="29"/>
      <c r="P2641" s="4">
        <f t="shared" si="166"/>
        <v>2.1183169534797725E-2</v>
      </c>
      <c r="Q2641" s="4">
        <f t="shared" si="166"/>
        <v>9.0246632535059422E-4</v>
      </c>
      <c r="R2641" s="4">
        <f t="shared" si="166"/>
        <v>-8.6180893749244594E-5</v>
      </c>
      <c r="S2641" s="4">
        <f t="shared" si="166"/>
        <v>3.0885981021949727E-2</v>
      </c>
      <c r="T2641" s="4">
        <f t="shared" si="166"/>
        <v>2.0214217331919349E-2</v>
      </c>
      <c r="U2641" s="35"/>
      <c r="V2641" s="35"/>
      <c r="W2641" s="35"/>
      <c r="X2641" s="35"/>
    </row>
    <row r="2642" spans="4:24" x14ac:dyDescent="0.3">
      <c r="D2642" s="23">
        <v>43412</v>
      </c>
      <c r="E2642" s="5">
        <v>256.20254499999999</v>
      </c>
      <c r="F2642" s="28">
        <v>67.000699999999995</v>
      </c>
      <c r="G2642" s="28">
        <v>115.78</v>
      </c>
      <c r="H2642" s="28">
        <v>168.10669999999999</v>
      </c>
      <c r="I2642" s="28">
        <v>131.1302</v>
      </c>
      <c r="J2642" s="29"/>
      <c r="K2642" s="29"/>
      <c r="L2642" s="29"/>
      <c r="M2642" s="29"/>
      <c r="N2642" s="29"/>
      <c r="P2642" s="4">
        <f t="shared" si="166"/>
        <v>-1.8165199819604014E-3</v>
      </c>
      <c r="Q2642" s="4">
        <f t="shared" si="166"/>
        <v>-1.6763378256676792E-3</v>
      </c>
      <c r="R2642" s="4">
        <f t="shared" si="166"/>
        <v>-2.1569397085954632E-3</v>
      </c>
      <c r="S2642" s="4">
        <f t="shared" si="166"/>
        <v>-6.3992135182422711E-3</v>
      </c>
      <c r="T2642" s="4">
        <f t="shared" si="166"/>
        <v>-1.9480716105773949E-3</v>
      </c>
      <c r="U2642" s="35"/>
      <c r="V2642" s="35"/>
      <c r="W2642" s="35"/>
      <c r="X2642" s="35"/>
    </row>
    <row r="2643" spans="4:24" x14ac:dyDescent="0.3">
      <c r="D2643" s="23">
        <v>43413</v>
      </c>
      <c r="E2643" s="5">
        <v>253.69992099999999</v>
      </c>
      <c r="F2643" s="28">
        <v>67.164990000000003</v>
      </c>
      <c r="G2643" s="28">
        <v>114.48</v>
      </c>
      <c r="H2643" s="28">
        <v>165.27369999999999</v>
      </c>
      <c r="I2643" s="28">
        <v>129.78829999999999</v>
      </c>
      <c r="J2643" s="29"/>
      <c r="K2643" s="29"/>
      <c r="L2643" s="29"/>
      <c r="M2643" s="29"/>
      <c r="N2643" s="29"/>
      <c r="P2643" s="4">
        <f t="shared" si="166"/>
        <v>-9.8161678451044142E-3</v>
      </c>
      <c r="Q2643" s="4">
        <f t="shared" si="166"/>
        <v>2.4490625303137761E-3</v>
      </c>
      <c r="R2643" s="4">
        <f t="shared" si="166"/>
        <v>-1.1291703402663111E-2</v>
      </c>
      <c r="S2643" s="4">
        <f t="shared" si="166"/>
        <v>-1.6996009337839849E-2</v>
      </c>
      <c r="T2643" s="4">
        <f t="shared" si="166"/>
        <v>-1.0286061213795153E-2</v>
      </c>
      <c r="U2643" s="35"/>
      <c r="V2643" s="35"/>
      <c r="W2643" s="35"/>
      <c r="X2643" s="35"/>
    </row>
    <row r="2644" spans="4:24" x14ac:dyDescent="0.3">
      <c r="D2644" s="23">
        <v>43416</v>
      </c>
      <c r="E2644" s="5">
        <v>248.95945699999999</v>
      </c>
      <c r="F2644" s="28">
        <v>67.268730000000005</v>
      </c>
      <c r="G2644" s="28">
        <v>113.66</v>
      </c>
      <c r="H2644" s="28">
        <v>160.27269999999999</v>
      </c>
      <c r="I2644" s="28">
        <v>127.2961</v>
      </c>
      <c r="J2644" s="29"/>
      <c r="K2644" s="29"/>
      <c r="L2644" s="29"/>
      <c r="M2644" s="29"/>
      <c r="N2644" s="29"/>
      <c r="P2644" s="4">
        <f t="shared" si="166"/>
        <v>-1.8862095299397103E-2</v>
      </c>
      <c r="Q2644" s="4">
        <f t="shared" si="166"/>
        <v>1.5433630876558347E-3</v>
      </c>
      <c r="R2644" s="4">
        <f t="shared" si="166"/>
        <v>-7.1885993792201522E-3</v>
      </c>
      <c r="S2644" s="4">
        <f t="shared" si="166"/>
        <v>-3.0726148075299588E-2</v>
      </c>
      <c r="T2644" s="4">
        <f t="shared" si="166"/>
        <v>-1.9388792730533698E-2</v>
      </c>
      <c r="U2644" s="35"/>
      <c r="V2644" s="35"/>
      <c r="W2644" s="35"/>
      <c r="X2644" s="35"/>
    </row>
    <row r="2645" spans="4:24" x14ac:dyDescent="0.3">
      <c r="D2645" s="23">
        <v>43417</v>
      </c>
      <c r="E2645" s="5">
        <v>248.49366800000001</v>
      </c>
      <c r="F2645" s="28">
        <v>67.234170000000006</v>
      </c>
      <c r="G2645" s="28">
        <v>113.7</v>
      </c>
      <c r="H2645" s="28">
        <v>160.40770000000001</v>
      </c>
      <c r="I2645" s="28">
        <v>127.1135</v>
      </c>
      <c r="J2645" s="29"/>
      <c r="K2645" s="29"/>
      <c r="L2645" s="29"/>
      <c r="M2645" s="29"/>
      <c r="N2645" s="29"/>
      <c r="P2645" s="4">
        <f t="shared" ref="P2645:T2660" si="167">LN(E2645/E2644)</f>
        <v>-1.8726955876550303E-3</v>
      </c>
      <c r="Q2645" s="4">
        <f t="shared" si="167"/>
        <v>-5.138922768291494E-4</v>
      </c>
      <c r="R2645" s="4">
        <f t="shared" si="167"/>
        <v>3.5186488751495998E-4</v>
      </c>
      <c r="S2645" s="4">
        <f t="shared" si="167"/>
        <v>8.4195983274995404E-4</v>
      </c>
      <c r="T2645" s="4">
        <f t="shared" si="167"/>
        <v>-1.4354806686188329E-3</v>
      </c>
      <c r="U2645" s="35"/>
      <c r="V2645" s="35"/>
      <c r="W2645" s="35"/>
      <c r="X2645" s="35"/>
    </row>
    <row r="2646" spans="4:24" x14ac:dyDescent="0.3">
      <c r="D2646" s="23">
        <v>43418</v>
      </c>
      <c r="E2646" s="5">
        <v>246.794769</v>
      </c>
      <c r="F2646" s="28">
        <v>67.285979999999995</v>
      </c>
      <c r="G2646" s="28">
        <v>114.64</v>
      </c>
      <c r="H2646" s="28">
        <v>159.18389999999999</v>
      </c>
      <c r="I2646" s="28">
        <v>126.1823</v>
      </c>
      <c r="J2646" s="29"/>
      <c r="K2646" s="29"/>
      <c r="L2646" s="29"/>
      <c r="M2646" s="29"/>
      <c r="N2646" s="29"/>
      <c r="P2646" s="4">
        <f t="shared" si="167"/>
        <v>-6.8602678199570126E-3</v>
      </c>
      <c r="Q2646" s="4">
        <f t="shared" si="167"/>
        <v>7.7029355916989498E-4</v>
      </c>
      <c r="R2646" s="4">
        <f t="shared" si="167"/>
        <v>8.2333827634259726E-3</v>
      </c>
      <c r="S2646" s="4">
        <f t="shared" si="167"/>
        <v>-7.6585616247757966E-3</v>
      </c>
      <c r="T2646" s="4">
        <f t="shared" si="167"/>
        <v>-7.3527014283249932E-3</v>
      </c>
      <c r="U2646" s="35"/>
      <c r="V2646" s="35"/>
      <c r="W2646" s="35"/>
      <c r="X2646" s="35"/>
    </row>
    <row r="2647" spans="4:24" x14ac:dyDescent="0.3">
      <c r="D2647" s="23">
        <v>43419</v>
      </c>
      <c r="E2647" s="5">
        <v>249.37048300000001</v>
      </c>
      <c r="F2647" s="28">
        <v>67.29468</v>
      </c>
      <c r="G2647" s="28">
        <v>114.77</v>
      </c>
      <c r="H2647" s="28">
        <v>161.96870000000001</v>
      </c>
      <c r="I2647" s="28">
        <v>127.60639999999999</v>
      </c>
      <c r="J2647" s="29"/>
      <c r="K2647" s="29"/>
      <c r="L2647" s="29"/>
      <c r="M2647" s="29"/>
      <c r="N2647" s="29"/>
      <c r="P2647" s="4">
        <f t="shared" si="167"/>
        <v>1.0382577690101053E-2</v>
      </c>
      <c r="Q2647" s="4">
        <f t="shared" si="167"/>
        <v>1.2929049407424335E-4</v>
      </c>
      <c r="R2647" s="4">
        <f t="shared" si="167"/>
        <v>1.1333421726605153E-3</v>
      </c>
      <c r="S2647" s="4">
        <f t="shared" si="167"/>
        <v>1.7342969045441258E-2</v>
      </c>
      <c r="T2647" s="4">
        <f t="shared" si="167"/>
        <v>1.1222839687801141E-2</v>
      </c>
      <c r="U2647" s="35"/>
      <c r="V2647" s="35"/>
      <c r="W2647" s="35"/>
      <c r="X2647" s="35"/>
    </row>
    <row r="2648" spans="4:24" x14ac:dyDescent="0.3">
      <c r="D2648" s="23">
        <v>43420</v>
      </c>
      <c r="E2648" s="5">
        <v>250.018936</v>
      </c>
      <c r="F2648" s="28">
        <v>67.441640000000007</v>
      </c>
      <c r="G2648" s="28">
        <v>115.62</v>
      </c>
      <c r="H2648" s="28">
        <v>161.40010000000001</v>
      </c>
      <c r="I2648" s="28">
        <v>127.88030000000001</v>
      </c>
      <c r="J2648" s="29"/>
      <c r="K2648" s="29"/>
      <c r="L2648" s="29"/>
      <c r="M2648" s="29"/>
      <c r="N2648" s="29"/>
      <c r="P2648" s="4">
        <f t="shared" si="167"/>
        <v>2.5969847969420034E-3</v>
      </c>
      <c r="Q2648" s="4">
        <f t="shared" si="167"/>
        <v>2.1814468181755482E-3</v>
      </c>
      <c r="R2648" s="4">
        <f t="shared" si="167"/>
        <v>7.3788259617531913E-3</v>
      </c>
      <c r="S2648" s="4">
        <f t="shared" si="167"/>
        <v>-3.5167312740652244E-3</v>
      </c>
      <c r="T2648" s="4">
        <f t="shared" si="167"/>
        <v>2.1441437455223021E-3</v>
      </c>
      <c r="U2648" s="35"/>
      <c r="V2648" s="35"/>
      <c r="W2648" s="35"/>
      <c r="X2648" s="35"/>
    </row>
    <row r="2649" spans="4:24" x14ac:dyDescent="0.3">
      <c r="D2649" s="23">
        <v>43423</v>
      </c>
      <c r="E2649" s="5">
        <v>245.79006999999999</v>
      </c>
      <c r="F2649" s="28">
        <v>67.441640000000007</v>
      </c>
      <c r="G2649" s="28">
        <v>115.67</v>
      </c>
      <c r="H2649" s="28">
        <v>156.1583</v>
      </c>
      <c r="I2649" s="28">
        <v>125.66200000000001</v>
      </c>
      <c r="J2649" s="29"/>
      <c r="K2649" s="29"/>
      <c r="L2649" s="29"/>
      <c r="M2649" s="29"/>
      <c r="N2649" s="29"/>
      <c r="P2649" s="4">
        <f t="shared" si="167"/>
        <v>-1.7058861376058044E-2</v>
      </c>
      <c r="Q2649" s="4">
        <f t="shared" si="167"/>
        <v>0</v>
      </c>
      <c r="R2649" s="4">
        <f t="shared" si="167"/>
        <v>4.3235765298020785E-4</v>
      </c>
      <c r="S2649" s="4">
        <f t="shared" si="167"/>
        <v>-3.3016139079308393E-2</v>
      </c>
      <c r="T2649" s="4">
        <f t="shared" si="167"/>
        <v>-1.749890732636146E-2</v>
      </c>
      <c r="U2649" s="35"/>
      <c r="V2649" s="35"/>
      <c r="W2649" s="35"/>
      <c r="X2649" s="35"/>
    </row>
    <row r="2650" spans="4:24" x14ac:dyDescent="0.3">
      <c r="D2650" s="23">
        <v>43424</v>
      </c>
      <c r="E2650" s="5">
        <v>241.241409</v>
      </c>
      <c r="F2650" s="28">
        <v>67.398430000000005</v>
      </c>
      <c r="G2650" s="28">
        <v>115.67</v>
      </c>
      <c r="H2650" s="28">
        <v>153.3638</v>
      </c>
      <c r="I2650" s="28">
        <v>123.42529999999999</v>
      </c>
      <c r="J2650" s="29"/>
      <c r="K2650" s="29"/>
      <c r="L2650" s="29"/>
      <c r="M2650" s="29"/>
      <c r="N2650" s="29"/>
      <c r="P2650" s="4">
        <f t="shared" si="167"/>
        <v>-1.8679668395419478E-2</v>
      </c>
      <c r="Q2650" s="4">
        <f t="shared" si="167"/>
        <v>-6.4090743173140228E-4</v>
      </c>
      <c r="R2650" s="4">
        <f t="shared" si="167"/>
        <v>0</v>
      </c>
      <c r="S2650" s="4">
        <f t="shared" si="167"/>
        <v>-1.8057359605196454E-2</v>
      </c>
      <c r="T2650" s="4">
        <f t="shared" si="167"/>
        <v>-1.7959648043996329E-2</v>
      </c>
      <c r="U2650" s="35"/>
      <c r="V2650" s="35"/>
      <c r="W2650" s="35"/>
      <c r="X2650" s="35"/>
    </row>
    <row r="2651" spans="4:24" x14ac:dyDescent="0.3">
      <c r="D2651" s="23">
        <v>43425</v>
      </c>
      <c r="E2651" s="5">
        <v>242.06343100000001</v>
      </c>
      <c r="F2651" s="28">
        <v>67.467579999999998</v>
      </c>
      <c r="G2651" s="28">
        <v>115.86</v>
      </c>
      <c r="H2651" s="28">
        <v>154.52979999999999</v>
      </c>
      <c r="I2651" s="28">
        <v>124.0278</v>
      </c>
      <c r="J2651" s="29"/>
      <c r="K2651" s="29"/>
      <c r="L2651" s="29"/>
      <c r="M2651" s="29"/>
      <c r="N2651" s="29"/>
      <c r="P2651" s="4">
        <f t="shared" si="167"/>
        <v>3.4016741593611245E-3</v>
      </c>
      <c r="Q2651" s="4">
        <f t="shared" si="167"/>
        <v>1.0254623245646278E-3</v>
      </c>
      <c r="R2651" s="4">
        <f t="shared" si="167"/>
        <v>1.6412563611679207E-3</v>
      </c>
      <c r="S2651" s="4">
        <f t="shared" si="167"/>
        <v>7.5740812678559751E-3</v>
      </c>
      <c r="T2651" s="4">
        <f t="shared" si="167"/>
        <v>4.8696192579471458E-3</v>
      </c>
      <c r="U2651" s="35"/>
      <c r="V2651" s="35"/>
      <c r="W2651" s="35"/>
      <c r="X2651" s="35"/>
    </row>
    <row r="2652" spans="4:24" x14ac:dyDescent="0.3">
      <c r="D2652" s="23">
        <v>43427</v>
      </c>
      <c r="E2652" s="5">
        <v>240.446732</v>
      </c>
      <c r="F2652" s="28">
        <v>67.458950000000002</v>
      </c>
      <c r="G2652" s="28">
        <v>115.77</v>
      </c>
      <c r="H2652" s="28">
        <v>153.41200000000001</v>
      </c>
      <c r="I2652" s="28">
        <v>123.3614</v>
      </c>
      <c r="J2652" s="29"/>
      <c r="K2652" s="29"/>
      <c r="L2652" s="29"/>
      <c r="M2652" s="29"/>
      <c r="N2652" s="29"/>
      <c r="P2652" s="4">
        <f t="shared" si="167"/>
        <v>-6.7012269335855884E-3</v>
      </c>
      <c r="Q2652" s="4">
        <f t="shared" si="167"/>
        <v>-1.2792146973267046E-4</v>
      </c>
      <c r="R2652" s="4">
        <f t="shared" si="167"/>
        <v>-7.7710145084097489E-4</v>
      </c>
      <c r="S2652" s="4">
        <f t="shared" si="167"/>
        <v>-7.2598452662115858E-3</v>
      </c>
      <c r="T2652" s="4">
        <f t="shared" si="167"/>
        <v>-5.3874753776491334E-3</v>
      </c>
      <c r="U2652" s="35"/>
      <c r="V2652" s="35"/>
      <c r="W2652" s="35"/>
      <c r="X2652" s="35"/>
    </row>
    <row r="2653" spans="4:24" x14ac:dyDescent="0.3">
      <c r="D2653" s="23">
        <v>43430</v>
      </c>
      <c r="E2653" s="5">
        <v>244.32867400000001</v>
      </c>
      <c r="F2653" s="28">
        <v>67.407070000000004</v>
      </c>
      <c r="G2653" s="28">
        <v>115.64</v>
      </c>
      <c r="H2653" s="28">
        <v>156.958</v>
      </c>
      <c r="I2653" s="28">
        <v>125.2786</v>
      </c>
      <c r="J2653" s="29"/>
      <c r="K2653" s="29"/>
      <c r="L2653" s="29"/>
      <c r="M2653" s="29"/>
      <c r="N2653" s="29"/>
      <c r="P2653" s="4">
        <f t="shared" si="167"/>
        <v>1.6015767011522162E-2</v>
      </c>
      <c r="Q2653" s="4">
        <f t="shared" si="167"/>
        <v>-7.693561737643831E-4</v>
      </c>
      <c r="R2653" s="4">
        <f t="shared" si="167"/>
        <v>-1.1235470694917757E-3</v>
      </c>
      <c r="S2653" s="4">
        <f t="shared" si="167"/>
        <v>2.2851140904490939E-2</v>
      </c>
      <c r="T2653" s="4">
        <f t="shared" si="167"/>
        <v>1.5421798563824123E-2</v>
      </c>
      <c r="U2653" s="35"/>
      <c r="V2653" s="35"/>
      <c r="W2653" s="35"/>
      <c r="X2653" s="35"/>
    </row>
    <row r="2654" spans="4:24" x14ac:dyDescent="0.3">
      <c r="D2654" s="23">
        <v>43431</v>
      </c>
      <c r="E2654" s="5">
        <v>245.150711</v>
      </c>
      <c r="F2654" s="28">
        <v>67.450280000000006</v>
      </c>
      <c r="G2654" s="28">
        <v>114.95</v>
      </c>
      <c r="H2654" s="28">
        <v>157.488</v>
      </c>
      <c r="I2654" s="28">
        <v>125.4337</v>
      </c>
      <c r="J2654" s="29"/>
      <c r="K2654" s="29"/>
      <c r="L2654" s="29"/>
      <c r="M2654" s="29"/>
      <c r="N2654" s="29"/>
      <c r="P2654" s="4">
        <f t="shared" si="167"/>
        <v>3.3588248985457515E-3</v>
      </c>
      <c r="Q2654" s="4">
        <f t="shared" si="167"/>
        <v>6.408253087978918E-4</v>
      </c>
      <c r="R2654" s="4">
        <f t="shared" si="167"/>
        <v>-5.9846659389547795E-3</v>
      </c>
      <c r="S2654" s="4">
        <f t="shared" si="167"/>
        <v>3.3710112508818012E-3</v>
      </c>
      <c r="T2654" s="4">
        <f t="shared" si="167"/>
        <v>1.2372749146030704E-3</v>
      </c>
      <c r="U2654" s="35"/>
      <c r="V2654" s="35"/>
      <c r="W2654" s="35"/>
      <c r="X2654" s="35"/>
    </row>
    <row r="2655" spans="4:24" x14ac:dyDescent="0.3">
      <c r="D2655" s="23">
        <v>43432</v>
      </c>
      <c r="E2655" s="5">
        <v>250.79530299999999</v>
      </c>
      <c r="F2655" s="28">
        <v>67.484899999999996</v>
      </c>
      <c r="G2655" s="28">
        <v>115.38</v>
      </c>
      <c r="H2655" s="28">
        <v>162.5564</v>
      </c>
      <c r="I2655" s="28">
        <v>128.35509999999999</v>
      </c>
      <c r="J2655" s="29"/>
      <c r="K2655" s="29"/>
      <c r="L2655" s="29"/>
      <c r="M2655" s="29"/>
      <c r="N2655" s="29"/>
      <c r="P2655" s="4">
        <f t="shared" si="167"/>
        <v>2.2763912155037421E-2</v>
      </c>
      <c r="Q2655" s="4">
        <f t="shared" si="167"/>
        <v>5.1313528109762723E-4</v>
      </c>
      <c r="R2655" s="4">
        <f t="shared" si="167"/>
        <v>3.733777619552662E-3</v>
      </c>
      <c r="S2655" s="4">
        <f t="shared" si="167"/>
        <v>3.1675753588751347E-2</v>
      </c>
      <c r="T2655" s="4">
        <f t="shared" si="167"/>
        <v>2.3023309500484705E-2</v>
      </c>
      <c r="U2655" s="35"/>
      <c r="V2655" s="35"/>
      <c r="W2655" s="35"/>
      <c r="X2655" s="35"/>
    </row>
    <row r="2656" spans="4:24" x14ac:dyDescent="0.3">
      <c r="D2656" s="23">
        <v>43433</v>
      </c>
      <c r="E2656" s="5">
        <v>250.24735999999999</v>
      </c>
      <c r="F2656" s="28">
        <v>67.536739999999995</v>
      </c>
      <c r="G2656" s="28">
        <v>115.74</v>
      </c>
      <c r="H2656" s="28">
        <v>162.0265</v>
      </c>
      <c r="I2656" s="28">
        <v>128.11770000000001</v>
      </c>
      <c r="J2656" s="29"/>
      <c r="K2656" s="29"/>
      <c r="L2656" s="29"/>
      <c r="M2656" s="29"/>
      <c r="N2656" s="29"/>
      <c r="P2656" s="4">
        <f t="shared" si="167"/>
        <v>-2.1872118240830788E-3</v>
      </c>
      <c r="Q2656" s="4">
        <f t="shared" si="167"/>
        <v>7.6787694990546962E-4</v>
      </c>
      <c r="R2656" s="4">
        <f t="shared" si="167"/>
        <v>3.1152673169492786E-3</v>
      </c>
      <c r="S2656" s="4">
        <f t="shared" si="167"/>
        <v>-3.2651163740988606E-3</v>
      </c>
      <c r="T2656" s="4">
        <f t="shared" si="167"/>
        <v>-1.8512689673240918E-3</v>
      </c>
      <c r="U2656" s="35"/>
      <c r="V2656" s="35"/>
      <c r="W2656" s="35"/>
      <c r="X2656" s="35"/>
    </row>
    <row r="2657" spans="4:24" x14ac:dyDescent="0.3">
      <c r="D2657" s="23">
        <v>43434</v>
      </c>
      <c r="E2657" s="5">
        <v>251.77267499999999</v>
      </c>
      <c r="F2657" s="28">
        <v>67.562700000000007</v>
      </c>
      <c r="G2657" s="28">
        <v>115.54</v>
      </c>
      <c r="H2657" s="28">
        <v>163.2021</v>
      </c>
      <c r="I2657" s="28">
        <v>129.03970000000001</v>
      </c>
      <c r="J2657" s="29"/>
      <c r="K2657" s="29"/>
      <c r="L2657" s="29"/>
      <c r="M2657" s="29"/>
      <c r="N2657" s="29"/>
      <c r="P2657" s="4">
        <f t="shared" si="167"/>
        <v>6.0767283669281909E-3</v>
      </c>
      <c r="Q2657" s="4">
        <f t="shared" si="167"/>
        <v>3.8430951778226411E-4</v>
      </c>
      <c r="R2657" s="4">
        <f t="shared" si="167"/>
        <v>-1.7295057925731292E-3</v>
      </c>
      <c r="S2657" s="4">
        <f t="shared" si="167"/>
        <v>7.2294079927700972E-3</v>
      </c>
      <c r="T2657" s="4">
        <f t="shared" si="167"/>
        <v>7.1707362939976323E-3</v>
      </c>
      <c r="U2657" s="35"/>
      <c r="V2657" s="35"/>
      <c r="W2657" s="35"/>
      <c r="X2657" s="35"/>
    </row>
    <row r="2658" spans="4:24" x14ac:dyDescent="0.3">
      <c r="D2658" s="23">
        <v>43437</v>
      </c>
      <c r="E2658" s="5">
        <v>255.10640000000001</v>
      </c>
      <c r="F2658" s="28">
        <v>67.668459999999996</v>
      </c>
      <c r="G2658" s="28">
        <v>116.41</v>
      </c>
      <c r="H2658" s="28">
        <v>166.05420000000001</v>
      </c>
      <c r="I2658" s="28">
        <v>130.54599999999999</v>
      </c>
      <c r="J2658" s="29"/>
      <c r="K2658" s="29"/>
      <c r="L2658" s="29"/>
      <c r="M2658" s="29"/>
      <c r="N2658" s="29"/>
      <c r="P2658" s="4">
        <f t="shared" si="167"/>
        <v>1.3154115977705064E-2</v>
      </c>
      <c r="Q2658" s="4">
        <f t="shared" si="167"/>
        <v>1.5641368684854546E-3</v>
      </c>
      <c r="R2658" s="4">
        <f t="shared" si="167"/>
        <v>7.5016519070300065E-3</v>
      </c>
      <c r="S2658" s="4">
        <f t="shared" si="167"/>
        <v>1.7324930994869495E-2</v>
      </c>
      <c r="T2658" s="4">
        <f t="shared" si="167"/>
        <v>1.160554612030789E-2</v>
      </c>
      <c r="U2658" s="35"/>
      <c r="V2658" s="35"/>
      <c r="W2658" s="35"/>
      <c r="X2658" s="35"/>
    </row>
    <row r="2659" spans="4:24" x14ac:dyDescent="0.3">
      <c r="D2659" s="23">
        <v>43438</v>
      </c>
      <c r="E2659" s="5">
        <v>246.84045399999999</v>
      </c>
      <c r="F2659" s="28">
        <v>67.833160000000007</v>
      </c>
      <c r="G2659" s="28">
        <v>117.12</v>
      </c>
      <c r="H2659" s="28">
        <v>159.685</v>
      </c>
      <c r="I2659" s="28">
        <v>126.28270000000001</v>
      </c>
      <c r="J2659" s="29"/>
      <c r="K2659" s="29"/>
      <c r="L2659" s="29"/>
      <c r="M2659" s="29"/>
      <c r="N2659" s="29"/>
      <c r="P2659" s="4">
        <f t="shared" si="167"/>
        <v>-3.293852033449704E-2</v>
      </c>
      <c r="Q2659" s="4">
        <f t="shared" si="167"/>
        <v>2.4309684431723945E-3</v>
      </c>
      <c r="R2659" s="4">
        <f t="shared" si="167"/>
        <v>6.0806079528519588E-3</v>
      </c>
      <c r="S2659" s="4">
        <f t="shared" si="167"/>
        <v>-3.9111116390973165E-2</v>
      </c>
      <c r="T2659" s="4">
        <f t="shared" si="167"/>
        <v>-3.3202610554864675E-2</v>
      </c>
      <c r="U2659" s="35"/>
      <c r="V2659" s="35"/>
      <c r="W2659" s="35"/>
      <c r="X2659" s="35"/>
    </row>
    <row r="2660" spans="4:24" x14ac:dyDescent="0.3">
      <c r="D2660" s="23">
        <v>43440</v>
      </c>
      <c r="E2660" s="5">
        <v>246.46589700000001</v>
      </c>
      <c r="F2660" s="28">
        <v>67.954490000000007</v>
      </c>
      <c r="G2660" s="28">
        <v>117.14</v>
      </c>
      <c r="H2660" s="28">
        <v>160.81229999999999</v>
      </c>
      <c r="I2660" s="28">
        <v>126.1276</v>
      </c>
      <c r="J2660" s="29"/>
      <c r="K2660" s="29"/>
      <c r="L2660" s="29"/>
      <c r="M2660" s="29"/>
      <c r="N2660" s="29"/>
      <c r="P2660" s="4">
        <f t="shared" si="167"/>
        <v>-1.5185576719967593E-3</v>
      </c>
      <c r="Q2660" s="4">
        <f t="shared" si="167"/>
        <v>1.7870554839063938E-3</v>
      </c>
      <c r="R2660" s="4">
        <f t="shared" si="167"/>
        <v>1.7075044863476858E-4</v>
      </c>
      <c r="S2660" s="4">
        <f t="shared" si="167"/>
        <v>7.0347216586000936E-3</v>
      </c>
      <c r="T2660" s="4">
        <f t="shared" si="167"/>
        <v>-1.2289515881159739E-3</v>
      </c>
      <c r="U2660" s="35"/>
      <c r="V2660" s="35"/>
      <c r="W2660" s="35"/>
      <c r="X2660" s="35"/>
    </row>
    <row r="2661" spans="4:24" x14ac:dyDescent="0.3">
      <c r="D2661" s="23">
        <v>43441</v>
      </c>
      <c r="E2661" s="5">
        <v>240.739105</v>
      </c>
      <c r="F2661" s="28">
        <v>68.093190000000007</v>
      </c>
      <c r="G2661" s="28">
        <v>118.09</v>
      </c>
      <c r="H2661" s="28">
        <v>155.50299999999999</v>
      </c>
      <c r="I2661" s="28">
        <v>123.1515</v>
      </c>
      <c r="J2661" s="29"/>
      <c r="K2661" s="29"/>
      <c r="L2661" s="29"/>
      <c r="M2661" s="29"/>
      <c r="N2661" s="29"/>
      <c r="P2661" s="4">
        <f t="shared" ref="P2661:T2676" si="168">LN(E2661/E2660)</f>
        <v>-2.3509839786342551E-2</v>
      </c>
      <c r="Q2661" s="4">
        <f t="shared" si="168"/>
        <v>2.0389917425071282E-3</v>
      </c>
      <c r="R2661" s="4">
        <f t="shared" si="168"/>
        <v>8.0772449515541019E-3</v>
      </c>
      <c r="S2661" s="4">
        <f t="shared" si="168"/>
        <v>-3.3572822319084039E-2</v>
      </c>
      <c r="T2661" s="4">
        <f t="shared" si="168"/>
        <v>-2.3878788170735864E-2</v>
      </c>
      <c r="U2661" s="35"/>
      <c r="V2661" s="35"/>
      <c r="W2661" s="35"/>
      <c r="X2661" s="35"/>
    </row>
    <row r="2662" spans="4:24" x14ac:dyDescent="0.3">
      <c r="D2662" s="23">
        <v>43444</v>
      </c>
      <c r="E2662" s="5">
        <v>241.19572400000001</v>
      </c>
      <c r="F2662" s="28">
        <v>68.162520000000001</v>
      </c>
      <c r="G2662" s="28">
        <v>117.68</v>
      </c>
      <c r="H2662" s="28">
        <v>157.13149999999999</v>
      </c>
      <c r="I2662" s="28">
        <v>123.2884</v>
      </c>
      <c r="J2662" s="29"/>
      <c r="K2662" s="29"/>
      <c r="L2662" s="29"/>
      <c r="M2662" s="29"/>
      <c r="N2662" s="29"/>
      <c r="P2662" s="4">
        <f t="shared" si="168"/>
        <v>1.8949414284217944E-3</v>
      </c>
      <c r="Q2662" s="4">
        <f t="shared" si="168"/>
        <v>1.0176455134713988E-3</v>
      </c>
      <c r="R2662" s="4">
        <f t="shared" si="168"/>
        <v>-3.4779693200081151E-3</v>
      </c>
      <c r="S2662" s="4">
        <f t="shared" si="168"/>
        <v>1.0418010354385925E-2</v>
      </c>
      <c r="T2662" s="4">
        <f t="shared" si="168"/>
        <v>1.1110215032719346E-3</v>
      </c>
      <c r="U2662" s="35"/>
      <c r="V2662" s="35"/>
      <c r="W2662" s="35"/>
      <c r="X2662" s="35"/>
    </row>
    <row r="2663" spans="4:24" x14ac:dyDescent="0.3">
      <c r="D2663" s="23">
        <v>43445</v>
      </c>
      <c r="E2663" s="5">
        <v>241.250519</v>
      </c>
      <c r="F2663" s="28">
        <v>68.171210000000002</v>
      </c>
      <c r="G2663" s="28">
        <v>117.54</v>
      </c>
      <c r="H2663" s="28">
        <v>157.65180000000001</v>
      </c>
      <c r="I2663" s="28">
        <v>123.261</v>
      </c>
      <c r="J2663" s="29"/>
      <c r="K2663" s="29"/>
      <c r="L2663" s="29"/>
      <c r="M2663" s="29"/>
      <c r="N2663" s="29"/>
      <c r="P2663" s="4">
        <f t="shared" si="168"/>
        <v>2.2715484276496356E-4</v>
      </c>
      <c r="Q2663" s="4">
        <f t="shared" si="168"/>
        <v>1.2748129185297417E-4</v>
      </c>
      <c r="R2663" s="4">
        <f t="shared" si="168"/>
        <v>-1.1903751086777443E-3</v>
      </c>
      <c r="S2663" s="4">
        <f t="shared" si="168"/>
        <v>3.3057692312430157E-3</v>
      </c>
      <c r="T2663" s="4">
        <f t="shared" si="168"/>
        <v>-2.2226783040479815E-4</v>
      </c>
      <c r="U2663" s="35"/>
      <c r="V2663" s="35"/>
      <c r="W2663" s="35"/>
      <c r="X2663" s="35"/>
    </row>
    <row r="2664" spans="4:24" x14ac:dyDescent="0.3">
      <c r="D2664" s="23">
        <v>43446</v>
      </c>
      <c r="E2664" s="5">
        <v>242.46528599999999</v>
      </c>
      <c r="F2664" s="28">
        <v>68.101849999999999</v>
      </c>
      <c r="G2664" s="28">
        <v>117.79</v>
      </c>
      <c r="H2664" s="28">
        <v>159.0394</v>
      </c>
      <c r="I2664" s="28">
        <v>123.964</v>
      </c>
      <c r="J2664" s="29"/>
      <c r="K2664" s="29"/>
      <c r="L2664" s="29"/>
      <c r="M2664" s="29"/>
      <c r="N2664" s="29"/>
      <c r="P2664" s="4">
        <f t="shared" si="168"/>
        <v>5.0226581029430284E-3</v>
      </c>
      <c r="Q2664" s="4">
        <f t="shared" si="168"/>
        <v>-1.0179562415262924E-3</v>
      </c>
      <c r="R2664" s="4">
        <f t="shared" si="168"/>
        <v>2.1246767861888179E-3</v>
      </c>
      <c r="S2664" s="4">
        <f t="shared" si="168"/>
        <v>8.7631666420131364E-3</v>
      </c>
      <c r="T2664" s="4">
        <f t="shared" si="168"/>
        <v>5.6871424394317558E-3</v>
      </c>
      <c r="U2664" s="35"/>
      <c r="V2664" s="35"/>
      <c r="W2664" s="35"/>
      <c r="X2664" s="35"/>
    </row>
    <row r="2665" spans="4:24" x14ac:dyDescent="0.3">
      <c r="D2665" s="23">
        <v>43447</v>
      </c>
      <c r="E2665" s="5">
        <v>242.38314800000001</v>
      </c>
      <c r="F2665" s="28">
        <v>68.153890000000004</v>
      </c>
      <c r="G2665" s="28">
        <v>117.53</v>
      </c>
      <c r="H2665" s="28">
        <v>159.08760000000001</v>
      </c>
      <c r="I2665" s="28">
        <v>123.6627</v>
      </c>
      <c r="J2665" s="29"/>
      <c r="K2665" s="29"/>
      <c r="L2665" s="29"/>
      <c r="M2665" s="29"/>
      <c r="N2665" s="29"/>
      <c r="P2665" s="4">
        <f t="shared" si="168"/>
        <v>-3.3881928877490728E-4</v>
      </c>
      <c r="Q2665" s="4">
        <f t="shared" si="168"/>
        <v>7.6385776526338809E-4</v>
      </c>
      <c r="R2665" s="4">
        <f t="shared" si="168"/>
        <v>-2.209757825930362E-3</v>
      </c>
      <c r="S2665" s="4">
        <f t="shared" si="168"/>
        <v>3.0302363753372473E-4</v>
      </c>
      <c r="T2665" s="4">
        <f t="shared" si="168"/>
        <v>-2.4335029194343101E-3</v>
      </c>
      <c r="U2665" s="35"/>
      <c r="V2665" s="35"/>
      <c r="W2665" s="35"/>
      <c r="X2665" s="35"/>
    </row>
    <row r="2666" spans="4:24" x14ac:dyDescent="0.3">
      <c r="D2666" s="23">
        <v>43448</v>
      </c>
      <c r="E2666" s="5">
        <v>237.907623</v>
      </c>
      <c r="F2666" s="28">
        <v>68.214519999999993</v>
      </c>
      <c r="G2666" s="28">
        <v>117.06</v>
      </c>
      <c r="H2666" s="28">
        <v>155.2139</v>
      </c>
      <c r="I2666" s="28">
        <v>121.5265</v>
      </c>
      <c r="J2666" s="29"/>
      <c r="K2666" s="29"/>
      <c r="L2666" s="29"/>
      <c r="M2666" s="29"/>
      <c r="N2666" s="29"/>
      <c r="P2666" s="4">
        <f t="shared" si="168"/>
        <v>-1.8637270655578405E-2</v>
      </c>
      <c r="Q2666" s="4">
        <f t="shared" si="168"/>
        <v>8.8920893035213664E-4</v>
      </c>
      <c r="R2666" s="4">
        <f t="shared" si="168"/>
        <v>-4.0069962816879296E-3</v>
      </c>
      <c r="S2666" s="4">
        <f t="shared" si="168"/>
        <v>-2.4650828308501363E-2</v>
      </c>
      <c r="T2666" s="4">
        <f t="shared" si="168"/>
        <v>-1.7425351958583416E-2</v>
      </c>
      <c r="U2666" s="35"/>
      <c r="V2666" s="35"/>
      <c r="W2666" s="35"/>
      <c r="X2666" s="35"/>
    </row>
    <row r="2667" spans="4:24" x14ac:dyDescent="0.3">
      <c r="D2667" s="23">
        <v>43451</v>
      </c>
      <c r="E2667" s="5">
        <v>233.240219</v>
      </c>
      <c r="F2667" s="28">
        <v>68.344539999999995</v>
      </c>
      <c r="G2667" s="28">
        <v>117.87</v>
      </c>
      <c r="H2667" s="28">
        <v>151.6969</v>
      </c>
      <c r="I2667" s="28">
        <v>118.93380000000001</v>
      </c>
      <c r="J2667" s="29"/>
      <c r="K2667" s="29"/>
      <c r="L2667" s="29"/>
      <c r="M2667" s="29"/>
      <c r="N2667" s="29"/>
      <c r="P2667" s="4">
        <f t="shared" si="168"/>
        <v>-1.981355437018582E-2</v>
      </c>
      <c r="Q2667" s="4">
        <f t="shared" si="168"/>
        <v>1.9042316092212626E-3</v>
      </c>
      <c r="R2667" s="4">
        <f t="shared" si="168"/>
        <v>6.8956983754032801E-3</v>
      </c>
      <c r="S2667" s="4">
        <f t="shared" si="168"/>
        <v>-2.2919714517892813E-2</v>
      </c>
      <c r="T2667" s="4">
        <f t="shared" si="168"/>
        <v>-2.1565310197752117E-2</v>
      </c>
      <c r="U2667" s="35"/>
      <c r="V2667" s="35"/>
      <c r="W2667" s="35"/>
      <c r="X2667" s="35"/>
    </row>
    <row r="2668" spans="4:24" x14ac:dyDescent="0.3">
      <c r="D2668" s="23">
        <v>43452</v>
      </c>
      <c r="E2668" s="5">
        <v>232.984467</v>
      </c>
      <c r="F2668" s="28">
        <v>68.448530000000005</v>
      </c>
      <c r="G2668" s="28">
        <v>118.15</v>
      </c>
      <c r="H2668" s="28">
        <v>152.6508</v>
      </c>
      <c r="I2668" s="28">
        <v>118.8973</v>
      </c>
      <c r="J2668" s="29"/>
      <c r="K2668" s="29"/>
      <c r="L2668" s="29"/>
      <c r="M2668" s="29"/>
      <c r="N2668" s="29"/>
      <c r="P2668" s="4">
        <f t="shared" si="168"/>
        <v>-1.0971191930983844E-3</v>
      </c>
      <c r="Q2668" s="4">
        <f t="shared" si="168"/>
        <v>1.5203989505032192E-3</v>
      </c>
      <c r="R2668" s="4">
        <f t="shared" si="168"/>
        <v>2.3726813944387483E-3</v>
      </c>
      <c r="S2668" s="4">
        <f t="shared" si="168"/>
        <v>6.2685088374884327E-3</v>
      </c>
      <c r="T2668" s="4">
        <f t="shared" si="168"/>
        <v>-3.0694051607692101E-4</v>
      </c>
      <c r="U2668" s="35"/>
      <c r="V2668" s="35"/>
      <c r="W2668" s="35"/>
      <c r="X2668" s="35"/>
    </row>
    <row r="2669" spans="4:24" x14ac:dyDescent="0.3">
      <c r="D2669" s="23">
        <v>43453</v>
      </c>
      <c r="E2669" s="5">
        <v>229.49534600000001</v>
      </c>
      <c r="F2669" s="28">
        <v>68.569879999999998</v>
      </c>
      <c r="G2669" s="28">
        <v>117.43</v>
      </c>
      <c r="H2669" s="28">
        <v>148.9025</v>
      </c>
      <c r="I2669" s="28">
        <v>117.0715</v>
      </c>
      <c r="J2669" s="29"/>
      <c r="K2669" s="29"/>
      <c r="L2669" s="29"/>
      <c r="M2669" s="29"/>
      <c r="N2669" s="29"/>
      <c r="P2669" s="4">
        <f t="shared" si="168"/>
        <v>-1.508903567954497E-2</v>
      </c>
      <c r="Q2669" s="4">
        <f t="shared" si="168"/>
        <v>1.7712952840107671E-3</v>
      </c>
      <c r="R2669" s="4">
        <f t="shared" si="168"/>
        <v>-6.1125922559270704E-3</v>
      </c>
      <c r="S2669" s="4">
        <f t="shared" si="168"/>
        <v>-2.4861230573137733E-2</v>
      </c>
      <c r="T2669" s="4">
        <f t="shared" si="168"/>
        <v>-1.547523602427409E-2</v>
      </c>
      <c r="U2669" s="35"/>
      <c r="V2669" s="35"/>
      <c r="W2669" s="35"/>
      <c r="X2669" s="35"/>
    </row>
    <row r="2670" spans="4:24" x14ac:dyDescent="0.3">
      <c r="D2670" s="23">
        <v>43454</v>
      </c>
      <c r="E2670" s="5">
        <v>225.75968900000001</v>
      </c>
      <c r="F2670" s="28">
        <v>68.474540000000005</v>
      </c>
      <c r="G2670" s="28">
        <v>119.24</v>
      </c>
      <c r="H2670" s="28">
        <v>146.744</v>
      </c>
      <c r="I2670" s="28">
        <v>115.1818</v>
      </c>
      <c r="J2670" s="29"/>
      <c r="K2670" s="29"/>
      <c r="L2670" s="29"/>
      <c r="M2670" s="29"/>
      <c r="N2670" s="29"/>
      <c r="P2670" s="4">
        <f t="shared" si="168"/>
        <v>-1.6411639893423383E-2</v>
      </c>
      <c r="Q2670" s="4">
        <f t="shared" si="168"/>
        <v>-1.3913739119168398E-3</v>
      </c>
      <c r="R2670" s="4">
        <f t="shared" si="168"/>
        <v>1.5295857432880861E-2</v>
      </c>
      <c r="S2670" s="4">
        <f t="shared" si="168"/>
        <v>-1.4602157328773279E-2</v>
      </c>
      <c r="T2670" s="4">
        <f t="shared" si="168"/>
        <v>-1.6273109586952335E-2</v>
      </c>
      <c r="U2670" s="35"/>
      <c r="V2670" s="35"/>
      <c r="W2670" s="35"/>
      <c r="X2670" s="35"/>
    </row>
    <row r="2671" spans="4:24" x14ac:dyDescent="0.3">
      <c r="D2671" s="23">
        <v>43455</v>
      </c>
      <c r="E2671" s="5">
        <v>221.13394199999999</v>
      </c>
      <c r="F2671" s="28">
        <v>68.474540000000005</v>
      </c>
      <c r="G2671" s="28">
        <v>118.72</v>
      </c>
      <c r="H2671" s="28">
        <v>142.196</v>
      </c>
      <c r="I2671" s="28">
        <v>112.73520000000001</v>
      </c>
      <c r="J2671" s="29"/>
      <c r="K2671" s="29"/>
      <c r="L2671" s="29"/>
      <c r="M2671" s="29"/>
      <c r="N2671" s="29"/>
      <c r="P2671" s="4">
        <f t="shared" si="168"/>
        <v>-2.0702520206213715E-2</v>
      </c>
      <c r="Q2671" s="4">
        <f t="shared" si="168"/>
        <v>0</v>
      </c>
      <c r="R2671" s="4">
        <f t="shared" si="168"/>
        <v>-4.3704893908002975E-3</v>
      </c>
      <c r="S2671" s="4">
        <f t="shared" si="168"/>
        <v>-3.1483184433765979E-2</v>
      </c>
      <c r="T2671" s="4">
        <f t="shared" si="168"/>
        <v>-2.1470043760718979E-2</v>
      </c>
      <c r="U2671" s="35"/>
      <c r="V2671" s="35"/>
      <c r="W2671" s="35"/>
      <c r="X2671" s="35"/>
    </row>
    <row r="2672" spans="4:24" x14ac:dyDescent="0.3">
      <c r="D2672" s="23">
        <v>43458</v>
      </c>
      <c r="E2672" s="5">
        <v>215.29092399999999</v>
      </c>
      <c r="F2672" s="28">
        <v>68.490189999999998</v>
      </c>
      <c r="G2672" s="28">
        <v>120.02</v>
      </c>
      <c r="H2672" s="28">
        <v>138.66980000000001</v>
      </c>
      <c r="I2672" s="28">
        <v>109.917</v>
      </c>
      <c r="J2672" s="29"/>
      <c r="K2672" s="29"/>
      <c r="L2672" s="29"/>
      <c r="M2672" s="29"/>
      <c r="N2672" s="29"/>
      <c r="P2672" s="4">
        <f t="shared" si="168"/>
        <v>-2.6778341978850095E-2</v>
      </c>
      <c r="Q2672" s="4">
        <f t="shared" si="168"/>
        <v>2.2852598720997857E-4</v>
      </c>
      <c r="R2672" s="4">
        <f t="shared" si="168"/>
        <v>1.0890616142296557E-2</v>
      </c>
      <c r="S2672" s="4">
        <f t="shared" si="168"/>
        <v>-2.5110820086573057E-2</v>
      </c>
      <c r="T2672" s="4">
        <f t="shared" si="168"/>
        <v>-2.5316170383669609E-2</v>
      </c>
      <c r="U2672" s="35"/>
      <c r="V2672" s="35"/>
      <c r="W2672" s="35"/>
      <c r="X2672" s="35"/>
    </row>
    <row r="2673" spans="4:24" x14ac:dyDescent="0.3">
      <c r="D2673" s="23">
        <v>43460</v>
      </c>
      <c r="E2673" s="5">
        <v>226.16845699999999</v>
      </c>
      <c r="F2673" s="28">
        <v>68.342460000000003</v>
      </c>
      <c r="G2673" s="28">
        <v>119.66</v>
      </c>
      <c r="H2673" s="28">
        <v>147.32820000000001</v>
      </c>
      <c r="I2673" s="28">
        <v>115.2063</v>
      </c>
      <c r="J2673" s="29"/>
      <c r="K2673" s="29"/>
      <c r="L2673" s="29"/>
      <c r="M2673" s="29"/>
      <c r="N2673" s="29"/>
      <c r="P2673" s="4">
        <f t="shared" si="168"/>
        <v>4.9289858217248565E-2</v>
      </c>
      <c r="Q2673" s="4">
        <f t="shared" si="168"/>
        <v>-2.1592808061405041E-3</v>
      </c>
      <c r="R2673" s="4">
        <f t="shared" si="168"/>
        <v>-3.0040075994809982E-3</v>
      </c>
      <c r="S2673" s="4">
        <f t="shared" si="168"/>
        <v>6.0567183681935061E-2</v>
      </c>
      <c r="T2673" s="4">
        <f t="shared" si="168"/>
        <v>4.6998898741313251E-2</v>
      </c>
      <c r="U2673" s="35"/>
      <c r="V2673" s="35"/>
      <c r="W2673" s="35"/>
      <c r="X2673" s="35"/>
    </row>
    <row r="2674" spans="4:24" x14ac:dyDescent="0.3">
      <c r="D2674" s="23">
        <v>43461</v>
      </c>
      <c r="E2674" s="5">
        <v>227.904831</v>
      </c>
      <c r="F2674" s="28">
        <v>68.490189999999998</v>
      </c>
      <c r="G2674" s="28">
        <v>120.57</v>
      </c>
      <c r="H2674" s="28">
        <v>147.89830000000001</v>
      </c>
      <c r="I2674" s="28">
        <v>116.2439</v>
      </c>
      <c r="J2674" s="29"/>
      <c r="K2674" s="29"/>
      <c r="L2674" s="29"/>
      <c r="M2674" s="29"/>
      <c r="N2674" s="29"/>
      <c r="P2674" s="4">
        <f t="shared" si="168"/>
        <v>7.6480273541396976E-3</v>
      </c>
      <c r="Q2674" s="4">
        <f t="shared" si="168"/>
        <v>2.1592808061405891E-3</v>
      </c>
      <c r="R2674" s="4">
        <f t="shared" si="168"/>
        <v>7.5761091673336774E-3</v>
      </c>
      <c r="S2674" s="4">
        <f t="shared" si="168"/>
        <v>3.8621242241754857E-3</v>
      </c>
      <c r="T2674" s="4">
        <f t="shared" si="168"/>
        <v>8.9661357059398813E-3</v>
      </c>
      <c r="U2674" s="35"/>
      <c r="V2674" s="35"/>
      <c r="W2674" s="35"/>
      <c r="X2674" s="35"/>
    </row>
    <row r="2675" spans="4:24" x14ac:dyDescent="0.3">
      <c r="D2675" s="23">
        <v>43462</v>
      </c>
      <c r="E2675" s="5">
        <v>227.61084</v>
      </c>
      <c r="F2675" s="28">
        <v>68.655289999999994</v>
      </c>
      <c r="G2675" s="28">
        <v>121.06</v>
      </c>
      <c r="H2675" s="28">
        <v>147.821</v>
      </c>
      <c r="I2675" s="28">
        <v>116.09699999999999</v>
      </c>
      <c r="J2675" s="29"/>
      <c r="K2675" s="29"/>
      <c r="L2675" s="29"/>
      <c r="M2675" s="29"/>
      <c r="N2675" s="29"/>
      <c r="P2675" s="4">
        <f t="shared" si="168"/>
        <v>-1.2908053862327896E-3</v>
      </c>
      <c r="Q2675" s="4">
        <f t="shared" si="168"/>
        <v>2.4076634498619476E-3</v>
      </c>
      <c r="R2675" s="4">
        <f t="shared" si="168"/>
        <v>4.0557933343217988E-3</v>
      </c>
      <c r="S2675" s="4">
        <f t="shared" si="168"/>
        <v>-5.227930795223205E-4</v>
      </c>
      <c r="T2675" s="4">
        <f t="shared" si="168"/>
        <v>-1.2645213957130064E-3</v>
      </c>
      <c r="U2675" s="35"/>
      <c r="V2675" s="35"/>
      <c r="W2675" s="35"/>
      <c r="X2675" s="35"/>
    </row>
    <row r="2676" spans="4:24" x14ac:dyDescent="0.3">
      <c r="D2676" s="23">
        <v>43465</v>
      </c>
      <c r="E2676" s="5">
        <v>229.604446</v>
      </c>
      <c r="F2676" s="28">
        <v>68.829080000000005</v>
      </c>
      <c r="G2676" s="28">
        <v>121.25</v>
      </c>
      <c r="H2676" s="28">
        <v>149.0676</v>
      </c>
      <c r="I2676" s="28">
        <v>117.19889999999999</v>
      </c>
      <c r="J2676" s="29"/>
      <c r="K2676" s="29"/>
      <c r="L2676" s="29"/>
      <c r="M2676" s="29"/>
      <c r="N2676" s="29"/>
      <c r="P2676" s="4">
        <f t="shared" si="168"/>
        <v>8.7206998348808417E-3</v>
      </c>
      <c r="Q2676" s="4">
        <f t="shared" si="168"/>
        <v>2.5281432727956303E-3</v>
      </c>
      <c r="R2676" s="4">
        <f t="shared" si="168"/>
        <v>1.5682393540513383E-3</v>
      </c>
      <c r="S2676" s="4">
        <f t="shared" si="168"/>
        <v>8.3978120155596588E-3</v>
      </c>
      <c r="T2676" s="4">
        <f t="shared" si="168"/>
        <v>9.4464428566267584E-3</v>
      </c>
      <c r="U2676" s="35"/>
      <c r="V2676" s="35"/>
      <c r="W2676" s="35"/>
      <c r="X2676" s="35"/>
    </row>
    <row r="2677" spans="4:24" x14ac:dyDescent="0.3">
      <c r="D2677" s="23">
        <v>43467</v>
      </c>
      <c r="E2677" s="5">
        <v>229.84330700000001</v>
      </c>
      <c r="F2677" s="28">
        <v>68.968119999999999</v>
      </c>
      <c r="G2677" s="28">
        <v>121.33</v>
      </c>
      <c r="H2677" s="28">
        <v>149.66669999999999</v>
      </c>
      <c r="I2677" s="28">
        <v>117.2907</v>
      </c>
      <c r="J2677" s="29"/>
      <c r="K2677" s="29"/>
      <c r="L2677" s="29"/>
      <c r="M2677" s="29"/>
      <c r="N2677" s="29"/>
      <c r="P2677" s="4">
        <f t="shared" ref="P2677:T2692" si="169">LN(E2677/E2676)</f>
        <v>1.039774468197378E-3</v>
      </c>
      <c r="Q2677" s="4">
        <f t="shared" si="169"/>
        <v>2.018038787238986E-3</v>
      </c>
      <c r="R2677" s="4">
        <f t="shared" si="169"/>
        <v>6.5957624618911959E-4</v>
      </c>
      <c r="S2677" s="4">
        <f t="shared" si="169"/>
        <v>4.0109274574106034E-3</v>
      </c>
      <c r="T2677" s="4">
        <f t="shared" si="169"/>
        <v>7.8297719549064193E-4</v>
      </c>
      <c r="U2677" s="35"/>
      <c r="V2677" s="35"/>
      <c r="W2677" s="35"/>
      <c r="X2677" s="35"/>
    </row>
    <row r="2678" spans="4:24" x14ac:dyDescent="0.3">
      <c r="D2678" s="23">
        <v>43468</v>
      </c>
      <c r="E2678" s="5">
        <v>224.358643</v>
      </c>
      <c r="F2678" s="28">
        <v>69.237489999999994</v>
      </c>
      <c r="G2678" s="28">
        <v>122.43</v>
      </c>
      <c r="H2678" s="28">
        <v>144.77699999999999</v>
      </c>
      <c r="I2678" s="28">
        <v>114.57259999999999</v>
      </c>
      <c r="J2678" s="29"/>
      <c r="K2678" s="29"/>
      <c r="L2678" s="29"/>
      <c r="M2678" s="29"/>
      <c r="N2678" s="29"/>
      <c r="P2678" s="4">
        <f t="shared" si="169"/>
        <v>-2.4151946530987609E-2</v>
      </c>
      <c r="Q2678" s="4">
        <f t="shared" si="169"/>
        <v>3.8981100853367474E-3</v>
      </c>
      <c r="R2678" s="4">
        <f t="shared" si="169"/>
        <v>9.0253320220424361E-3</v>
      </c>
      <c r="S2678" s="4">
        <f t="shared" si="169"/>
        <v>-3.3216194235032324E-2</v>
      </c>
      <c r="T2678" s="4">
        <f t="shared" si="169"/>
        <v>-2.3446785430993548E-2</v>
      </c>
      <c r="U2678" s="35"/>
      <c r="V2678" s="35"/>
      <c r="W2678" s="35"/>
      <c r="X2678" s="35"/>
    </row>
    <row r="2679" spans="4:24" x14ac:dyDescent="0.3">
      <c r="D2679" s="23">
        <v>43469</v>
      </c>
      <c r="E2679" s="5">
        <v>231.87365700000001</v>
      </c>
      <c r="F2679" s="28">
        <v>69.028930000000003</v>
      </c>
      <c r="G2679" s="28">
        <v>121.44</v>
      </c>
      <c r="H2679" s="28">
        <v>150.97120000000001</v>
      </c>
      <c r="I2679" s="28">
        <v>118.3651</v>
      </c>
      <c r="J2679" s="29"/>
      <c r="K2679" s="29"/>
      <c r="L2679" s="29"/>
      <c r="M2679" s="29"/>
      <c r="N2679" s="29"/>
      <c r="P2679" s="4">
        <f t="shared" si="169"/>
        <v>3.294678512454241E-2</v>
      </c>
      <c r="Q2679" s="4">
        <f t="shared" si="169"/>
        <v>-3.0167868405849892E-3</v>
      </c>
      <c r="R2679" s="4">
        <f t="shared" si="169"/>
        <v>-8.1191244385042417E-3</v>
      </c>
      <c r="S2679" s="4">
        <f t="shared" si="169"/>
        <v>4.1894462590877542E-2</v>
      </c>
      <c r="T2679" s="4">
        <f t="shared" si="169"/>
        <v>3.2565232287253811E-2</v>
      </c>
      <c r="U2679" s="35"/>
      <c r="V2679" s="35"/>
      <c r="W2679" s="35"/>
      <c r="X2679" s="35"/>
    </row>
    <row r="2680" spans="4:24" x14ac:dyDescent="0.3">
      <c r="D2680" s="23">
        <v>43472</v>
      </c>
      <c r="E2680" s="5">
        <v>233.70190400000001</v>
      </c>
      <c r="F2680" s="28">
        <v>68.92465</v>
      </c>
      <c r="G2680" s="28">
        <v>121.86</v>
      </c>
      <c r="H2680" s="28">
        <v>152.76859999999999</v>
      </c>
      <c r="I2680" s="28">
        <v>119.55889999999999</v>
      </c>
      <c r="J2680" s="29"/>
      <c r="K2680" s="29"/>
      <c r="L2680" s="29"/>
      <c r="M2680" s="29"/>
      <c r="N2680" s="29"/>
      <c r="P2680" s="4">
        <f t="shared" si="169"/>
        <v>7.8537472777056826E-3</v>
      </c>
      <c r="Q2680" s="4">
        <f t="shared" si="169"/>
        <v>-1.5118131745720206E-3</v>
      </c>
      <c r="R2680" s="4">
        <f t="shared" si="169"/>
        <v>3.4525311730284462E-3</v>
      </c>
      <c r="S2680" s="4">
        <f t="shared" si="169"/>
        <v>1.1835268085626795E-2</v>
      </c>
      <c r="T2680" s="4">
        <f t="shared" si="169"/>
        <v>1.0035221486852484E-2</v>
      </c>
      <c r="U2680" s="35"/>
      <c r="V2680" s="35"/>
      <c r="W2680" s="35"/>
      <c r="X2680" s="35"/>
    </row>
    <row r="2681" spans="4:24" x14ac:dyDescent="0.3">
      <c r="D2681" s="23">
        <v>43473</v>
      </c>
      <c r="E2681" s="5">
        <v>235.89762899999999</v>
      </c>
      <c r="F2681" s="28">
        <v>68.83775</v>
      </c>
      <c r="G2681" s="28">
        <v>121.53</v>
      </c>
      <c r="H2681" s="28">
        <v>154.15049999999999</v>
      </c>
      <c r="I2681" s="28">
        <v>120.7893</v>
      </c>
      <c r="J2681" s="29"/>
      <c r="K2681" s="29"/>
      <c r="L2681" s="29"/>
      <c r="M2681" s="29"/>
      <c r="N2681" s="29"/>
      <c r="P2681" s="4">
        <f t="shared" si="169"/>
        <v>9.3515467852212236E-3</v>
      </c>
      <c r="Q2681" s="4">
        <f t="shared" si="169"/>
        <v>-1.2615925902271505E-3</v>
      </c>
      <c r="R2681" s="4">
        <f t="shared" si="169"/>
        <v>-2.711698937639478E-3</v>
      </c>
      <c r="S2681" s="4">
        <f t="shared" si="169"/>
        <v>9.0050396880599348E-3</v>
      </c>
      <c r="T2681" s="4">
        <f t="shared" si="169"/>
        <v>1.0238568446733496E-2</v>
      </c>
      <c r="U2681" s="35"/>
      <c r="V2681" s="35"/>
      <c r="W2681" s="35"/>
      <c r="X2681" s="35"/>
    </row>
    <row r="2682" spans="4:24" x14ac:dyDescent="0.3">
      <c r="D2682" s="23">
        <v>43474</v>
      </c>
      <c r="E2682" s="5">
        <v>237.00010700000001</v>
      </c>
      <c r="F2682" s="28">
        <v>68.933340000000001</v>
      </c>
      <c r="G2682" s="28">
        <v>122.31</v>
      </c>
      <c r="H2682" s="28">
        <v>155.4068</v>
      </c>
      <c r="I2682" s="28">
        <v>121.3587</v>
      </c>
      <c r="J2682" s="29"/>
      <c r="K2682" s="29"/>
      <c r="L2682" s="29"/>
      <c r="M2682" s="29"/>
      <c r="N2682" s="29"/>
      <c r="P2682" s="4">
        <f t="shared" si="169"/>
        <v>4.6626571177159695E-3</v>
      </c>
      <c r="Q2682" s="4">
        <f t="shared" si="169"/>
        <v>1.3876643545333706E-3</v>
      </c>
      <c r="R2682" s="4">
        <f t="shared" si="169"/>
        <v>6.3976596165628398E-3</v>
      </c>
      <c r="S2682" s="4">
        <f t="shared" si="169"/>
        <v>8.1167970991490156E-3</v>
      </c>
      <c r="T2682" s="4">
        <f t="shared" si="169"/>
        <v>4.7029176327855436E-3</v>
      </c>
      <c r="U2682" s="35"/>
      <c r="V2682" s="35"/>
      <c r="W2682" s="35"/>
      <c r="X2682" s="35"/>
    </row>
    <row r="2683" spans="4:24" x14ac:dyDescent="0.3">
      <c r="D2683" s="23">
        <v>43475</v>
      </c>
      <c r="E2683" s="5">
        <v>237.836105</v>
      </c>
      <c r="F2683" s="28">
        <v>68.794300000000007</v>
      </c>
      <c r="G2683" s="28">
        <v>121.59</v>
      </c>
      <c r="H2683" s="28">
        <v>155.85130000000001</v>
      </c>
      <c r="I2683" s="28">
        <v>121.9555</v>
      </c>
      <c r="J2683" s="29"/>
      <c r="K2683" s="29"/>
      <c r="L2683" s="29"/>
      <c r="M2683" s="29"/>
      <c r="N2683" s="29"/>
      <c r="P2683" s="4">
        <f t="shared" si="169"/>
        <v>3.5212093882547794E-3</v>
      </c>
      <c r="Q2683" s="4">
        <f t="shared" si="169"/>
        <v>-2.0190580080242408E-3</v>
      </c>
      <c r="R2683" s="4">
        <f t="shared" si="169"/>
        <v>-5.9040761909448479E-3</v>
      </c>
      <c r="S2683" s="4">
        <f t="shared" si="169"/>
        <v>2.8561525124732611E-3</v>
      </c>
      <c r="T2683" s="4">
        <f t="shared" si="169"/>
        <v>4.9056010444790523E-3</v>
      </c>
      <c r="U2683" s="35"/>
      <c r="V2683" s="35"/>
      <c r="W2683" s="35"/>
      <c r="X2683" s="35"/>
    </row>
    <row r="2684" spans="4:24" x14ac:dyDescent="0.3">
      <c r="D2684" s="23">
        <v>43476</v>
      </c>
      <c r="E2684" s="5">
        <v>237.928009</v>
      </c>
      <c r="F2684" s="28">
        <v>68.933340000000001</v>
      </c>
      <c r="G2684" s="28">
        <v>121.8</v>
      </c>
      <c r="H2684" s="28">
        <v>155.28110000000001</v>
      </c>
      <c r="I2684" s="28">
        <v>121.98309999999999</v>
      </c>
      <c r="J2684" s="29"/>
      <c r="K2684" s="29"/>
      <c r="L2684" s="29"/>
      <c r="M2684" s="29"/>
      <c r="N2684" s="29"/>
      <c r="P2684" s="4">
        <f t="shared" si="169"/>
        <v>3.8634272085148237E-4</v>
      </c>
      <c r="Q2684" s="4">
        <f t="shared" si="169"/>
        <v>2.0190580080241909E-3</v>
      </c>
      <c r="R2684" s="4">
        <f t="shared" si="169"/>
        <v>1.7256259674696358E-3</v>
      </c>
      <c r="S2684" s="4">
        <f t="shared" si="169"/>
        <v>-3.6653247194282277E-3</v>
      </c>
      <c r="T2684" s="4">
        <f t="shared" si="169"/>
        <v>2.2628645173632616E-4</v>
      </c>
      <c r="U2684" s="35"/>
      <c r="V2684" s="35"/>
      <c r="W2684" s="35"/>
      <c r="X2684" s="35"/>
    </row>
    <row r="2685" spans="4:24" x14ac:dyDescent="0.3">
      <c r="D2685" s="23">
        <v>43479</v>
      </c>
      <c r="E2685" s="5">
        <v>236.47637900000001</v>
      </c>
      <c r="F2685" s="28">
        <v>68.872540000000001</v>
      </c>
      <c r="G2685" s="28">
        <v>122.09</v>
      </c>
      <c r="H2685" s="28">
        <v>153.90889999999999</v>
      </c>
      <c r="I2685" s="28">
        <v>121.21169999999999</v>
      </c>
      <c r="J2685" s="29"/>
      <c r="K2685" s="29"/>
      <c r="L2685" s="29"/>
      <c r="M2685" s="29"/>
      <c r="N2685" s="29"/>
      <c r="P2685" s="4">
        <f t="shared" si="169"/>
        <v>-6.119819155454162E-3</v>
      </c>
      <c r="Q2685" s="4">
        <f t="shared" si="169"/>
        <v>-8.8240072114574325E-4</v>
      </c>
      <c r="R2685" s="4">
        <f t="shared" si="169"/>
        <v>2.3781224049674193E-3</v>
      </c>
      <c r="S2685" s="4">
        <f t="shared" si="169"/>
        <v>-8.8761538806533414E-3</v>
      </c>
      <c r="T2685" s="4">
        <f t="shared" si="169"/>
        <v>-6.3439069181658644E-3</v>
      </c>
      <c r="U2685" s="35"/>
      <c r="V2685" s="35"/>
      <c r="W2685" s="35"/>
      <c r="X2685" s="35"/>
    </row>
    <row r="2686" spans="4:24" x14ac:dyDescent="0.3">
      <c r="D2686" s="23">
        <v>43480</v>
      </c>
      <c r="E2686" s="5">
        <v>239.18656899999999</v>
      </c>
      <c r="F2686" s="28">
        <v>68.881200000000007</v>
      </c>
      <c r="G2686" s="28">
        <v>121.88</v>
      </c>
      <c r="H2686" s="28">
        <v>156.91419999999999</v>
      </c>
      <c r="I2686" s="28">
        <v>122.53400000000001</v>
      </c>
      <c r="J2686" s="29"/>
      <c r="K2686" s="29"/>
      <c r="L2686" s="29"/>
      <c r="M2686" s="29"/>
      <c r="N2686" s="29"/>
      <c r="P2686" s="4">
        <f t="shared" si="169"/>
        <v>1.1395545268998634E-2</v>
      </c>
      <c r="Q2686" s="4">
        <f t="shared" si="169"/>
        <v>1.2573161369572655E-4</v>
      </c>
      <c r="R2686" s="4">
        <f t="shared" si="169"/>
        <v>-1.7215235632558569E-3</v>
      </c>
      <c r="S2686" s="4">
        <f t="shared" si="169"/>
        <v>1.9338290216867688E-2</v>
      </c>
      <c r="T2686" s="4">
        <f t="shared" si="169"/>
        <v>1.08499388655215E-2</v>
      </c>
      <c r="U2686" s="35"/>
      <c r="V2686" s="35"/>
      <c r="W2686" s="35"/>
      <c r="X2686" s="35"/>
    </row>
    <row r="2687" spans="4:24" x14ac:dyDescent="0.3">
      <c r="D2687" s="23">
        <v>43481</v>
      </c>
      <c r="E2687" s="5">
        <v>239.76544200000001</v>
      </c>
      <c r="F2687" s="28">
        <v>68.90728</v>
      </c>
      <c r="G2687" s="28">
        <v>122.27</v>
      </c>
      <c r="H2687" s="28">
        <v>156.8853</v>
      </c>
      <c r="I2687" s="28">
        <v>122.883</v>
      </c>
      <c r="J2687" s="29"/>
      <c r="K2687" s="29"/>
      <c r="L2687" s="29"/>
      <c r="M2687" s="29"/>
      <c r="N2687" s="29"/>
      <c r="P2687" s="4">
        <f t="shared" si="169"/>
        <v>2.417249614043326E-3</v>
      </c>
      <c r="Q2687" s="4">
        <f t="shared" si="169"/>
        <v>3.7855124479829012E-4</v>
      </c>
      <c r="R2687" s="4">
        <f t="shared" si="169"/>
        <v>3.1947600385903115E-3</v>
      </c>
      <c r="S2687" s="4">
        <f t="shared" si="169"/>
        <v>-1.8419404799376585E-4</v>
      </c>
      <c r="T2687" s="4">
        <f t="shared" si="169"/>
        <v>2.8441406688126695E-3</v>
      </c>
      <c r="U2687" s="35"/>
      <c r="V2687" s="35"/>
      <c r="W2687" s="35"/>
      <c r="X2687" s="35"/>
    </row>
    <row r="2688" spans="4:24" x14ac:dyDescent="0.3">
      <c r="D2688" s="23">
        <v>43482</v>
      </c>
      <c r="E2688" s="5">
        <v>241.584473</v>
      </c>
      <c r="F2688" s="28">
        <v>68.829080000000005</v>
      </c>
      <c r="G2688" s="28">
        <v>122.11</v>
      </c>
      <c r="H2688" s="28">
        <v>158.12219999999999</v>
      </c>
      <c r="I2688" s="28">
        <v>123.8747</v>
      </c>
      <c r="J2688" s="29"/>
      <c r="K2688" s="29"/>
      <c r="L2688" s="29"/>
      <c r="M2688" s="29"/>
      <c r="N2688" s="29"/>
      <c r="P2688" s="4">
        <f t="shared" si="169"/>
        <v>7.558076162800559E-3</v>
      </c>
      <c r="Q2688" s="4">
        <f t="shared" si="169"/>
        <v>-1.1355027590734367E-3</v>
      </c>
      <c r="R2688" s="4">
        <f t="shared" si="169"/>
        <v>-1.3094363111681819E-3</v>
      </c>
      <c r="S2688" s="4">
        <f t="shared" si="169"/>
        <v>7.8531867139079222E-3</v>
      </c>
      <c r="T2688" s="4">
        <f t="shared" si="169"/>
        <v>8.0378876872104123E-3</v>
      </c>
      <c r="U2688" s="35"/>
      <c r="V2688" s="35"/>
      <c r="W2688" s="35"/>
      <c r="X2688" s="35"/>
    </row>
    <row r="2689" spans="4:24" x14ac:dyDescent="0.3">
      <c r="D2689" s="23">
        <v>43483</v>
      </c>
      <c r="E2689" s="5">
        <v>244.79994199999999</v>
      </c>
      <c r="F2689" s="28">
        <v>68.776920000000004</v>
      </c>
      <c r="G2689" s="28">
        <v>121.02</v>
      </c>
      <c r="H2689" s="28">
        <v>159.68770000000001</v>
      </c>
      <c r="I2689" s="28">
        <v>125.4817</v>
      </c>
      <c r="J2689" s="29"/>
      <c r="K2689" s="29"/>
      <c r="L2689" s="29"/>
      <c r="M2689" s="29"/>
      <c r="N2689" s="29"/>
      <c r="P2689" s="4">
        <f t="shared" si="169"/>
        <v>1.3222117098721274E-2</v>
      </c>
      <c r="Q2689" s="4">
        <f t="shared" si="169"/>
        <v>-7.5810651422382588E-4</v>
      </c>
      <c r="R2689" s="4">
        <f t="shared" si="169"/>
        <v>-8.9664566507550777E-3</v>
      </c>
      <c r="S2689" s="4">
        <f t="shared" si="169"/>
        <v>9.8518810282999317E-3</v>
      </c>
      <c r="T2689" s="4">
        <f t="shared" si="169"/>
        <v>1.2889360355423448E-2</v>
      </c>
      <c r="U2689" s="35"/>
      <c r="V2689" s="35"/>
      <c r="W2689" s="35"/>
      <c r="X2689" s="35"/>
    </row>
    <row r="2690" spans="4:24" x14ac:dyDescent="0.3">
      <c r="D2690" s="23">
        <v>43487</v>
      </c>
      <c r="E2690" s="5">
        <v>241.492569</v>
      </c>
      <c r="F2690" s="28">
        <v>68.898610000000005</v>
      </c>
      <c r="G2690" s="28">
        <v>121.45</v>
      </c>
      <c r="H2690" s="28">
        <v>156.48910000000001</v>
      </c>
      <c r="I2690" s="28">
        <v>123.7645</v>
      </c>
      <c r="J2690" s="29"/>
      <c r="K2690" s="29"/>
      <c r="L2690" s="29"/>
      <c r="M2690" s="29"/>
      <c r="N2690" s="29"/>
      <c r="P2690" s="4">
        <f t="shared" si="169"/>
        <v>-1.3602611277158184E-2</v>
      </c>
      <c r="Q2690" s="4">
        <f t="shared" si="169"/>
        <v>1.7677801086449861E-3</v>
      </c>
      <c r="R2690" s="4">
        <f t="shared" si="169"/>
        <v>3.5468342540062561E-3</v>
      </c>
      <c r="S2690" s="4">
        <f t="shared" si="169"/>
        <v>-2.0233673851089339E-2</v>
      </c>
      <c r="T2690" s="4">
        <f t="shared" si="169"/>
        <v>-1.3779364904575538E-2</v>
      </c>
      <c r="U2690" s="35"/>
      <c r="V2690" s="35"/>
      <c r="W2690" s="35"/>
      <c r="X2690" s="35"/>
    </row>
    <row r="2691" spans="4:24" x14ac:dyDescent="0.3">
      <c r="D2691" s="23">
        <v>43488</v>
      </c>
      <c r="E2691" s="5">
        <v>241.99790999999999</v>
      </c>
      <c r="F2691" s="28">
        <v>68.968119999999999</v>
      </c>
      <c r="G2691" s="28">
        <v>121.28</v>
      </c>
      <c r="H2691" s="28">
        <v>156.69200000000001</v>
      </c>
      <c r="I2691" s="28">
        <v>123.893</v>
      </c>
      <c r="J2691" s="29"/>
      <c r="K2691" s="29"/>
      <c r="L2691" s="29"/>
      <c r="M2691" s="29"/>
      <c r="N2691" s="29"/>
      <c r="P2691" s="4">
        <f t="shared" si="169"/>
        <v>2.0903873228762886E-3</v>
      </c>
      <c r="Q2691" s="4">
        <f t="shared" si="169"/>
        <v>1.0083651928179639E-3</v>
      </c>
      <c r="R2691" s="4">
        <f t="shared" si="169"/>
        <v>-1.4007335541199382E-3</v>
      </c>
      <c r="S2691" s="4">
        <f t="shared" si="169"/>
        <v>1.2957360989404169E-3</v>
      </c>
      <c r="T2691" s="4">
        <f t="shared" si="169"/>
        <v>1.0377235620279948E-3</v>
      </c>
      <c r="U2691" s="35"/>
      <c r="V2691" s="35"/>
      <c r="W2691" s="35"/>
      <c r="X2691" s="35"/>
    </row>
    <row r="2692" spans="4:24" x14ac:dyDescent="0.3">
      <c r="D2692" s="23">
        <v>43489</v>
      </c>
      <c r="E2692" s="5">
        <v>242.12649500000001</v>
      </c>
      <c r="F2692" s="28">
        <v>69.115830000000003</v>
      </c>
      <c r="G2692" s="28">
        <v>121.09</v>
      </c>
      <c r="H2692" s="28">
        <v>157.70660000000001</v>
      </c>
      <c r="I2692" s="28">
        <v>124.1502</v>
      </c>
      <c r="J2692" s="29"/>
      <c r="K2692" s="29"/>
      <c r="L2692" s="29"/>
      <c r="M2692" s="29"/>
      <c r="N2692" s="29"/>
      <c r="P2692" s="4">
        <f t="shared" si="169"/>
        <v>5.3120644898584058E-4</v>
      </c>
      <c r="Q2692" s="4">
        <f t="shared" si="169"/>
        <v>2.139423971297467E-3</v>
      </c>
      <c r="R2692" s="4">
        <f t="shared" si="169"/>
        <v>-1.5678511277865501E-3</v>
      </c>
      <c r="S2692" s="4">
        <f t="shared" si="169"/>
        <v>6.4542496189582202E-3</v>
      </c>
      <c r="T2692" s="4">
        <f t="shared" si="169"/>
        <v>2.0738330434385403E-3</v>
      </c>
      <c r="U2692" s="35"/>
      <c r="V2692" s="35"/>
      <c r="W2692" s="35"/>
      <c r="X2692" s="35"/>
    </row>
    <row r="2693" spans="4:24" x14ac:dyDescent="0.3">
      <c r="D2693" s="23">
        <v>43490</v>
      </c>
      <c r="E2693" s="5">
        <v>244.17523199999999</v>
      </c>
      <c r="F2693" s="28">
        <v>69.037580000000005</v>
      </c>
      <c r="G2693" s="28">
        <v>122.86</v>
      </c>
      <c r="H2693" s="28">
        <v>159.59100000000001</v>
      </c>
      <c r="I2693" s="28">
        <v>125.3164</v>
      </c>
      <c r="J2693" s="29"/>
      <c r="K2693" s="29"/>
      <c r="L2693" s="29"/>
      <c r="M2693" s="29"/>
      <c r="N2693" s="29"/>
      <c r="P2693" s="4">
        <f t="shared" ref="P2693:T2708" si="170">LN(E2693/E2692)</f>
        <v>8.4258352665678229E-3</v>
      </c>
      <c r="Q2693" s="4">
        <f t="shared" si="170"/>
        <v>-1.1327987976228304E-3</v>
      </c>
      <c r="R2693" s="4">
        <f t="shared" si="170"/>
        <v>1.4511424969506331E-2</v>
      </c>
      <c r="S2693" s="4">
        <f t="shared" si="170"/>
        <v>1.1877947738001271E-2</v>
      </c>
      <c r="T2693" s="4">
        <f t="shared" si="170"/>
        <v>9.3496163037480214E-3</v>
      </c>
      <c r="U2693" s="35"/>
      <c r="V2693" s="35"/>
      <c r="W2693" s="35"/>
      <c r="X2693" s="35"/>
    </row>
    <row r="2694" spans="4:24" x14ac:dyDescent="0.3">
      <c r="D2694" s="23">
        <v>43493</v>
      </c>
      <c r="E2694" s="5">
        <v>242.31942699999999</v>
      </c>
      <c r="F2694" s="28">
        <v>69.063689999999994</v>
      </c>
      <c r="G2694" s="28">
        <v>123.29</v>
      </c>
      <c r="H2694" s="28">
        <v>157.61969999999999</v>
      </c>
      <c r="I2694" s="28">
        <v>124.3981</v>
      </c>
      <c r="J2694" s="29"/>
      <c r="K2694" s="29"/>
      <c r="L2694" s="29"/>
      <c r="M2694" s="29"/>
      <c r="N2694" s="29"/>
      <c r="P2694" s="4">
        <f t="shared" si="170"/>
        <v>-7.6293293969197824E-3</v>
      </c>
      <c r="Q2694" s="4">
        <f t="shared" si="170"/>
        <v>3.7812831570751122E-4</v>
      </c>
      <c r="R2694" s="4">
        <f t="shared" si="170"/>
        <v>3.4938081446800775E-3</v>
      </c>
      <c r="S2694" s="4">
        <f t="shared" si="170"/>
        <v>-1.2429122836304192E-2</v>
      </c>
      <c r="T2694" s="4">
        <f t="shared" si="170"/>
        <v>-7.3548323345728611E-3</v>
      </c>
      <c r="U2694" s="35"/>
      <c r="V2694" s="35"/>
      <c r="W2694" s="35"/>
      <c r="X2694" s="35"/>
    </row>
    <row r="2695" spans="4:24" x14ac:dyDescent="0.3">
      <c r="D2695" s="23">
        <v>43494</v>
      </c>
      <c r="E2695" s="5">
        <v>241.99790999999999</v>
      </c>
      <c r="F2695" s="28">
        <v>69.202709999999996</v>
      </c>
      <c r="G2695" s="28">
        <v>123.98</v>
      </c>
      <c r="H2695" s="28">
        <v>156.13149999999999</v>
      </c>
      <c r="I2695" s="28">
        <v>124.2236</v>
      </c>
      <c r="J2695" s="29"/>
      <c r="K2695" s="29"/>
      <c r="L2695" s="29"/>
      <c r="M2695" s="29"/>
      <c r="N2695" s="29"/>
      <c r="P2695" s="4">
        <f t="shared" si="170"/>
        <v>-1.3277123186336813E-3</v>
      </c>
      <c r="Q2695" s="4">
        <f t="shared" si="170"/>
        <v>2.0109013736749862E-3</v>
      </c>
      <c r="R2695" s="4">
        <f t="shared" si="170"/>
        <v>5.5809583933119494E-3</v>
      </c>
      <c r="S2695" s="4">
        <f t="shared" si="170"/>
        <v>-9.486568726184785E-3</v>
      </c>
      <c r="T2695" s="4">
        <f t="shared" si="170"/>
        <v>-1.4037393248788393E-3</v>
      </c>
      <c r="U2695" s="35"/>
      <c r="V2695" s="35"/>
      <c r="W2695" s="35"/>
      <c r="X2695" s="35"/>
    </row>
    <row r="2696" spans="4:24" x14ac:dyDescent="0.3">
      <c r="D2696" s="23">
        <v>43495</v>
      </c>
      <c r="E2696" s="5">
        <v>245.82888800000001</v>
      </c>
      <c r="F2696" s="28">
        <v>69.272210000000001</v>
      </c>
      <c r="G2696" s="28">
        <v>124.69</v>
      </c>
      <c r="H2696" s="28">
        <v>160.10310000000001</v>
      </c>
      <c r="I2696" s="28">
        <v>126.09690000000001</v>
      </c>
      <c r="J2696" s="29"/>
      <c r="K2696" s="29"/>
      <c r="L2696" s="29"/>
      <c r="M2696" s="29"/>
      <c r="N2696" s="29"/>
      <c r="P2696" s="4">
        <f t="shared" si="170"/>
        <v>1.5706626914750197E-2</v>
      </c>
      <c r="Q2696" s="4">
        <f t="shared" si="170"/>
        <v>1.0037919622654637E-3</v>
      </c>
      <c r="R2696" s="4">
        <f t="shared" si="170"/>
        <v>5.7103947347213477E-3</v>
      </c>
      <c r="S2696" s="4">
        <f t="shared" si="170"/>
        <v>2.5119381827654257E-2</v>
      </c>
      <c r="T2696" s="4">
        <f t="shared" si="170"/>
        <v>1.4967491453266804E-2</v>
      </c>
      <c r="U2696" s="35"/>
      <c r="V2696" s="35"/>
      <c r="W2696" s="35"/>
      <c r="X2696" s="35"/>
    </row>
    <row r="2697" spans="4:24" x14ac:dyDescent="0.3">
      <c r="D2697" s="23">
        <v>43496</v>
      </c>
      <c r="E2697" s="5">
        <v>247.9879</v>
      </c>
      <c r="F2697" s="28">
        <v>69.593739999999997</v>
      </c>
      <c r="G2697" s="28">
        <v>124.75</v>
      </c>
      <c r="H2697" s="28">
        <v>162.49969999999999</v>
      </c>
      <c r="I2697" s="28">
        <v>127.208</v>
      </c>
      <c r="J2697" s="29"/>
      <c r="K2697" s="29"/>
      <c r="L2697" s="29"/>
      <c r="M2697" s="29"/>
      <c r="N2697" s="29"/>
      <c r="P2697" s="4">
        <f t="shared" si="170"/>
        <v>8.7442379816083417E-3</v>
      </c>
      <c r="Q2697" s="4">
        <f t="shared" si="170"/>
        <v>4.6308050977714047E-3</v>
      </c>
      <c r="R2697" s="4">
        <f t="shared" si="170"/>
        <v>4.8107762313328022E-4</v>
      </c>
      <c r="S2697" s="4">
        <f t="shared" si="170"/>
        <v>1.485817290084261E-2</v>
      </c>
      <c r="T2697" s="4">
        <f t="shared" si="170"/>
        <v>8.7728830051640953E-3</v>
      </c>
      <c r="U2697" s="35"/>
      <c r="V2697" s="35"/>
      <c r="W2697" s="35"/>
      <c r="X2697" s="35"/>
    </row>
    <row r="2698" spans="4:24" x14ac:dyDescent="0.3">
      <c r="D2698" s="23">
        <v>43497</v>
      </c>
      <c r="E2698" s="5">
        <v>248.107361</v>
      </c>
      <c r="F2698" s="28">
        <v>69.400360000000006</v>
      </c>
      <c r="G2698" s="28">
        <v>124.5</v>
      </c>
      <c r="H2698" s="28">
        <v>161.81360000000001</v>
      </c>
      <c r="I2698" s="28">
        <v>127.3917</v>
      </c>
      <c r="J2698" s="29"/>
      <c r="K2698" s="29"/>
      <c r="L2698" s="29"/>
      <c r="M2698" s="29"/>
      <c r="N2698" s="29"/>
      <c r="P2698" s="4">
        <f t="shared" si="170"/>
        <v>4.8160509361939644E-4</v>
      </c>
      <c r="Q2698" s="4">
        <f t="shared" si="170"/>
        <v>-2.7825659473769732E-3</v>
      </c>
      <c r="R2698" s="4">
        <f t="shared" si="170"/>
        <v>-2.006018726865743E-3</v>
      </c>
      <c r="S2698" s="4">
        <f t="shared" si="170"/>
        <v>-4.2311001340891215E-3</v>
      </c>
      <c r="T2698" s="4">
        <f t="shared" si="170"/>
        <v>1.4430498690922227E-3</v>
      </c>
      <c r="U2698" s="35"/>
      <c r="V2698" s="35"/>
      <c r="W2698" s="35"/>
      <c r="X2698" s="35"/>
    </row>
    <row r="2699" spans="4:24" x14ac:dyDescent="0.3">
      <c r="D2699" s="23">
        <v>43500</v>
      </c>
      <c r="E2699" s="5">
        <v>249.85279800000001</v>
      </c>
      <c r="F2699" s="28">
        <v>69.339389999999995</v>
      </c>
      <c r="G2699" s="28">
        <v>123.96</v>
      </c>
      <c r="H2699" s="28">
        <v>163.8236</v>
      </c>
      <c r="I2699" s="28">
        <v>128.30080000000001</v>
      </c>
      <c r="J2699" s="29"/>
      <c r="K2699" s="29"/>
      <c r="L2699" s="29"/>
      <c r="M2699" s="29"/>
      <c r="N2699" s="29"/>
      <c r="P2699" s="4">
        <f t="shared" si="170"/>
        <v>7.0103767010060826E-3</v>
      </c>
      <c r="Q2699" s="4">
        <f t="shared" si="170"/>
        <v>-8.7891183204354747E-4</v>
      </c>
      <c r="R2699" s="4">
        <f t="shared" si="170"/>
        <v>-4.3467829852149066E-3</v>
      </c>
      <c r="S2699" s="4">
        <f t="shared" si="170"/>
        <v>1.2345183704635486E-2</v>
      </c>
      <c r="T2699" s="4">
        <f t="shared" si="170"/>
        <v>7.1109151087773914E-3</v>
      </c>
      <c r="U2699" s="35"/>
      <c r="V2699" s="35"/>
      <c r="W2699" s="35"/>
      <c r="X2699" s="35"/>
    </row>
    <row r="2700" spans="4:24" x14ac:dyDescent="0.3">
      <c r="D2700" s="23">
        <v>43501</v>
      </c>
      <c r="E2700" s="5">
        <v>250.90017700000001</v>
      </c>
      <c r="F2700" s="28">
        <v>69.487470000000002</v>
      </c>
      <c r="G2700" s="28">
        <v>124.28</v>
      </c>
      <c r="H2700" s="28">
        <v>165.2731</v>
      </c>
      <c r="I2700" s="28">
        <v>128.83340000000001</v>
      </c>
      <c r="J2700" s="29"/>
      <c r="K2700" s="29"/>
      <c r="L2700" s="29"/>
      <c r="M2700" s="29"/>
      <c r="N2700" s="29"/>
      <c r="P2700" s="4">
        <f t="shared" si="170"/>
        <v>4.1832223857302901E-3</v>
      </c>
      <c r="Q2700" s="4">
        <f t="shared" si="170"/>
        <v>2.133305560022804E-3</v>
      </c>
      <c r="R2700" s="4">
        <f t="shared" si="170"/>
        <v>2.57815160529918E-3</v>
      </c>
      <c r="S2700" s="4">
        <f t="shared" si="170"/>
        <v>8.8090179772449106E-3</v>
      </c>
      <c r="T2700" s="4">
        <f t="shared" si="170"/>
        <v>4.1425898356920662E-3</v>
      </c>
      <c r="U2700" s="35"/>
      <c r="V2700" s="35"/>
      <c r="W2700" s="35"/>
      <c r="X2700" s="35"/>
    </row>
    <row r="2701" spans="4:24" x14ac:dyDescent="0.3">
      <c r="D2701" s="23">
        <v>43502</v>
      </c>
      <c r="E2701" s="5">
        <v>250.56944300000001</v>
      </c>
      <c r="F2701" s="28">
        <v>69.461330000000004</v>
      </c>
      <c r="G2701" s="28">
        <v>123.44</v>
      </c>
      <c r="H2701" s="28">
        <v>164.78030000000001</v>
      </c>
      <c r="I2701" s="28">
        <v>128.70480000000001</v>
      </c>
      <c r="J2701" s="29"/>
      <c r="K2701" s="29"/>
      <c r="L2701" s="29"/>
      <c r="M2701" s="29"/>
      <c r="N2701" s="29"/>
      <c r="P2701" s="4">
        <f t="shared" si="170"/>
        <v>-1.3190591603700458E-3</v>
      </c>
      <c r="Q2701" s="4">
        <f t="shared" si="170"/>
        <v>-3.7625370364299376E-4</v>
      </c>
      <c r="R2701" s="4">
        <f t="shared" si="170"/>
        <v>-6.7818764699413021E-3</v>
      </c>
      <c r="S2701" s="4">
        <f t="shared" si="170"/>
        <v>-2.9861856669491575E-3</v>
      </c>
      <c r="T2701" s="4">
        <f t="shared" si="170"/>
        <v>-9.986868797603023E-4</v>
      </c>
      <c r="U2701" s="35"/>
      <c r="V2701" s="35"/>
      <c r="W2701" s="35"/>
      <c r="X2701" s="35"/>
    </row>
    <row r="2702" spans="4:24" x14ac:dyDescent="0.3">
      <c r="D2702" s="23">
        <v>43503</v>
      </c>
      <c r="E2702" s="5">
        <v>248.180801</v>
      </c>
      <c r="F2702" s="28">
        <v>69.513589999999994</v>
      </c>
      <c r="G2702" s="28">
        <v>123.74</v>
      </c>
      <c r="H2702" s="28">
        <v>162.56729999999999</v>
      </c>
      <c r="I2702" s="28">
        <v>127.48350000000001</v>
      </c>
      <c r="J2702" s="29"/>
      <c r="K2702" s="29"/>
      <c r="L2702" s="29"/>
      <c r="M2702" s="29"/>
      <c r="N2702" s="29"/>
      <c r="P2702" s="4">
        <f t="shared" si="170"/>
        <v>-9.5785828346631376E-3</v>
      </c>
      <c r="Q2702" s="4">
        <f t="shared" si="170"/>
        <v>7.5207818019640109E-4</v>
      </c>
      <c r="R2702" s="4">
        <f t="shared" si="170"/>
        <v>2.4273820479372861E-3</v>
      </c>
      <c r="S2702" s="4">
        <f t="shared" si="170"/>
        <v>-1.352100161717046E-2</v>
      </c>
      <c r="T2702" s="4">
        <f t="shared" si="170"/>
        <v>-9.5344654845470455E-3</v>
      </c>
      <c r="U2702" s="35"/>
      <c r="V2702" s="35"/>
      <c r="W2702" s="35"/>
      <c r="X2702" s="35"/>
    </row>
    <row r="2703" spans="4:24" x14ac:dyDescent="0.3">
      <c r="D2703" s="23">
        <v>43504</v>
      </c>
      <c r="E2703" s="5">
        <v>248.48405500000001</v>
      </c>
      <c r="F2703" s="28">
        <v>69.618139999999997</v>
      </c>
      <c r="G2703" s="28">
        <v>124.21</v>
      </c>
      <c r="H2703" s="28">
        <v>162.88630000000001</v>
      </c>
      <c r="I2703" s="28">
        <v>127.6121</v>
      </c>
      <c r="J2703" s="29"/>
      <c r="K2703" s="29"/>
      <c r="L2703" s="29"/>
      <c r="M2703" s="29"/>
      <c r="N2703" s="29"/>
      <c r="P2703" s="4">
        <f t="shared" si="170"/>
        <v>1.2211616506455217E-3</v>
      </c>
      <c r="Q2703" s="4">
        <f t="shared" si="170"/>
        <v>1.5028925418925261E-3</v>
      </c>
      <c r="R2703" s="4">
        <f t="shared" si="170"/>
        <v>3.7910914532596554E-3</v>
      </c>
      <c r="S2703" s="4">
        <f t="shared" si="170"/>
        <v>1.9603415181650382E-3</v>
      </c>
      <c r="T2703" s="4">
        <f t="shared" si="170"/>
        <v>1.0082495416950795E-3</v>
      </c>
      <c r="U2703" s="35"/>
      <c r="V2703" s="35"/>
      <c r="W2703" s="35"/>
      <c r="X2703" s="35"/>
    </row>
    <row r="2704" spans="4:24" x14ac:dyDescent="0.3">
      <c r="D2704" s="23">
        <v>43507</v>
      </c>
      <c r="E2704" s="5">
        <v>248.621826</v>
      </c>
      <c r="F2704" s="28">
        <v>69.591980000000007</v>
      </c>
      <c r="G2704" s="28">
        <v>123.6</v>
      </c>
      <c r="H2704" s="28">
        <v>162.73159999999999</v>
      </c>
      <c r="I2704" s="28">
        <v>127.8784</v>
      </c>
      <c r="J2704" s="29"/>
      <c r="K2704" s="29"/>
      <c r="L2704" s="29"/>
      <c r="M2704" s="29"/>
      <c r="N2704" s="29"/>
      <c r="P2704" s="4">
        <f t="shared" si="170"/>
        <v>5.5429239038674611E-4</v>
      </c>
      <c r="Q2704" s="4">
        <f t="shared" si="170"/>
        <v>-3.7583474977138866E-4</v>
      </c>
      <c r="R2704" s="4">
        <f t="shared" si="170"/>
        <v>-4.9231365325119528E-3</v>
      </c>
      <c r="S2704" s="4">
        <f t="shared" si="170"/>
        <v>-9.5019353444318502E-4</v>
      </c>
      <c r="T2704" s="4">
        <f t="shared" si="170"/>
        <v>2.0846183825765749E-3</v>
      </c>
      <c r="U2704" s="35"/>
      <c r="V2704" s="35"/>
      <c r="W2704" s="35"/>
      <c r="X2704" s="35"/>
    </row>
    <row r="2705" spans="4:24" x14ac:dyDescent="0.3">
      <c r="D2705" s="23">
        <v>43508</v>
      </c>
      <c r="E2705" s="5">
        <v>251.818893</v>
      </c>
      <c r="F2705" s="28">
        <v>69.583290000000005</v>
      </c>
      <c r="G2705" s="28">
        <v>123.86</v>
      </c>
      <c r="H2705" s="28">
        <v>165.1378</v>
      </c>
      <c r="I2705" s="28">
        <v>129.4761</v>
      </c>
      <c r="J2705" s="29"/>
      <c r="K2705" s="29"/>
      <c r="L2705" s="29"/>
      <c r="M2705" s="29"/>
      <c r="N2705" s="29"/>
      <c r="P2705" s="4">
        <f t="shared" si="170"/>
        <v>1.2777179688281792E-2</v>
      </c>
      <c r="Q2705" s="4">
        <f t="shared" si="170"/>
        <v>-1.248785076730712E-4</v>
      </c>
      <c r="R2705" s="4">
        <f t="shared" si="170"/>
        <v>2.1013504863244179E-3</v>
      </c>
      <c r="S2705" s="4">
        <f t="shared" si="170"/>
        <v>1.4678059009115386E-2</v>
      </c>
      <c r="T2705" s="4">
        <f t="shared" si="170"/>
        <v>1.2416495738863435E-2</v>
      </c>
      <c r="U2705" s="35"/>
      <c r="V2705" s="35"/>
      <c r="W2705" s="35"/>
      <c r="X2705" s="35"/>
    </row>
    <row r="2706" spans="4:24" x14ac:dyDescent="0.3">
      <c r="D2706" s="23">
        <v>43509</v>
      </c>
      <c r="E2706" s="5">
        <v>252.636459</v>
      </c>
      <c r="F2706" s="28">
        <v>69.478769999999997</v>
      </c>
      <c r="G2706" s="28">
        <v>123.37</v>
      </c>
      <c r="H2706" s="28">
        <v>165.25370000000001</v>
      </c>
      <c r="I2706" s="28">
        <v>129.8802</v>
      </c>
      <c r="J2706" s="29"/>
      <c r="K2706" s="29"/>
      <c r="L2706" s="29"/>
      <c r="M2706" s="29"/>
      <c r="N2706" s="29"/>
      <c r="P2706" s="4">
        <f t="shared" si="170"/>
        <v>3.2413838512222073E-3</v>
      </c>
      <c r="Q2706" s="4">
        <f t="shared" si="170"/>
        <v>-1.5032140280617104E-3</v>
      </c>
      <c r="R2706" s="4">
        <f t="shared" si="170"/>
        <v>-3.9639254265416155E-3</v>
      </c>
      <c r="S2706" s="4">
        <f t="shared" si="170"/>
        <v>7.0159192808621725E-4</v>
      </c>
      <c r="T2706" s="4">
        <f t="shared" si="170"/>
        <v>3.1161789939434521E-3</v>
      </c>
      <c r="U2706" s="35"/>
      <c r="V2706" s="35"/>
      <c r="W2706" s="35"/>
      <c r="X2706" s="35"/>
    </row>
    <row r="2707" spans="4:24" x14ac:dyDescent="0.3">
      <c r="D2707" s="23">
        <v>43510</v>
      </c>
      <c r="E2707" s="5">
        <v>252.07620199999999</v>
      </c>
      <c r="F2707" s="28">
        <v>69.600710000000007</v>
      </c>
      <c r="G2707" s="28">
        <v>124.06</v>
      </c>
      <c r="H2707" s="28">
        <v>165.45670000000001</v>
      </c>
      <c r="I2707" s="28">
        <v>129.6506</v>
      </c>
      <c r="J2707" s="29"/>
      <c r="K2707" s="29"/>
      <c r="L2707" s="29"/>
      <c r="M2707" s="29"/>
      <c r="N2707" s="29"/>
      <c r="P2707" s="4">
        <f t="shared" si="170"/>
        <v>-2.2201037279667313E-3</v>
      </c>
      <c r="Q2707" s="4">
        <f t="shared" si="170"/>
        <v>1.7535301576593154E-3</v>
      </c>
      <c r="R2707" s="4">
        <f t="shared" si="170"/>
        <v>5.577349461598222E-3</v>
      </c>
      <c r="S2707" s="4">
        <f t="shared" si="170"/>
        <v>1.2276603668704676E-3</v>
      </c>
      <c r="T2707" s="4">
        <f t="shared" si="170"/>
        <v>-1.7693472982676095E-3</v>
      </c>
      <c r="U2707" s="35"/>
      <c r="V2707" s="35"/>
      <c r="W2707" s="35"/>
      <c r="X2707" s="35"/>
    </row>
    <row r="2708" spans="4:24" x14ac:dyDescent="0.3">
      <c r="D2708" s="23">
        <v>43511</v>
      </c>
      <c r="E2708" s="5">
        <v>254.823105</v>
      </c>
      <c r="F2708" s="28">
        <v>69.626850000000005</v>
      </c>
      <c r="G2708" s="28">
        <v>124.8</v>
      </c>
      <c r="H2708" s="28">
        <v>166.1525</v>
      </c>
      <c r="I2708" s="28">
        <v>131.07400000000001</v>
      </c>
      <c r="J2708" s="29"/>
      <c r="K2708" s="29"/>
      <c r="L2708" s="29"/>
      <c r="M2708" s="29"/>
      <c r="N2708" s="29"/>
      <c r="P2708" s="4">
        <f t="shared" si="170"/>
        <v>1.0838167860806122E-2</v>
      </c>
      <c r="Q2708" s="4">
        <f t="shared" si="170"/>
        <v>3.7550037229914585E-4</v>
      </c>
      <c r="R2708" s="4">
        <f t="shared" si="170"/>
        <v>5.9471363903557083E-3</v>
      </c>
      <c r="S2708" s="4">
        <f t="shared" si="170"/>
        <v>4.1965121662947092E-3</v>
      </c>
      <c r="T2708" s="4">
        <f t="shared" si="170"/>
        <v>1.0918909391420768E-2</v>
      </c>
      <c r="U2708" s="35"/>
      <c r="V2708" s="35"/>
      <c r="W2708" s="35"/>
      <c r="X2708" s="35"/>
    </row>
    <row r="2709" spans="4:24" x14ac:dyDescent="0.3">
      <c r="D2709" s="23">
        <v>43515</v>
      </c>
      <c r="E2709" s="5">
        <v>255.26409899999999</v>
      </c>
      <c r="F2709" s="28">
        <v>69.687799999999996</v>
      </c>
      <c r="G2709" s="28">
        <v>126.7</v>
      </c>
      <c r="H2709" s="28">
        <v>166.48099999999999</v>
      </c>
      <c r="I2709" s="28">
        <v>131.33109999999999</v>
      </c>
      <c r="J2709" s="29"/>
      <c r="K2709" s="29"/>
      <c r="L2709" s="29"/>
      <c r="M2709" s="29"/>
      <c r="N2709" s="29"/>
      <c r="P2709" s="4">
        <f t="shared" ref="P2709:T2724" si="171">LN(E2709/E2708)</f>
        <v>1.7290930116030487E-3</v>
      </c>
      <c r="Q2709" s="4">
        <f t="shared" si="171"/>
        <v>8.7499776784001604E-4</v>
      </c>
      <c r="R2709" s="4">
        <f t="shared" si="171"/>
        <v>1.5109631391766134E-2</v>
      </c>
      <c r="S2709" s="4">
        <f t="shared" si="171"/>
        <v>1.9751474628715809E-3</v>
      </c>
      <c r="T2709" s="4">
        <f t="shared" si="171"/>
        <v>1.9595661995123058E-3</v>
      </c>
      <c r="U2709" s="35"/>
      <c r="V2709" s="35"/>
      <c r="W2709" s="35"/>
      <c r="X2709" s="35"/>
    </row>
    <row r="2710" spans="4:24" x14ac:dyDescent="0.3">
      <c r="D2710" s="23">
        <v>43516</v>
      </c>
      <c r="E2710" s="5">
        <v>255.778595</v>
      </c>
      <c r="F2710" s="28">
        <v>69.661709999999999</v>
      </c>
      <c r="G2710" s="28">
        <v>126.48</v>
      </c>
      <c r="H2710" s="28">
        <v>166.452</v>
      </c>
      <c r="I2710" s="28">
        <v>131.60650000000001</v>
      </c>
      <c r="J2710" s="29"/>
      <c r="K2710" s="29"/>
      <c r="L2710" s="29"/>
      <c r="M2710" s="29"/>
      <c r="N2710" s="29"/>
      <c r="P2710" s="4">
        <f t="shared" si="171"/>
        <v>2.0135154258730716E-3</v>
      </c>
      <c r="Q2710" s="4">
        <f t="shared" si="171"/>
        <v>-3.7445413772678866E-4</v>
      </c>
      <c r="R2710" s="4">
        <f t="shared" si="171"/>
        <v>-1.7378944258767889E-3</v>
      </c>
      <c r="S2710" s="4">
        <f t="shared" si="171"/>
        <v>-1.7420922572014108E-4</v>
      </c>
      <c r="T2710" s="4">
        <f t="shared" si="171"/>
        <v>2.0947943596379155E-3</v>
      </c>
      <c r="U2710" s="35"/>
      <c r="V2710" s="35"/>
      <c r="W2710" s="35"/>
      <c r="X2710" s="35"/>
    </row>
    <row r="2711" spans="4:24" x14ac:dyDescent="0.3">
      <c r="D2711" s="23">
        <v>43517</v>
      </c>
      <c r="E2711" s="5">
        <v>254.869034</v>
      </c>
      <c r="F2711" s="28">
        <v>69.522319999999993</v>
      </c>
      <c r="G2711" s="28">
        <v>125.05</v>
      </c>
      <c r="H2711" s="28">
        <v>165.8432</v>
      </c>
      <c r="I2711" s="28">
        <v>131.1566</v>
      </c>
      <c r="J2711" s="29"/>
      <c r="K2711" s="29"/>
      <c r="L2711" s="29"/>
      <c r="M2711" s="29"/>
      <c r="N2711" s="29"/>
      <c r="P2711" s="4">
        <f t="shared" si="171"/>
        <v>-3.5623859203526053E-3</v>
      </c>
      <c r="Q2711" s="4">
        <f t="shared" si="171"/>
        <v>-2.0029603482667521E-3</v>
      </c>
      <c r="R2711" s="4">
        <f t="shared" si="171"/>
        <v>-1.1370535577588561E-2</v>
      </c>
      <c r="S2711" s="4">
        <f t="shared" si="171"/>
        <v>-3.6642159210837758E-3</v>
      </c>
      <c r="T2711" s="4">
        <f t="shared" si="171"/>
        <v>-3.4243806656381664E-3</v>
      </c>
      <c r="U2711" s="35"/>
      <c r="V2711" s="35"/>
      <c r="W2711" s="35"/>
      <c r="X2711" s="35"/>
    </row>
    <row r="2712" spans="4:24" x14ac:dyDescent="0.3">
      <c r="D2712" s="23">
        <v>43518</v>
      </c>
      <c r="E2712" s="5">
        <v>256.44927999999999</v>
      </c>
      <c r="F2712" s="28">
        <v>69.679140000000004</v>
      </c>
      <c r="G2712" s="28">
        <v>125.5</v>
      </c>
      <c r="H2712" s="28">
        <v>167.07050000000001</v>
      </c>
      <c r="I2712" s="28">
        <v>132.0198</v>
      </c>
      <c r="J2712" s="29"/>
      <c r="K2712" s="29"/>
      <c r="L2712" s="29"/>
      <c r="M2712" s="29"/>
      <c r="N2712" s="29"/>
      <c r="P2712" s="4">
        <f t="shared" si="171"/>
        <v>6.1810851985724053E-3</v>
      </c>
      <c r="Q2712" s="4">
        <f t="shared" si="171"/>
        <v>2.2531382406925818E-3</v>
      </c>
      <c r="R2712" s="4">
        <f t="shared" si="171"/>
        <v>3.5921012482106186E-3</v>
      </c>
      <c r="S2712" s="4">
        <f t="shared" si="171"/>
        <v>7.373115374665771E-3</v>
      </c>
      <c r="T2712" s="4">
        <f t="shared" si="171"/>
        <v>6.5598822344019826E-3</v>
      </c>
      <c r="U2712" s="35"/>
      <c r="V2712" s="35"/>
      <c r="W2712" s="35"/>
      <c r="X2712" s="35"/>
    </row>
    <row r="2713" spans="4:24" x14ac:dyDescent="0.3">
      <c r="D2713" s="23">
        <v>43521</v>
      </c>
      <c r="E2713" s="5">
        <v>256.79836999999998</v>
      </c>
      <c r="F2713" s="28">
        <v>69.652990000000003</v>
      </c>
      <c r="G2713" s="28">
        <v>125.37</v>
      </c>
      <c r="H2713" s="28">
        <v>167.67930000000001</v>
      </c>
      <c r="I2713" s="28">
        <v>132.21260000000001</v>
      </c>
      <c r="J2713" s="29"/>
      <c r="K2713" s="29"/>
      <c r="L2713" s="29"/>
      <c r="M2713" s="29"/>
      <c r="N2713" s="29"/>
      <c r="P2713" s="4">
        <f t="shared" si="171"/>
        <v>1.3603181771279268E-3</v>
      </c>
      <c r="Q2713" s="4">
        <f t="shared" si="171"/>
        <v>-3.7536209784549382E-4</v>
      </c>
      <c r="R2713" s="4">
        <f t="shared" si="171"/>
        <v>-1.0363934439048784E-3</v>
      </c>
      <c r="S2713" s="4">
        <f t="shared" si="171"/>
        <v>3.6373474829074896E-3</v>
      </c>
      <c r="T2713" s="4">
        <f t="shared" si="171"/>
        <v>1.4593216745251917E-3</v>
      </c>
      <c r="U2713" s="35"/>
      <c r="V2713" s="35"/>
      <c r="W2713" s="35"/>
      <c r="X2713" s="35"/>
    </row>
    <row r="2714" spans="4:24" x14ac:dyDescent="0.3">
      <c r="D2714" s="23">
        <v>43522</v>
      </c>
      <c r="E2714" s="5">
        <v>256.61465500000003</v>
      </c>
      <c r="F2714" s="28">
        <v>69.748800000000003</v>
      </c>
      <c r="G2714" s="28">
        <v>125.58</v>
      </c>
      <c r="H2714" s="28">
        <v>167.85319999999999</v>
      </c>
      <c r="I2714" s="28">
        <v>131.96469999999999</v>
      </c>
      <c r="J2714" s="29"/>
      <c r="K2714" s="29"/>
      <c r="L2714" s="29"/>
      <c r="M2714" s="29"/>
      <c r="N2714" s="29"/>
      <c r="P2714" s="4">
        <f t="shared" si="171"/>
        <v>-7.1566165599741094E-4</v>
      </c>
      <c r="Q2714" s="4">
        <f t="shared" si="171"/>
        <v>1.3745880176433711E-3</v>
      </c>
      <c r="R2714" s="4">
        <f t="shared" si="171"/>
        <v>1.6736405580296937E-3</v>
      </c>
      <c r="S2714" s="4">
        <f t="shared" si="171"/>
        <v>1.0365613797212988E-3</v>
      </c>
      <c r="T2714" s="4">
        <f t="shared" si="171"/>
        <v>-1.8767704323133664E-3</v>
      </c>
      <c r="U2714" s="35"/>
      <c r="V2714" s="35"/>
      <c r="W2714" s="35"/>
      <c r="X2714" s="35"/>
    </row>
    <row r="2715" spans="4:24" x14ac:dyDescent="0.3">
      <c r="D2715" s="23">
        <v>43523</v>
      </c>
      <c r="E2715" s="5">
        <v>256.50433299999997</v>
      </c>
      <c r="F2715" s="28">
        <v>69.609440000000006</v>
      </c>
      <c r="G2715" s="28">
        <v>124.69</v>
      </c>
      <c r="H2715" s="28">
        <v>167.74690000000001</v>
      </c>
      <c r="I2715" s="28">
        <v>132.01060000000001</v>
      </c>
      <c r="J2715" s="29"/>
      <c r="K2715" s="29"/>
      <c r="L2715" s="29"/>
      <c r="M2715" s="29"/>
      <c r="N2715" s="29"/>
      <c r="P2715" s="4">
        <f t="shared" si="171"/>
        <v>-4.3000553197219087E-4</v>
      </c>
      <c r="Q2715" s="4">
        <f t="shared" si="171"/>
        <v>-2.0000259253350463E-3</v>
      </c>
      <c r="R2715" s="4">
        <f t="shared" si="171"/>
        <v>-7.1123486774686022E-3</v>
      </c>
      <c r="S2715" s="4">
        <f t="shared" si="171"/>
        <v>-6.3349208510323494E-4</v>
      </c>
      <c r="T2715" s="4">
        <f t="shared" si="171"/>
        <v>3.4775981285066541E-4</v>
      </c>
      <c r="U2715" s="35"/>
      <c r="V2715" s="35"/>
      <c r="W2715" s="35"/>
      <c r="X2715" s="35"/>
    </row>
    <row r="2716" spans="4:24" x14ac:dyDescent="0.3">
      <c r="D2716" s="23">
        <v>43524</v>
      </c>
      <c r="E2716" s="5">
        <v>256.02664199999998</v>
      </c>
      <c r="F2716" s="28">
        <v>69.531009999999995</v>
      </c>
      <c r="G2716" s="28">
        <v>123.99</v>
      </c>
      <c r="H2716" s="28">
        <v>167.3604</v>
      </c>
      <c r="I2716" s="28">
        <v>131.73509999999999</v>
      </c>
      <c r="J2716" s="29"/>
      <c r="K2716" s="29"/>
      <c r="L2716" s="29"/>
      <c r="M2716" s="29"/>
      <c r="N2716" s="29"/>
      <c r="P2716" s="4">
        <f t="shared" si="171"/>
        <v>-1.8640478785438448E-3</v>
      </c>
      <c r="Q2716" s="4">
        <f t="shared" si="171"/>
        <v>-1.127350217805381E-3</v>
      </c>
      <c r="R2716" s="4">
        <f t="shared" si="171"/>
        <v>-5.6297398167441896E-3</v>
      </c>
      <c r="S2716" s="4">
        <f t="shared" si="171"/>
        <v>-2.3067248691979432E-3</v>
      </c>
      <c r="T2716" s="4">
        <f t="shared" si="171"/>
        <v>-2.0891343457069595E-3</v>
      </c>
      <c r="U2716" s="35"/>
      <c r="V2716" s="35"/>
      <c r="W2716" s="35"/>
      <c r="X2716" s="35"/>
    </row>
    <row r="2717" spans="4:24" x14ac:dyDescent="0.3">
      <c r="D2717" s="23">
        <v>43525</v>
      </c>
      <c r="E2717" s="5">
        <v>257.62518299999999</v>
      </c>
      <c r="F2717" s="28">
        <v>69.316249999999997</v>
      </c>
      <c r="G2717" s="28">
        <v>121.88</v>
      </c>
      <c r="H2717" s="28">
        <v>168.52</v>
      </c>
      <c r="I2717" s="28">
        <v>132.61670000000001</v>
      </c>
      <c r="J2717" s="29"/>
      <c r="K2717" s="29"/>
      <c r="L2717" s="29"/>
      <c r="M2717" s="29"/>
      <c r="N2717" s="29"/>
      <c r="P2717" s="4">
        <f t="shared" si="171"/>
        <v>6.2242401680365237E-3</v>
      </c>
      <c r="Q2717" s="4">
        <f t="shared" si="171"/>
        <v>-3.0934736668702728E-3</v>
      </c>
      <c r="R2717" s="4">
        <f t="shared" si="171"/>
        <v>-1.7163963074242367E-2</v>
      </c>
      <c r="S2717" s="4">
        <f t="shared" si="171"/>
        <v>6.9048661797526251E-3</v>
      </c>
      <c r="T2717" s="4">
        <f t="shared" si="171"/>
        <v>6.6699244595630428E-3</v>
      </c>
      <c r="U2717" s="35"/>
      <c r="V2717" s="35"/>
      <c r="W2717" s="35"/>
      <c r="X2717" s="35"/>
    </row>
    <row r="2718" spans="4:24" x14ac:dyDescent="0.3">
      <c r="D2718" s="23">
        <v>43528</v>
      </c>
      <c r="E2718" s="5">
        <v>256.68804899999998</v>
      </c>
      <c r="F2718" s="28">
        <v>69.438479999999998</v>
      </c>
      <c r="G2718" s="28">
        <v>121.56</v>
      </c>
      <c r="H2718" s="28">
        <v>168.54900000000001</v>
      </c>
      <c r="I2718" s="28">
        <v>132.00139999999999</v>
      </c>
      <c r="J2718" s="29"/>
      <c r="K2718" s="29"/>
      <c r="L2718" s="29"/>
      <c r="M2718" s="29"/>
      <c r="N2718" s="29"/>
      <c r="P2718" s="4">
        <f t="shared" si="171"/>
        <v>-3.6442190432335389E-3</v>
      </c>
      <c r="Q2718" s="4">
        <f t="shared" si="171"/>
        <v>1.7618142692032625E-3</v>
      </c>
      <c r="R2718" s="4">
        <f t="shared" si="171"/>
        <v>-2.6289860689159587E-3</v>
      </c>
      <c r="S2718" s="4">
        <f t="shared" si="171"/>
        <v>1.7207159407457541E-4</v>
      </c>
      <c r="T2718" s="4">
        <f t="shared" si="171"/>
        <v>-4.6504839156813081E-3</v>
      </c>
      <c r="U2718" s="35"/>
      <c r="V2718" s="35"/>
      <c r="W2718" s="35"/>
      <c r="X2718" s="35"/>
    </row>
    <row r="2719" spans="4:24" x14ac:dyDescent="0.3">
      <c r="D2719" s="23">
        <v>43529</v>
      </c>
      <c r="E2719" s="5">
        <v>256.33895899999999</v>
      </c>
      <c r="F2719" s="28">
        <v>69.490880000000004</v>
      </c>
      <c r="G2719" s="28">
        <v>121.72</v>
      </c>
      <c r="H2719" s="28">
        <v>168.6746</v>
      </c>
      <c r="I2719" s="28">
        <v>131.7535</v>
      </c>
      <c r="J2719" s="29"/>
      <c r="K2719" s="29"/>
      <c r="L2719" s="29"/>
      <c r="M2719" s="29"/>
      <c r="N2719" s="29"/>
      <c r="P2719" s="4">
        <f t="shared" si="171"/>
        <v>-1.3609032212116238E-3</v>
      </c>
      <c r="Q2719" s="4">
        <f t="shared" si="171"/>
        <v>7.5434022707312565E-4</v>
      </c>
      <c r="R2719" s="4">
        <f t="shared" si="171"/>
        <v>1.3153569801779494E-3</v>
      </c>
      <c r="S2719" s="4">
        <f t="shared" si="171"/>
        <v>7.4490638145015807E-4</v>
      </c>
      <c r="T2719" s="4">
        <f t="shared" si="171"/>
        <v>-1.8797760572213051E-3</v>
      </c>
      <c r="U2719" s="35"/>
      <c r="V2719" s="35"/>
      <c r="W2719" s="35"/>
      <c r="X2719" s="35"/>
    </row>
    <row r="2720" spans="4:24" x14ac:dyDescent="0.3">
      <c r="D2720" s="23">
        <v>43530</v>
      </c>
      <c r="E2720" s="5">
        <v>254.78637699999999</v>
      </c>
      <c r="F2720" s="28">
        <v>69.578199999999995</v>
      </c>
      <c r="G2720" s="28">
        <v>121.61</v>
      </c>
      <c r="H2720" s="28">
        <v>167.71789999999999</v>
      </c>
      <c r="I2720" s="28">
        <v>130.7526</v>
      </c>
      <c r="J2720" s="29"/>
      <c r="K2720" s="29"/>
      <c r="L2720" s="29"/>
      <c r="M2720" s="29"/>
      <c r="N2720" s="29"/>
      <c r="P2720" s="4">
        <f t="shared" si="171"/>
        <v>-6.0751704751433608E-3</v>
      </c>
      <c r="Q2720" s="4">
        <f t="shared" si="171"/>
        <v>1.2557789477741508E-3</v>
      </c>
      <c r="R2720" s="4">
        <f t="shared" si="171"/>
        <v>-9.0412203586213817E-4</v>
      </c>
      <c r="S2720" s="4">
        <f t="shared" si="171"/>
        <v>-5.688013730278915E-3</v>
      </c>
      <c r="T2720" s="4">
        <f t="shared" si="171"/>
        <v>-7.6257645089421646E-3</v>
      </c>
      <c r="U2720" s="35"/>
      <c r="V2720" s="35"/>
      <c r="W2720" s="35"/>
      <c r="X2720" s="35"/>
    </row>
    <row r="2721" spans="4:24" x14ac:dyDescent="0.3">
      <c r="D2721" s="23">
        <v>43531</v>
      </c>
      <c r="E2721" s="5">
        <v>252.65490700000001</v>
      </c>
      <c r="F2721" s="28">
        <v>69.778989999999993</v>
      </c>
      <c r="G2721" s="28">
        <v>121.51</v>
      </c>
      <c r="H2721" s="28">
        <v>165.65960000000001</v>
      </c>
      <c r="I2721" s="28">
        <v>129.73330000000001</v>
      </c>
      <c r="J2721" s="29"/>
      <c r="K2721" s="29"/>
      <c r="L2721" s="29"/>
      <c r="M2721" s="29"/>
      <c r="N2721" s="29"/>
      <c r="P2721" s="4">
        <f t="shared" si="171"/>
        <v>-8.4009031307904405E-3</v>
      </c>
      <c r="Q2721" s="4">
        <f t="shared" si="171"/>
        <v>2.8816617060981151E-3</v>
      </c>
      <c r="R2721" s="4">
        <f t="shared" si="171"/>
        <v>-8.2263907238768798E-4</v>
      </c>
      <c r="S2721" s="4">
        <f t="shared" si="171"/>
        <v>-1.2348320772946402E-2</v>
      </c>
      <c r="T2721" s="4">
        <f t="shared" si="171"/>
        <v>-7.8261833181693333E-3</v>
      </c>
      <c r="U2721" s="35"/>
      <c r="V2721" s="35"/>
      <c r="W2721" s="35"/>
      <c r="X2721" s="35"/>
    </row>
    <row r="2722" spans="4:24" x14ac:dyDescent="0.3">
      <c r="D2722" s="23">
        <v>43532</v>
      </c>
      <c r="E2722" s="5">
        <v>252.14967300000001</v>
      </c>
      <c r="F2722" s="28">
        <v>69.866330000000005</v>
      </c>
      <c r="G2722" s="28">
        <v>122.84</v>
      </c>
      <c r="H2722" s="28">
        <v>165.4084</v>
      </c>
      <c r="I2722" s="28">
        <v>129.46700000000001</v>
      </c>
      <c r="J2722" s="29"/>
      <c r="K2722" s="29"/>
      <c r="L2722" s="29"/>
      <c r="M2722" s="29"/>
      <c r="N2722" s="29"/>
      <c r="P2722" s="4">
        <f t="shared" si="171"/>
        <v>-2.0017020000019444E-3</v>
      </c>
      <c r="Q2722" s="4">
        <f t="shared" si="171"/>
        <v>1.2508834723354287E-3</v>
      </c>
      <c r="R2722" s="4">
        <f t="shared" si="171"/>
        <v>1.0886131652101276E-2</v>
      </c>
      <c r="S2722" s="4">
        <f t="shared" si="171"/>
        <v>-1.517513309690257E-3</v>
      </c>
      <c r="T2722" s="4">
        <f t="shared" si="171"/>
        <v>-2.054782295360799E-3</v>
      </c>
      <c r="U2722" s="35"/>
      <c r="V2722" s="35"/>
      <c r="W2722" s="35"/>
      <c r="X2722" s="35"/>
    </row>
    <row r="2723" spans="4:24" x14ac:dyDescent="0.3">
      <c r="D2723" s="23">
        <v>43535</v>
      </c>
      <c r="E2723" s="5">
        <v>255.806061</v>
      </c>
      <c r="F2723" s="28">
        <v>69.831410000000005</v>
      </c>
      <c r="G2723" s="28">
        <v>122.24</v>
      </c>
      <c r="H2723" s="28">
        <v>168.8486</v>
      </c>
      <c r="I2723" s="28">
        <v>131.36779999999999</v>
      </c>
      <c r="J2723" s="29"/>
      <c r="K2723" s="29"/>
      <c r="L2723" s="29"/>
      <c r="M2723" s="29"/>
      <c r="N2723" s="29"/>
      <c r="P2723" s="4">
        <f t="shared" si="171"/>
        <v>1.4396731481674288E-2</v>
      </c>
      <c r="Q2723" s="4">
        <f t="shared" si="171"/>
        <v>-4.9993651618576555E-4</v>
      </c>
      <c r="R2723" s="4">
        <f t="shared" si="171"/>
        <v>-4.8963701544112968E-3</v>
      </c>
      <c r="S2723" s="4">
        <f t="shared" si="171"/>
        <v>2.0584888140893862E-2</v>
      </c>
      <c r="T2723" s="4">
        <f t="shared" si="171"/>
        <v>1.4575000336560805E-2</v>
      </c>
      <c r="U2723" s="35"/>
      <c r="V2723" s="35"/>
      <c r="W2723" s="35"/>
      <c r="X2723" s="35"/>
    </row>
    <row r="2724" spans="4:24" x14ac:dyDescent="0.3">
      <c r="D2724" s="23">
        <v>43536</v>
      </c>
      <c r="E2724" s="5">
        <v>256.77072099999998</v>
      </c>
      <c r="F2724" s="28">
        <v>69.99727</v>
      </c>
      <c r="G2724" s="28">
        <v>122.98</v>
      </c>
      <c r="H2724" s="28">
        <v>169.77619999999999</v>
      </c>
      <c r="I2724" s="28">
        <v>131.80850000000001</v>
      </c>
      <c r="J2724" s="29"/>
      <c r="K2724" s="29"/>
      <c r="L2724" s="29"/>
      <c r="M2724" s="29"/>
      <c r="N2724" s="29"/>
      <c r="P2724" s="4">
        <f t="shared" si="171"/>
        <v>3.7639673616641509E-3</v>
      </c>
      <c r="Q2724" s="4">
        <f t="shared" si="171"/>
        <v>2.3723327401476836E-3</v>
      </c>
      <c r="R2724" s="4">
        <f t="shared" si="171"/>
        <v>6.0354151071132884E-3</v>
      </c>
      <c r="S2724" s="4">
        <f t="shared" si="171"/>
        <v>5.4786437390281859E-3</v>
      </c>
      <c r="T2724" s="4">
        <f t="shared" si="171"/>
        <v>3.349088895330633E-3</v>
      </c>
      <c r="U2724" s="35"/>
      <c r="V2724" s="35"/>
      <c r="W2724" s="35"/>
      <c r="X2724" s="35"/>
    </row>
    <row r="2725" spans="4:24" x14ac:dyDescent="0.3">
      <c r="D2725" s="23">
        <v>43537</v>
      </c>
      <c r="E2725" s="5">
        <v>258.47045900000001</v>
      </c>
      <c r="F2725" s="28">
        <v>69.962329999999994</v>
      </c>
      <c r="G2725" s="28">
        <v>123.84</v>
      </c>
      <c r="H2725" s="28">
        <v>171.05179999999999</v>
      </c>
      <c r="I2725" s="28">
        <v>132.6534</v>
      </c>
      <c r="J2725" s="29"/>
      <c r="K2725" s="29"/>
      <c r="L2725" s="29"/>
      <c r="M2725" s="29"/>
      <c r="N2725" s="29"/>
      <c r="P2725" s="4">
        <f t="shared" ref="P2725:T2740" si="172">LN(E2725/E2724)</f>
        <v>6.5978583700972348E-3</v>
      </c>
      <c r="Q2725" s="4">
        <f t="shared" si="172"/>
        <v>-4.9928694745976867E-4</v>
      </c>
      <c r="R2725" s="4">
        <f t="shared" si="172"/>
        <v>6.9686693160934355E-3</v>
      </c>
      <c r="S2725" s="4">
        <f t="shared" si="172"/>
        <v>7.4853354537166919E-3</v>
      </c>
      <c r="T2725" s="4">
        <f t="shared" si="172"/>
        <v>6.3895999730638874E-3</v>
      </c>
      <c r="U2725" s="35"/>
      <c r="V2725" s="35"/>
      <c r="W2725" s="35"/>
      <c r="X2725" s="35"/>
    </row>
    <row r="2726" spans="4:24" x14ac:dyDescent="0.3">
      <c r="D2726" s="23">
        <v>43538</v>
      </c>
      <c r="E2726" s="5">
        <v>258.30508400000002</v>
      </c>
      <c r="F2726" s="28">
        <v>69.901219999999995</v>
      </c>
      <c r="G2726" s="28">
        <v>122.41</v>
      </c>
      <c r="H2726" s="28">
        <v>170.7619</v>
      </c>
      <c r="I2726" s="28">
        <v>132.54320000000001</v>
      </c>
      <c r="J2726" s="29"/>
      <c r="K2726" s="29"/>
      <c r="L2726" s="29"/>
      <c r="M2726" s="29"/>
      <c r="N2726" s="29"/>
      <c r="P2726" s="4">
        <f t="shared" si="172"/>
        <v>-6.4002644043569315E-4</v>
      </c>
      <c r="Q2726" s="4">
        <f t="shared" si="172"/>
        <v>-8.7385174891844563E-4</v>
      </c>
      <c r="R2726" s="4">
        <f t="shared" si="172"/>
        <v>-1.1614343753995926E-2</v>
      </c>
      <c r="S2726" s="4">
        <f t="shared" si="172"/>
        <v>-1.6962460516332172E-3</v>
      </c>
      <c r="T2726" s="4">
        <f t="shared" si="172"/>
        <v>-8.3108159262135196E-4</v>
      </c>
      <c r="U2726" s="35"/>
      <c r="V2726" s="35"/>
      <c r="W2726" s="35"/>
      <c r="X2726" s="35"/>
    </row>
    <row r="2727" spans="4:24" x14ac:dyDescent="0.3">
      <c r="D2727" s="23">
        <v>43539</v>
      </c>
      <c r="E2727" s="5">
        <v>259.58120700000001</v>
      </c>
      <c r="F2727" s="28">
        <v>70.032179999999997</v>
      </c>
      <c r="G2727" s="28">
        <v>122.97</v>
      </c>
      <c r="H2727" s="28">
        <v>172.3467</v>
      </c>
      <c r="I2727" s="28">
        <v>133.1584</v>
      </c>
      <c r="J2727" s="29"/>
      <c r="K2727" s="29"/>
      <c r="L2727" s="29"/>
      <c r="M2727" s="29"/>
      <c r="N2727" s="29"/>
      <c r="P2727" s="4">
        <f t="shared" si="172"/>
        <v>4.9282076199620795E-3</v>
      </c>
      <c r="Q2727" s="4">
        <f t="shared" si="172"/>
        <v>1.8717481063736173E-3</v>
      </c>
      <c r="R2727" s="4">
        <f t="shared" si="172"/>
        <v>4.5643570969348748E-3</v>
      </c>
      <c r="S2727" s="4">
        <f t="shared" si="172"/>
        <v>9.2379571397148072E-3</v>
      </c>
      <c r="T2727" s="4">
        <f t="shared" si="172"/>
        <v>4.6307669909564642E-3</v>
      </c>
      <c r="U2727" s="35"/>
      <c r="V2727" s="35"/>
      <c r="W2727" s="35"/>
      <c r="X2727" s="35"/>
    </row>
    <row r="2728" spans="4:24" x14ac:dyDescent="0.3">
      <c r="D2728" s="23">
        <v>43542</v>
      </c>
      <c r="E2728" s="5">
        <v>260.5224</v>
      </c>
      <c r="F2728" s="28">
        <v>69.988529999999997</v>
      </c>
      <c r="G2728" s="28">
        <v>123.04</v>
      </c>
      <c r="H2728" s="28">
        <v>172.75720000000001</v>
      </c>
      <c r="I2728" s="28">
        <v>133.65430000000001</v>
      </c>
      <c r="J2728" s="29"/>
      <c r="K2728" s="29"/>
      <c r="L2728" s="29"/>
      <c r="M2728" s="29"/>
      <c r="N2728" s="29"/>
      <c r="P2728" s="4">
        <f t="shared" si="172"/>
        <v>3.6192559125681738E-3</v>
      </c>
      <c r="Q2728" s="4">
        <f t="shared" si="172"/>
        <v>-6.2347921838119076E-4</v>
      </c>
      <c r="R2728" s="4">
        <f t="shared" si="172"/>
        <v>5.6908257297794455E-4</v>
      </c>
      <c r="S2728" s="4">
        <f t="shared" si="172"/>
        <v>2.3789948105834065E-3</v>
      </c>
      <c r="T2728" s="4">
        <f t="shared" si="172"/>
        <v>3.7172186407686773E-3</v>
      </c>
      <c r="U2728" s="35"/>
      <c r="V2728" s="35"/>
      <c r="W2728" s="35"/>
      <c r="X2728" s="35"/>
    </row>
    <row r="2729" spans="4:24" x14ac:dyDescent="0.3">
      <c r="D2729" s="23">
        <v>43543</v>
      </c>
      <c r="E2729" s="5">
        <v>260.58700599999997</v>
      </c>
      <c r="F2729" s="28">
        <v>69.953599999999994</v>
      </c>
      <c r="G2729" s="28">
        <v>123.38</v>
      </c>
      <c r="H2729" s="28">
        <v>173.33799999999999</v>
      </c>
      <c r="I2729" s="28">
        <v>133.6268</v>
      </c>
      <c r="J2729" s="29"/>
      <c r="K2729" s="29"/>
      <c r="L2729" s="29"/>
      <c r="M2729" s="29"/>
      <c r="N2729" s="29"/>
      <c r="P2729" s="4">
        <f t="shared" si="172"/>
        <v>2.4795561003924948E-4</v>
      </c>
      <c r="Q2729" s="4">
        <f t="shared" si="172"/>
        <v>-4.992063608779796E-4</v>
      </c>
      <c r="R2729" s="4">
        <f t="shared" si="172"/>
        <v>2.7595180241585947E-3</v>
      </c>
      <c r="S2729" s="4">
        <f t="shared" si="172"/>
        <v>3.3563051161381702E-3</v>
      </c>
      <c r="T2729" s="4">
        <f t="shared" si="172"/>
        <v>-2.0577586740733731E-4</v>
      </c>
      <c r="U2729" s="35"/>
      <c r="V2729" s="35"/>
      <c r="W2729" s="35"/>
      <c r="X2729" s="35"/>
    </row>
    <row r="2730" spans="4:24" x14ac:dyDescent="0.3">
      <c r="D2730" s="23">
        <v>43544</v>
      </c>
      <c r="E2730" s="5">
        <v>259.80267300000003</v>
      </c>
      <c r="F2730" s="28">
        <v>70.259219999999999</v>
      </c>
      <c r="G2730" s="28">
        <v>124.18</v>
      </c>
      <c r="H2730" s="28">
        <v>174.02539999999999</v>
      </c>
      <c r="I2730" s="28">
        <v>133.07579999999999</v>
      </c>
      <c r="J2730" s="29"/>
      <c r="K2730" s="29"/>
      <c r="L2730" s="29"/>
      <c r="M2730" s="29"/>
      <c r="N2730" s="29"/>
      <c r="P2730" s="4">
        <f t="shared" si="172"/>
        <v>-3.0144087231744991E-3</v>
      </c>
      <c r="Q2730" s="4">
        <f t="shared" si="172"/>
        <v>4.3593800339370176E-3</v>
      </c>
      <c r="R2730" s="4">
        <f t="shared" si="172"/>
        <v>6.4631021552542106E-3</v>
      </c>
      <c r="S2730" s="4">
        <f t="shared" si="172"/>
        <v>3.9578199505491468E-3</v>
      </c>
      <c r="T2730" s="4">
        <f t="shared" si="172"/>
        <v>-4.1319490993728617E-3</v>
      </c>
      <c r="U2730" s="35"/>
      <c r="V2730" s="35"/>
      <c r="W2730" s="35"/>
      <c r="X2730" s="35"/>
    </row>
    <row r="2731" spans="4:24" x14ac:dyDescent="0.3">
      <c r="D2731" s="23">
        <v>43545</v>
      </c>
      <c r="E2731" s="5">
        <v>262.73706099999998</v>
      </c>
      <c r="F2731" s="28">
        <v>70.276650000000004</v>
      </c>
      <c r="G2731" s="28">
        <v>123.68</v>
      </c>
      <c r="H2731" s="28">
        <v>176.7457</v>
      </c>
      <c r="I2731" s="28">
        <v>134.63679999999999</v>
      </c>
      <c r="J2731" s="29"/>
      <c r="K2731" s="29"/>
      <c r="L2731" s="29"/>
      <c r="M2731" s="29"/>
      <c r="N2731" s="29"/>
      <c r="P2731" s="4">
        <f t="shared" si="172"/>
        <v>1.123137114831484E-2</v>
      </c>
      <c r="Q2731" s="4">
        <f t="shared" si="172"/>
        <v>2.4805055235196233E-4</v>
      </c>
      <c r="R2731" s="4">
        <f t="shared" si="172"/>
        <v>-4.0345410976348906E-3</v>
      </c>
      <c r="S2731" s="4">
        <f t="shared" si="172"/>
        <v>1.5510710761231382E-2</v>
      </c>
      <c r="T2731" s="4">
        <f t="shared" si="172"/>
        <v>1.166189182920011E-2</v>
      </c>
      <c r="U2731" s="35"/>
      <c r="V2731" s="35"/>
      <c r="W2731" s="35"/>
      <c r="X2731" s="35"/>
    </row>
    <row r="2732" spans="4:24" x14ac:dyDescent="0.3">
      <c r="D2732" s="23">
        <v>43546</v>
      </c>
      <c r="E2732" s="5">
        <v>257.68029799999999</v>
      </c>
      <c r="F2732" s="28">
        <v>70.660849999999996</v>
      </c>
      <c r="G2732" s="28">
        <v>123.97</v>
      </c>
      <c r="H2732" s="28">
        <v>172.86369999999999</v>
      </c>
      <c r="I2732" s="28">
        <v>131.82689999999999</v>
      </c>
      <c r="J2732" s="29"/>
      <c r="K2732" s="29"/>
      <c r="L2732" s="29"/>
      <c r="M2732" s="29"/>
      <c r="N2732" s="29"/>
      <c r="P2732" s="4">
        <f t="shared" si="172"/>
        <v>-1.9434102520069198E-2</v>
      </c>
      <c r="Q2732" s="4">
        <f t="shared" si="172"/>
        <v>5.4520755895207124E-3</v>
      </c>
      <c r="R2732" s="4">
        <f t="shared" si="172"/>
        <v>2.342016010943511E-3</v>
      </c>
      <c r="S2732" s="4">
        <f t="shared" si="172"/>
        <v>-2.220855363334814E-2</v>
      </c>
      <c r="T2732" s="4">
        <f t="shared" si="172"/>
        <v>-2.1091084157250885E-2</v>
      </c>
      <c r="U2732" s="35"/>
      <c r="V2732" s="35"/>
      <c r="W2732" s="35"/>
      <c r="X2732" s="35"/>
    </row>
    <row r="2733" spans="4:24" x14ac:dyDescent="0.3">
      <c r="D2733" s="23">
        <v>43549</v>
      </c>
      <c r="E2733" s="5">
        <v>257.48651100000001</v>
      </c>
      <c r="F2733" s="28">
        <v>70.748170000000002</v>
      </c>
      <c r="G2733" s="28">
        <v>124.92</v>
      </c>
      <c r="H2733" s="28">
        <v>172.53450000000001</v>
      </c>
      <c r="I2733" s="28">
        <v>131.73650000000001</v>
      </c>
      <c r="J2733" s="29"/>
      <c r="K2733" s="29"/>
      <c r="L2733" s="29"/>
      <c r="M2733" s="29"/>
      <c r="N2733" s="29"/>
      <c r="P2733" s="4">
        <f t="shared" si="172"/>
        <v>-7.5232722976228484E-4</v>
      </c>
      <c r="Q2733" s="4">
        <f t="shared" si="172"/>
        <v>1.2349991690564094E-3</v>
      </c>
      <c r="R2733" s="4">
        <f t="shared" si="172"/>
        <v>7.6339315648223903E-3</v>
      </c>
      <c r="S2733" s="4">
        <f t="shared" si="172"/>
        <v>-1.9062062262185505E-3</v>
      </c>
      <c r="T2733" s="4">
        <f t="shared" si="172"/>
        <v>-6.8598298204504903E-4</v>
      </c>
      <c r="U2733" s="35"/>
      <c r="V2733" s="35"/>
      <c r="W2733" s="35"/>
      <c r="X2733" s="35"/>
    </row>
    <row r="2734" spans="4:24" x14ac:dyDescent="0.3">
      <c r="D2734" s="23">
        <v>43550</v>
      </c>
      <c r="E2734" s="5">
        <v>259.40588400000001</v>
      </c>
      <c r="F2734" s="28">
        <v>70.765590000000003</v>
      </c>
      <c r="G2734" s="28">
        <v>124.3</v>
      </c>
      <c r="H2734" s="28">
        <v>173.33799999999999</v>
      </c>
      <c r="I2734" s="28">
        <v>132.75200000000001</v>
      </c>
      <c r="J2734" s="29"/>
      <c r="K2734" s="29"/>
      <c r="L2734" s="29"/>
      <c r="M2734" s="29"/>
      <c r="N2734" s="29"/>
      <c r="P2734" s="4">
        <f t="shared" si="172"/>
        <v>7.4266204743087746E-3</v>
      </c>
      <c r="Q2734" s="4">
        <f t="shared" si="172"/>
        <v>2.4619514156060856E-4</v>
      </c>
      <c r="R2734" s="4">
        <f t="shared" si="172"/>
        <v>-4.9755338982124349E-3</v>
      </c>
      <c r="S2734" s="4">
        <f t="shared" si="172"/>
        <v>4.6462291477860082E-3</v>
      </c>
      <c r="T2734" s="4">
        <f t="shared" si="172"/>
        <v>7.6790105437070976E-3</v>
      </c>
      <c r="U2734" s="35"/>
      <c r="V2734" s="35"/>
      <c r="W2734" s="35"/>
      <c r="X2734" s="35"/>
    </row>
    <row r="2735" spans="4:24" x14ac:dyDescent="0.3">
      <c r="D2735" s="23">
        <v>43551</v>
      </c>
      <c r="E2735" s="5">
        <v>258.04946899999999</v>
      </c>
      <c r="F2735" s="28">
        <v>70.896550000000005</v>
      </c>
      <c r="G2735" s="28">
        <v>123.65</v>
      </c>
      <c r="H2735" s="28">
        <v>172.22470000000001</v>
      </c>
      <c r="I2735" s="28">
        <v>132.14269999999999</v>
      </c>
      <c r="J2735" s="29"/>
      <c r="K2735" s="29"/>
      <c r="L2735" s="29"/>
      <c r="M2735" s="29"/>
      <c r="N2735" s="29"/>
      <c r="P2735" s="4">
        <f t="shared" si="172"/>
        <v>-5.2426478880950459E-3</v>
      </c>
      <c r="Q2735" s="4">
        <f t="shared" si="172"/>
        <v>1.8489066635128189E-3</v>
      </c>
      <c r="R2735" s="4">
        <f t="shared" si="172"/>
        <v>-5.2430045492401134E-3</v>
      </c>
      <c r="S2735" s="4">
        <f t="shared" si="172"/>
        <v>-6.4434260515129366E-3</v>
      </c>
      <c r="T2735" s="4">
        <f t="shared" si="172"/>
        <v>-4.6003266547140383E-3</v>
      </c>
      <c r="U2735" s="35"/>
      <c r="V2735" s="35"/>
      <c r="W2735" s="35"/>
      <c r="X2735" s="35"/>
    </row>
    <row r="2736" spans="4:24" x14ac:dyDescent="0.3">
      <c r="D2736" s="23">
        <v>43552</v>
      </c>
      <c r="E2736" s="5">
        <v>259.027557</v>
      </c>
      <c r="F2736" s="28">
        <v>70.931479999999993</v>
      </c>
      <c r="G2736" s="28">
        <v>121.9</v>
      </c>
      <c r="H2736" s="28">
        <v>172.6216</v>
      </c>
      <c r="I2736" s="28">
        <v>132.7243</v>
      </c>
      <c r="J2736" s="29"/>
      <c r="K2736" s="29"/>
      <c r="L2736" s="29"/>
      <c r="M2736" s="29"/>
      <c r="N2736" s="29"/>
      <c r="P2736" s="4">
        <f t="shared" si="172"/>
        <v>3.783146871232288E-3</v>
      </c>
      <c r="Q2736" s="4">
        <f t="shared" si="172"/>
        <v>4.9256836897797153E-4</v>
      </c>
      <c r="R2736" s="4">
        <f t="shared" si="172"/>
        <v>-1.4253957480199423E-2</v>
      </c>
      <c r="S2736" s="4">
        <f t="shared" si="172"/>
        <v>2.3018960925799007E-3</v>
      </c>
      <c r="T2736" s="4">
        <f t="shared" si="172"/>
        <v>4.3916451256997219E-3</v>
      </c>
      <c r="U2736" s="35"/>
      <c r="V2736" s="35"/>
      <c r="W2736" s="35"/>
      <c r="X2736" s="35"/>
    </row>
    <row r="2737" spans="4:24" x14ac:dyDescent="0.3">
      <c r="D2737" s="23">
        <v>43553</v>
      </c>
      <c r="E2737" s="5">
        <v>260.66082799999998</v>
      </c>
      <c r="F2737" s="28">
        <v>70.879109999999997</v>
      </c>
      <c r="G2737" s="28">
        <v>122.01</v>
      </c>
      <c r="H2737" s="28">
        <v>173.92859999999999</v>
      </c>
      <c r="I2737" s="28">
        <v>133.60140000000001</v>
      </c>
      <c r="J2737" s="29"/>
      <c r="K2737" s="29"/>
      <c r="L2737" s="29"/>
      <c r="M2737" s="29"/>
      <c r="N2737" s="29"/>
      <c r="P2737" s="4">
        <f t="shared" si="172"/>
        <v>6.2855989262549086E-3</v>
      </c>
      <c r="Q2737" s="4">
        <f t="shared" si="172"/>
        <v>-7.3859085390899648E-4</v>
      </c>
      <c r="R2737" s="4">
        <f t="shared" si="172"/>
        <v>9.0197210001691469E-4</v>
      </c>
      <c r="S2737" s="4">
        <f t="shared" si="172"/>
        <v>7.542954509531301E-3</v>
      </c>
      <c r="T2737" s="4">
        <f t="shared" si="172"/>
        <v>6.5866956966416845E-3</v>
      </c>
      <c r="U2737" s="35"/>
      <c r="V2737" s="35"/>
      <c r="W2737" s="35"/>
      <c r="X2737" s="35"/>
    </row>
    <row r="2738" spans="4:24" x14ac:dyDescent="0.3">
      <c r="D2738" s="23">
        <v>43556</v>
      </c>
      <c r="E2738" s="5">
        <v>263.75201399999997</v>
      </c>
      <c r="F2738" s="28">
        <v>70.599019999999996</v>
      </c>
      <c r="G2738" s="28">
        <v>121.53</v>
      </c>
      <c r="H2738" s="28">
        <v>176.23259999999999</v>
      </c>
      <c r="I2738" s="28">
        <v>135.1525</v>
      </c>
      <c r="J2738" s="29"/>
      <c r="K2738" s="29"/>
      <c r="L2738" s="29"/>
      <c r="M2738" s="29"/>
      <c r="N2738" s="29"/>
      <c r="P2738" s="4">
        <f t="shared" si="172"/>
        <v>1.1789268130720934E-2</v>
      </c>
      <c r="Q2738" s="4">
        <f t="shared" si="172"/>
        <v>-3.9594864015601089E-3</v>
      </c>
      <c r="R2738" s="4">
        <f t="shared" si="172"/>
        <v>-3.9418627045340274E-3</v>
      </c>
      <c r="S2738" s="4">
        <f t="shared" si="172"/>
        <v>1.3159843242181519E-2</v>
      </c>
      <c r="T2738" s="4">
        <f t="shared" si="172"/>
        <v>1.1543030427038303E-2</v>
      </c>
      <c r="U2738" s="35"/>
      <c r="V2738" s="35"/>
      <c r="W2738" s="35"/>
      <c r="X2738" s="35"/>
    </row>
    <row r="2739" spans="4:24" x14ac:dyDescent="0.3">
      <c r="D2739" s="23">
        <v>43557</v>
      </c>
      <c r="E2739" s="5">
        <v>263.88128699999999</v>
      </c>
      <c r="F2739" s="28">
        <v>70.634039999999999</v>
      </c>
      <c r="G2739" s="28">
        <v>121.98</v>
      </c>
      <c r="H2739" s="28">
        <v>176.9006</v>
      </c>
      <c r="I2739" s="28">
        <v>135.14320000000001</v>
      </c>
      <c r="J2739" s="29"/>
      <c r="K2739" s="29"/>
      <c r="L2739" s="29"/>
      <c r="M2739" s="29"/>
      <c r="N2739" s="29"/>
      <c r="P2739" s="4">
        <f t="shared" si="172"/>
        <v>4.9001077961406518E-4</v>
      </c>
      <c r="Q2739" s="4">
        <f t="shared" si="172"/>
        <v>4.9591789227984063E-4</v>
      </c>
      <c r="R2739" s="4">
        <f t="shared" si="172"/>
        <v>3.6959509856013821E-3</v>
      </c>
      <c r="S2739" s="4">
        <f t="shared" si="172"/>
        <v>3.7832794920905533E-3</v>
      </c>
      <c r="T2739" s="4">
        <f t="shared" si="172"/>
        <v>-6.8813525362575024E-5</v>
      </c>
      <c r="U2739" s="35"/>
      <c r="V2739" s="35"/>
      <c r="W2739" s="35"/>
      <c r="X2739" s="35"/>
    </row>
    <row r="2740" spans="4:24" x14ac:dyDescent="0.3">
      <c r="D2740" s="23">
        <v>43558</v>
      </c>
      <c r="E2740" s="5">
        <v>264.29650900000001</v>
      </c>
      <c r="F2740" s="28">
        <v>70.537769999999995</v>
      </c>
      <c r="G2740" s="28">
        <v>121.8</v>
      </c>
      <c r="H2740" s="28">
        <v>177.9171</v>
      </c>
      <c r="I2740" s="28">
        <v>135.46629999999999</v>
      </c>
      <c r="J2740" s="29"/>
      <c r="K2740" s="29"/>
      <c r="L2740" s="29"/>
      <c r="M2740" s="29"/>
      <c r="N2740" s="29"/>
      <c r="P2740" s="4">
        <f t="shared" si="172"/>
        <v>1.5722814881000385E-3</v>
      </c>
      <c r="Q2740" s="4">
        <f t="shared" si="172"/>
        <v>-1.3638702361752179E-3</v>
      </c>
      <c r="R2740" s="4">
        <f t="shared" si="172"/>
        <v>-1.4767415925136288E-3</v>
      </c>
      <c r="S2740" s="4">
        <f t="shared" si="172"/>
        <v>5.7297185622110182E-3</v>
      </c>
      <c r="T2740" s="4">
        <f t="shared" si="172"/>
        <v>2.3879439083531379E-3</v>
      </c>
      <c r="U2740" s="35"/>
      <c r="V2740" s="35"/>
      <c r="W2740" s="35"/>
      <c r="X2740" s="35"/>
    </row>
    <row r="2741" spans="4:24" x14ac:dyDescent="0.3">
      <c r="D2741" s="23">
        <v>43559</v>
      </c>
      <c r="E2741" s="5">
        <v>264.99771099999998</v>
      </c>
      <c r="F2741" s="28">
        <v>70.607770000000002</v>
      </c>
      <c r="G2741" s="28">
        <v>122.11</v>
      </c>
      <c r="H2741" s="28">
        <v>177.8494</v>
      </c>
      <c r="I2741" s="28">
        <v>135.7525</v>
      </c>
      <c r="J2741" s="29"/>
      <c r="K2741" s="29"/>
      <c r="L2741" s="29"/>
      <c r="M2741" s="29"/>
      <c r="N2741" s="29"/>
      <c r="P2741" s="4">
        <f t="shared" ref="P2741:T2756" si="173">LN(E2741/E2740)</f>
        <v>2.64957516527423E-3</v>
      </c>
      <c r="Q2741" s="4">
        <f t="shared" si="173"/>
        <v>9.9188406150180685E-4</v>
      </c>
      <c r="R2741" s="4">
        <f t="shared" si="173"/>
        <v>2.5419225691339412E-3</v>
      </c>
      <c r="S2741" s="4">
        <f t="shared" si="173"/>
        <v>-3.8058670963774091E-4</v>
      </c>
      <c r="T2741" s="4">
        <f t="shared" si="173"/>
        <v>2.110473951144136E-3</v>
      </c>
      <c r="U2741" s="35"/>
      <c r="V2741" s="35"/>
      <c r="W2741" s="35"/>
      <c r="X2741" s="35"/>
    </row>
    <row r="2742" spans="4:24" x14ac:dyDescent="0.3">
      <c r="D2742" s="23">
        <v>43560</v>
      </c>
      <c r="E2742" s="5">
        <v>266.280396</v>
      </c>
      <c r="F2742" s="28">
        <v>70.660309999999996</v>
      </c>
      <c r="G2742" s="28">
        <v>121.98</v>
      </c>
      <c r="H2742" s="28">
        <v>178.76900000000001</v>
      </c>
      <c r="I2742" s="28">
        <v>136.4357</v>
      </c>
      <c r="J2742" s="29"/>
      <c r="K2742" s="29"/>
      <c r="L2742" s="29"/>
      <c r="M2742" s="29"/>
      <c r="N2742" s="29"/>
      <c r="P2742" s="4">
        <f t="shared" si="173"/>
        <v>4.8286856747062528E-3</v>
      </c>
      <c r="Q2742" s="4">
        <f t="shared" si="173"/>
        <v>7.4383402708496271E-4</v>
      </c>
      <c r="R2742" s="4">
        <f t="shared" si="173"/>
        <v>-1.065180976620223E-3</v>
      </c>
      <c r="S2742" s="4">
        <f t="shared" si="173"/>
        <v>5.1573448723245463E-3</v>
      </c>
      <c r="T2742" s="4">
        <f t="shared" si="173"/>
        <v>5.0200665185353606E-3</v>
      </c>
      <c r="U2742" s="35"/>
      <c r="V2742" s="35"/>
      <c r="W2742" s="35"/>
      <c r="X2742" s="35"/>
    </row>
    <row r="2743" spans="4:24" x14ac:dyDescent="0.3">
      <c r="D2743" s="23">
        <v>43563</v>
      </c>
      <c r="E2743" s="5">
        <v>266.483429</v>
      </c>
      <c r="F2743" s="28">
        <v>70.590270000000004</v>
      </c>
      <c r="G2743" s="28">
        <v>122.51</v>
      </c>
      <c r="H2743" s="28">
        <v>179.22409999999999</v>
      </c>
      <c r="I2743" s="28">
        <v>136.5557</v>
      </c>
      <c r="J2743" s="29"/>
      <c r="K2743" s="29"/>
      <c r="L2743" s="29"/>
      <c r="M2743" s="29"/>
      <c r="N2743" s="29"/>
      <c r="P2743" s="4">
        <f t="shared" si="173"/>
        <v>7.6218767229171362E-4</v>
      </c>
      <c r="Q2743" s="4">
        <f t="shared" si="173"/>
        <v>-9.9171282327227593E-4</v>
      </c>
      <c r="R2743" s="4">
        <f t="shared" si="173"/>
        <v>4.3355624377690322E-3</v>
      </c>
      <c r="S2743" s="4">
        <f t="shared" si="173"/>
        <v>2.5425084738248016E-3</v>
      </c>
      <c r="T2743" s="4">
        <f t="shared" si="173"/>
        <v>8.7914863053579009E-4</v>
      </c>
      <c r="U2743" s="35"/>
      <c r="V2743" s="35"/>
      <c r="W2743" s="35"/>
      <c r="X2743" s="35"/>
    </row>
    <row r="2744" spans="4:24" x14ac:dyDescent="0.3">
      <c r="D2744" s="23">
        <v>43564</v>
      </c>
      <c r="E2744" s="5">
        <v>265.11776700000001</v>
      </c>
      <c r="F2744" s="28">
        <v>70.69529</v>
      </c>
      <c r="G2744" s="28">
        <v>123.15</v>
      </c>
      <c r="H2744" s="28">
        <v>178.59479999999999</v>
      </c>
      <c r="I2744" s="28">
        <v>135.73410000000001</v>
      </c>
      <c r="J2744" s="29"/>
      <c r="K2744" s="29"/>
      <c r="L2744" s="29"/>
      <c r="M2744" s="29"/>
      <c r="N2744" s="29"/>
      <c r="P2744" s="4">
        <f t="shared" si="173"/>
        <v>-5.1379305183693342E-3</v>
      </c>
      <c r="Q2744" s="4">
        <f t="shared" si="173"/>
        <v>1.4866348598102761E-3</v>
      </c>
      <c r="R2744" s="4">
        <f t="shared" si="173"/>
        <v>5.2104652604676527E-3</v>
      </c>
      <c r="S2744" s="4">
        <f t="shared" si="173"/>
        <v>-3.5174254284663798E-3</v>
      </c>
      <c r="T2744" s="4">
        <f t="shared" si="173"/>
        <v>-6.0347651174905807E-3</v>
      </c>
      <c r="U2744" s="35"/>
      <c r="V2744" s="35"/>
      <c r="W2744" s="35"/>
      <c r="X2744" s="35"/>
    </row>
    <row r="2745" spans="4:24" x14ac:dyDescent="0.3">
      <c r="D2745" s="23">
        <v>43565</v>
      </c>
      <c r="E2745" s="5">
        <v>266.02200299999998</v>
      </c>
      <c r="F2745" s="28">
        <v>70.791579999999996</v>
      </c>
      <c r="G2745" s="28">
        <v>123.53</v>
      </c>
      <c r="H2745" s="28">
        <v>179.5532</v>
      </c>
      <c r="I2745" s="28">
        <v>136.36179999999999</v>
      </c>
      <c r="J2745" s="29"/>
      <c r="K2745" s="29"/>
      <c r="L2745" s="29"/>
      <c r="M2745" s="29"/>
      <c r="N2745" s="29"/>
      <c r="P2745" s="4">
        <f t="shared" si="173"/>
        <v>3.4048923641666821E-3</v>
      </c>
      <c r="Q2745" s="4">
        <f t="shared" si="173"/>
        <v>1.361115909424911E-3</v>
      </c>
      <c r="R2745" s="4">
        <f t="shared" si="173"/>
        <v>3.0809169821753067E-3</v>
      </c>
      <c r="S2745" s="4">
        <f t="shared" si="173"/>
        <v>5.3519901698941856E-3</v>
      </c>
      <c r="T2745" s="4">
        <f t="shared" si="173"/>
        <v>4.6138226522771959E-3</v>
      </c>
      <c r="U2745" s="35"/>
      <c r="V2745" s="35"/>
      <c r="W2745" s="35"/>
      <c r="X2745" s="35"/>
    </row>
    <row r="2746" spans="4:24" x14ac:dyDescent="0.3">
      <c r="D2746" s="23">
        <v>43566</v>
      </c>
      <c r="E2746" s="5">
        <v>265.94827299999997</v>
      </c>
      <c r="F2746" s="28">
        <v>70.669079999999994</v>
      </c>
      <c r="G2746" s="28">
        <v>121.95</v>
      </c>
      <c r="H2746" s="28">
        <v>179.12719999999999</v>
      </c>
      <c r="I2746" s="28">
        <v>136.3526</v>
      </c>
      <c r="J2746" s="29"/>
      <c r="K2746" s="29"/>
      <c r="L2746" s="29"/>
      <c r="M2746" s="29"/>
      <c r="N2746" s="29"/>
      <c r="P2746" s="4">
        <f t="shared" si="173"/>
        <v>-2.7719594044429052E-4</v>
      </c>
      <c r="Q2746" s="4">
        <f t="shared" si="173"/>
        <v>-1.7319307095096967E-3</v>
      </c>
      <c r="R2746" s="4">
        <f t="shared" si="173"/>
        <v>-1.2872916886793023E-2</v>
      </c>
      <c r="S2746" s="4">
        <f t="shared" si="173"/>
        <v>-2.3753748479448293E-3</v>
      </c>
      <c r="T2746" s="4">
        <f t="shared" si="173"/>
        <v>-6.7469851269133825E-5</v>
      </c>
      <c r="U2746" s="35"/>
      <c r="V2746" s="35"/>
      <c r="W2746" s="35"/>
      <c r="X2746" s="35"/>
    </row>
    <row r="2747" spans="4:24" x14ac:dyDescent="0.3">
      <c r="D2747" s="23">
        <v>43567</v>
      </c>
      <c r="E2747" s="5">
        <v>267.747589</v>
      </c>
      <c r="F2747" s="28">
        <v>70.537769999999995</v>
      </c>
      <c r="G2747" s="28">
        <v>121.83</v>
      </c>
      <c r="H2747" s="28">
        <v>179.90170000000001</v>
      </c>
      <c r="I2747" s="28">
        <v>137.26660000000001</v>
      </c>
      <c r="J2747" s="29"/>
      <c r="K2747" s="29"/>
      <c r="L2747" s="29"/>
      <c r="M2747" s="29"/>
      <c r="N2747" s="29"/>
      <c r="P2747" s="4">
        <f t="shared" si="173"/>
        <v>6.742877153363188E-3</v>
      </c>
      <c r="Q2747" s="4">
        <f t="shared" si="173"/>
        <v>-1.8598253250399475E-3</v>
      </c>
      <c r="R2747" s="4">
        <f t="shared" si="173"/>
        <v>-9.8449429561316268E-4</v>
      </c>
      <c r="S2747" s="4">
        <f t="shared" si="173"/>
        <v>4.3144226071711346E-3</v>
      </c>
      <c r="T2747" s="4">
        <f t="shared" si="173"/>
        <v>6.6808425694862509E-3</v>
      </c>
      <c r="U2747" s="35"/>
      <c r="V2747" s="35"/>
      <c r="W2747" s="35"/>
      <c r="X2747" s="35"/>
    </row>
    <row r="2748" spans="4:24" x14ac:dyDescent="0.3">
      <c r="D2748" s="23">
        <v>43570</v>
      </c>
      <c r="E2748" s="5">
        <v>267.57226600000001</v>
      </c>
      <c r="F2748" s="28">
        <v>70.555269999999993</v>
      </c>
      <c r="G2748" s="28">
        <v>121.6</v>
      </c>
      <c r="H2748" s="28">
        <v>179.9308</v>
      </c>
      <c r="I2748" s="28">
        <v>137.1559</v>
      </c>
      <c r="J2748" s="29"/>
      <c r="K2748" s="29"/>
      <c r="L2748" s="29"/>
      <c r="M2748" s="29"/>
      <c r="N2748" s="29"/>
      <c r="P2748" s="4">
        <f t="shared" si="173"/>
        <v>-6.5502149651651095E-4</v>
      </c>
      <c r="Q2748" s="4">
        <f t="shared" si="173"/>
        <v>2.4806326505890514E-4</v>
      </c>
      <c r="R2748" s="4">
        <f t="shared" si="173"/>
        <v>-1.8896608342494996E-3</v>
      </c>
      <c r="S2748" s="4">
        <f t="shared" si="173"/>
        <v>1.6174192194107488E-4</v>
      </c>
      <c r="T2748" s="4">
        <f t="shared" si="173"/>
        <v>-8.0678520168416803E-4</v>
      </c>
      <c r="U2748" s="35"/>
      <c r="V2748" s="35"/>
      <c r="W2748" s="35"/>
      <c r="X2748" s="35"/>
    </row>
    <row r="2749" spans="4:24" x14ac:dyDescent="0.3">
      <c r="D2749" s="23">
        <v>43571</v>
      </c>
      <c r="E2749" s="5">
        <v>267.747589</v>
      </c>
      <c r="F2749" s="28">
        <v>70.432739999999995</v>
      </c>
      <c r="G2749" s="28">
        <v>120.51</v>
      </c>
      <c r="H2749" s="28">
        <v>180.5504</v>
      </c>
      <c r="I2749" s="28">
        <v>137.19280000000001</v>
      </c>
      <c r="J2749" s="29"/>
      <c r="K2749" s="29"/>
      <c r="L2749" s="29"/>
      <c r="M2749" s="29"/>
      <c r="N2749" s="29"/>
      <c r="P2749" s="4">
        <f t="shared" si="173"/>
        <v>6.5502149651659237E-4</v>
      </c>
      <c r="Q2749" s="4">
        <f t="shared" si="173"/>
        <v>-1.7381624274156577E-3</v>
      </c>
      <c r="R2749" s="4">
        <f t="shared" si="173"/>
        <v>-9.0042324927660095E-3</v>
      </c>
      <c r="S2749" s="4">
        <f t="shared" si="173"/>
        <v>3.4376306457406204E-3</v>
      </c>
      <c r="T2749" s="4">
        <f t="shared" si="173"/>
        <v>2.6900072952790616E-4</v>
      </c>
      <c r="U2749" s="35"/>
      <c r="V2749" s="35"/>
      <c r="W2749" s="35"/>
      <c r="X2749" s="35"/>
    </row>
    <row r="2750" spans="4:24" x14ac:dyDescent="0.3">
      <c r="D2750" s="23">
        <v>43572</v>
      </c>
      <c r="E2750" s="5">
        <v>267.09249899999998</v>
      </c>
      <c r="F2750" s="28">
        <v>70.432739999999995</v>
      </c>
      <c r="G2750" s="28">
        <v>120.28</v>
      </c>
      <c r="H2750" s="28">
        <v>181.17959999999999</v>
      </c>
      <c r="I2750" s="28">
        <v>136.685</v>
      </c>
      <c r="J2750" s="29"/>
      <c r="K2750" s="29"/>
      <c r="L2750" s="29"/>
      <c r="M2750" s="29"/>
      <c r="N2750" s="29"/>
      <c r="P2750" s="4">
        <f t="shared" si="173"/>
        <v>-2.4496680121429922E-3</v>
      </c>
      <c r="Q2750" s="4">
        <f t="shared" si="173"/>
        <v>0</v>
      </c>
      <c r="R2750" s="4">
        <f t="shared" si="173"/>
        <v>-1.9103789189722456E-3</v>
      </c>
      <c r="S2750" s="4">
        <f t="shared" si="173"/>
        <v>3.4788413157092425E-3</v>
      </c>
      <c r="T2750" s="4">
        <f t="shared" si="173"/>
        <v>-3.7082274057572595E-3</v>
      </c>
      <c r="U2750" s="35"/>
      <c r="V2750" s="35"/>
      <c r="W2750" s="35"/>
      <c r="X2750" s="35"/>
    </row>
    <row r="2751" spans="4:24" x14ac:dyDescent="0.3">
      <c r="D2751" s="23">
        <v>43573</v>
      </c>
      <c r="E2751" s="5">
        <v>267.618469</v>
      </c>
      <c r="F2751" s="28">
        <v>70.528999999999996</v>
      </c>
      <c r="G2751" s="28">
        <v>120.37</v>
      </c>
      <c r="H2751" s="28">
        <v>181.4119</v>
      </c>
      <c r="I2751" s="28">
        <v>136.88810000000001</v>
      </c>
      <c r="J2751" s="29"/>
      <c r="K2751" s="29"/>
      <c r="L2751" s="29"/>
      <c r="M2751" s="29"/>
      <c r="N2751" s="29"/>
      <c r="P2751" s="4">
        <f t="shared" si="173"/>
        <v>1.9673064556935543E-3</v>
      </c>
      <c r="Q2751" s="4">
        <f t="shared" si="173"/>
        <v>1.3657608789852404E-3</v>
      </c>
      <c r="R2751" s="4">
        <f t="shared" si="173"/>
        <v>7.4797427131510579E-4</v>
      </c>
      <c r="S2751" s="4">
        <f t="shared" si="173"/>
        <v>1.2813319219163247E-3</v>
      </c>
      <c r="T2751" s="4">
        <f t="shared" si="173"/>
        <v>1.4847953787352755E-3</v>
      </c>
      <c r="U2751" s="35"/>
      <c r="V2751" s="35"/>
      <c r="W2751" s="35"/>
      <c r="X2751" s="35"/>
    </row>
    <row r="2752" spans="4:24" x14ac:dyDescent="0.3">
      <c r="D2752" s="23">
        <v>43577</v>
      </c>
      <c r="E2752" s="5">
        <v>267.84906000000001</v>
      </c>
      <c r="F2752" s="28">
        <v>70.458979999999997</v>
      </c>
      <c r="G2752" s="28">
        <v>120.37</v>
      </c>
      <c r="H2752" s="28">
        <v>181.92509999999999</v>
      </c>
      <c r="I2752" s="28">
        <v>136.92500000000001</v>
      </c>
      <c r="J2752" s="29"/>
      <c r="K2752" s="29"/>
      <c r="L2752" s="29"/>
      <c r="M2752" s="29"/>
      <c r="N2752" s="29"/>
      <c r="P2752" s="4">
        <f t="shared" si="173"/>
        <v>8.6126983156085025E-4</v>
      </c>
      <c r="Q2752" s="4">
        <f t="shared" si="173"/>
        <v>-9.9327624605725245E-4</v>
      </c>
      <c r="R2752" s="4">
        <f t="shared" si="173"/>
        <v>0</v>
      </c>
      <c r="S2752" s="4">
        <f t="shared" si="173"/>
        <v>2.8249274986426503E-3</v>
      </c>
      <c r="T2752" s="4">
        <f t="shared" si="173"/>
        <v>2.6952691615850076E-4</v>
      </c>
      <c r="U2752" s="35"/>
      <c r="V2752" s="35"/>
      <c r="W2752" s="35"/>
      <c r="X2752" s="35"/>
    </row>
    <row r="2753" spans="4:24" x14ac:dyDescent="0.3">
      <c r="D2753" s="23">
        <v>43578</v>
      </c>
      <c r="E2753" s="5">
        <v>270.25750699999998</v>
      </c>
      <c r="F2753" s="28">
        <v>70.581530000000001</v>
      </c>
      <c r="G2753" s="28">
        <v>120.12</v>
      </c>
      <c r="H2753" s="28">
        <v>184.2388</v>
      </c>
      <c r="I2753" s="28">
        <v>138.30070000000001</v>
      </c>
      <c r="J2753" s="29"/>
      <c r="K2753" s="29"/>
      <c r="L2753" s="29"/>
      <c r="M2753" s="29"/>
      <c r="N2753" s="29"/>
      <c r="P2753" s="4">
        <f t="shared" si="173"/>
        <v>8.9516212229720747E-3</v>
      </c>
      <c r="Q2753" s="4">
        <f t="shared" si="173"/>
        <v>1.7377990315151034E-3</v>
      </c>
      <c r="R2753" s="4">
        <f t="shared" si="173"/>
        <v>-2.0790892765139082E-3</v>
      </c>
      <c r="S2753" s="4">
        <f t="shared" si="173"/>
        <v>1.2637678337559395E-2</v>
      </c>
      <c r="T2753" s="4">
        <f t="shared" si="173"/>
        <v>9.9969694487112085E-3</v>
      </c>
      <c r="U2753" s="35"/>
      <c r="V2753" s="35"/>
      <c r="W2753" s="35"/>
      <c r="X2753" s="35"/>
    </row>
    <row r="2754" spans="4:24" x14ac:dyDescent="0.3">
      <c r="D2754" s="23">
        <v>43579</v>
      </c>
      <c r="E2754" s="5">
        <v>269.657715</v>
      </c>
      <c r="F2754" s="28">
        <v>70.765309999999999</v>
      </c>
      <c r="G2754" s="28">
        <v>120.47</v>
      </c>
      <c r="H2754" s="28">
        <v>183.65799999999999</v>
      </c>
      <c r="I2754" s="28">
        <v>138.11600000000001</v>
      </c>
      <c r="J2754" s="29"/>
      <c r="K2754" s="29"/>
      <c r="L2754" s="29"/>
      <c r="M2754" s="29"/>
      <c r="N2754" s="29"/>
      <c r="P2754" s="4">
        <f t="shared" si="173"/>
        <v>-2.2218015803025645E-3</v>
      </c>
      <c r="Q2754" s="4">
        <f t="shared" si="173"/>
        <v>2.6004133316642848E-3</v>
      </c>
      <c r="R2754" s="4">
        <f t="shared" si="173"/>
        <v>2.9095161636317575E-3</v>
      </c>
      <c r="S2754" s="4">
        <f t="shared" si="173"/>
        <v>-3.1574098090061571E-3</v>
      </c>
      <c r="T2754" s="4">
        <f t="shared" si="173"/>
        <v>-1.3363883404185293E-3</v>
      </c>
      <c r="U2754" s="35"/>
      <c r="V2754" s="35"/>
      <c r="W2754" s="35"/>
      <c r="X2754" s="35"/>
    </row>
    <row r="2755" spans="4:24" x14ac:dyDescent="0.3">
      <c r="D2755" s="23">
        <v>43580</v>
      </c>
      <c r="E2755" s="5">
        <v>269.49160799999999</v>
      </c>
      <c r="F2755" s="28">
        <v>70.747839999999997</v>
      </c>
      <c r="G2755" s="28">
        <v>120.57</v>
      </c>
      <c r="H2755" s="28">
        <v>184.4033</v>
      </c>
      <c r="I2755" s="28">
        <v>137.8852</v>
      </c>
      <c r="J2755" s="29"/>
      <c r="K2755" s="29"/>
      <c r="L2755" s="29"/>
      <c r="M2755" s="29"/>
      <c r="N2755" s="29"/>
      <c r="P2755" s="4">
        <f t="shared" si="173"/>
        <v>-6.1618181891197972E-4</v>
      </c>
      <c r="Q2755" s="4">
        <f t="shared" si="173"/>
        <v>-2.4690285091879231E-4</v>
      </c>
      <c r="R2755" s="4">
        <f t="shared" si="173"/>
        <v>8.2973785045795773E-4</v>
      </c>
      <c r="S2755" s="4">
        <f t="shared" si="173"/>
        <v>4.0498744022720847E-3</v>
      </c>
      <c r="T2755" s="4">
        <f t="shared" si="173"/>
        <v>-1.6724568864034163E-3</v>
      </c>
      <c r="U2755" s="35"/>
      <c r="V2755" s="35"/>
      <c r="W2755" s="35"/>
      <c r="X2755" s="35"/>
    </row>
    <row r="2756" spans="4:24" x14ac:dyDescent="0.3">
      <c r="D2756" s="23">
        <v>43581</v>
      </c>
      <c r="E2756" s="5">
        <v>270.74661300000002</v>
      </c>
      <c r="F2756" s="28">
        <v>70.905370000000005</v>
      </c>
      <c r="G2756" s="28">
        <v>121.37</v>
      </c>
      <c r="H2756" s="28">
        <v>184.56800000000001</v>
      </c>
      <c r="I2756" s="28">
        <v>138.63300000000001</v>
      </c>
      <c r="J2756" s="29"/>
      <c r="K2756" s="29"/>
      <c r="L2756" s="29"/>
      <c r="M2756" s="29"/>
      <c r="N2756" s="29"/>
      <c r="P2756" s="4">
        <f t="shared" si="173"/>
        <v>4.6461253899115805E-3</v>
      </c>
      <c r="Q2756" s="4">
        <f t="shared" si="173"/>
        <v>2.2241651275049582E-3</v>
      </c>
      <c r="R2756" s="4">
        <f t="shared" si="173"/>
        <v>6.6132339890506743E-3</v>
      </c>
      <c r="S2756" s="4">
        <f t="shared" si="173"/>
        <v>8.9275242241831454E-4</v>
      </c>
      <c r="T2756" s="4">
        <f t="shared" si="173"/>
        <v>5.4086987620508764E-3</v>
      </c>
      <c r="U2756" s="35"/>
      <c r="V2756" s="35"/>
      <c r="W2756" s="35"/>
      <c r="X2756" s="35"/>
    </row>
    <row r="2757" spans="4:24" x14ac:dyDescent="0.3">
      <c r="D2757" s="23">
        <v>43584</v>
      </c>
      <c r="E2757" s="5">
        <v>271.17108200000001</v>
      </c>
      <c r="F2757" s="28">
        <v>70.756569999999996</v>
      </c>
      <c r="G2757" s="28">
        <v>120.83</v>
      </c>
      <c r="H2757" s="28">
        <v>184.92619999999999</v>
      </c>
      <c r="I2757" s="28">
        <v>138.83609999999999</v>
      </c>
      <c r="J2757" s="29"/>
      <c r="K2757" s="29"/>
      <c r="L2757" s="29"/>
      <c r="M2757" s="29"/>
      <c r="N2757" s="29"/>
      <c r="P2757" s="4">
        <f t="shared" ref="P2757:T2772" si="174">LN(E2757/E2756)</f>
        <v>1.566544479807362E-3</v>
      </c>
      <c r="Q2757" s="4">
        <f t="shared" si="174"/>
        <v>-2.1007767467318464E-3</v>
      </c>
      <c r="R2757" s="4">
        <f t="shared" si="174"/>
        <v>-4.4591320790533214E-3</v>
      </c>
      <c r="S2757" s="4">
        <f t="shared" si="174"/>
        <v>1.9388673067793944E-3</v>
      </c>
      <c r="T2757" s="4">
        <f t="shared" si="174"/>
        <v>1.4639470576913783E-3</v>
      </c>
      <c r="U2757" s="35"/>
      <c r="V2757" s="35"/>
      <c r="W2757" s="35"/>
      <c r="X2757" s="35"/>
    </row>
    <row r="2758" spans="4:24" x14ac:dyDescent="0.3">
      <c r="D2758" s="23">
        <v>43585</v>
      </c>
      <c r="E2758" s="5">
        <v>271.30944799999997</v>
      </c>
      <c r="F2758" s="28">
        <v>70.861590000000007</v>
      </c>
      <c r="G2758" s="28">
        <v>121.2</v>
      </c>
      <c r="H2758" s="28">
        <v>183.49340000000001</v>
      </c>
      <c r="I2758" s="28">
        <v>138.84540000000001</v>
      </c>
      <c r="J2758" s="29"/>
      <c r="K2758" s="29"/>
      <c r="L2758" s="29"/>
      <c r="M2758" s="29"/>
      <c r="N2758" s="29"/>
      <c r="P2758" s="4">
        <f t="shared" si="174"/>
        <v>5.1012338820897053E-4</v>
      </c>
      <c r="Q2758" s="4">
        <f t="shared" si="174"/>
        <v>1.4831433941971345E-3</v>
      </c>
      <c r="R2758" s="4">
        <f t="shared" si="174"/>
        <v>3.0574745959973367E-3</v>
      </c>
      <c r="S2758" s="4">
        <f t="shared" si="174"/>
        <v>-7.7781270247530001E-3</v>
      </c>
      <c r="T2758" s="4">
        <f t="shared" si="174"/>
        <v>6.6983216408126532E-5</v>
      </c>
      <c r="U2758" s="35"/>
      <c r="V2758" s="35"/>
      <c r="W2758" s="35"/>
      <c r="X2758" s="35"/>
    </row>
    <row r="2759" spans="4:24" x14ac:dyDescent="0.3">
      <c r="D2759" s="23">
        <v>43586</v>
      </c>
      <c r="E2759" s="5">
        <v>269.27011099999999</v>
      </c>
      <c r="F2759" s="28">
        <v>70.866010000000003</v>
      </c>
      <c r="G2759" s="28">
        <v>120.4</v>
      </c>
      <c r="H2759" s="28">
        <v>182.90280000000001</v>
      </c>
      <c r="I2759" s="28">
        <v>137.81129999999999</v>
      </c>
      <c r="J2759" s="29"/>
      <c r="K2759" s="29"/>
      <c r="L2759" s="29"/>
      <c r="M2759" s="29"/>
      <c r="N2759" s="29"/>
      <c r="P2759" s="4">
        <f t="shared" si="174"/>
        <v>-7.545038063629275E-3</v>
      </c>
      <c r="Q2759" s="4">
        <f t="shared" si="174"/>
        <v>6.2373172218124765E-5</v>
      </c>
      <c r="R2759" s="4">
        <f t="shared" si="174"/>
        <v>-6.6225407604933824E-3</v>
      </c>
      <c r="S2759" s="4">
        <f t="shared" si="174"/>
        <v>-3.2238353537200688E-3</v>
      </c>
      <c r="T2759" s="4">
        <f t="shared" si="174"/>
        <v>-7.4757258075632679E-3</v>
      </c>
      <c r="U2759" s="35"/>
      <c r="V2759" s="35"/>
      <c r="W2759" s="35"/>
      <c r="X2759" s="35"/>
    </row>
    <row r="2760" spans="4:24" x14ac:dyDescent="0.3">
      <c r="D2760" s="23">
        <v>43587</v>
      </c>
      <c r="E2760" s="5">
        <v>268.68881199999998</v>
      </c>
      <c r="F2760" s="28">
        <v>70.70805</v>
      </c>
      <c r="G2760" s="28">
        <v>119.94</v>
      </c>
      <c r="H2760" s="28">
        <v>182.10890000000001</v>
      </c>
      <c r="I2760" s="28">
        <v>137.5806</v>
      </c>
      <c r="J2760" s="29"/>
      <c r="K2760" s="29"/>
      <c r="L2760" s="29"/>
      <c r="M2760" s="29"/>
      <c r="N2760" s="29"/>
      <c r="P2760" s="4">
        <f t="shared" si="174"/>
        <v>-2.1611286713252779E-3</v>
      </c>
      <c r="Q2760" s="4">
        <f t="shared" si="174"/>
        <v>-2.2314831621985057E-3</v>
      </c>
      <c r="R2760" s="4">
        <f t="shared" si="174"/>
        <v>-3.827915134357031E-3</v>
      </c>
      <c r="S2760" s="4">
        <f t="shared" si="174"/>
        <v>-4.3500044074379247E-3</v>
      </c>
      <c r="T2760" s="4">
        <f t="shared" si="174"/>
        <v>-1.6754309329060336E-3</v>
      </c>
      <c r="U2760" s="35"/>
      <c r="V2760" s="35"/>
      <c r="W2760" s="35"/>
      <c r="X2760" s="35"/>
    </row>
    <row r="2761" spans="4:24" x14ac:dyDescent="0.3">
      <c r="D2761" s="23">
        <v>43588</v>
      </c>
      <c r="E2761" s="5">
        <v>271.31860399999999</v>
      </c>
      <c r="F2761" s="28">
        <v>70.839699999999993</v>
      </c>
      <c r="G2761" s="28">
        <v>120.65</v>
      </c>
      <c r="H2761" s="28">
        <v>185.01329999999999</v>
      </c>
      <c r="I2761" s="28">
        <v>139.06700000000001</v>
      </c>
      <c r="J2761" s="29"/>
      <c r="K2761" s="29"/>
      <c r="L2761" s="29"/>
      <c r="M2761" s="29"/>
      <c r="N2761" s="29"/>
      <c r="P2761" s="4">
        <f t="shared" si="174"/>
        <v>9.739913608036806E-3</v>
      </c>
      <c r="Q2761" s="4">
        <f t="shared" si="174"/>
        <v>1.8601502031761535E-3</v>
      </c>
      <c r="R2761" s="4">
        <f t="shared" si="174"/>
        <v>5.9021743306770487E-3</v>
      </c>
      <c r="S2761" s="4">
        <f t="shared" si="174"/>
        <v>1.5822854601942767E-2</v>
      </c>
      <c r="T2761" s="4">
        <f t="shared" si="174"/>
        <v>1.0745904200206814E-2</v>
      </c>
      <c r="U2761" s="35"/>
      <c r="V2761" s="35"/>
      <c r="W2761" s="35"/>
      <c r="X2761" s="35"/>
    </row>
    <row r="2762" spans="4:24" x14ac:dyDescent="0.3">
      <c r="D2762" s="23">
        <v>43591</v>
      </c>
      <c r="E2762" s="5">
        <v>270.20214800000002</v>
      </c>
      <c r="F2762" s="28">
        <v>70.927440000000004</v>
      </c>
      <c r="G2762" s="28">
        <v>120.81</v>
      </c>
      <c r="H2762" s="28">
        <v>183.88059999999999</v>
      </c>
      <c r="I2762" s="28">
        <v>138.62379999999999</v>
      </c>
      <c r="J2762" s="29"/>
      <c r="K2762" s="29"/>
      <c r="L2762" s="29"/>
      <c r="M2762" s="29"/>
      <c r="N2762" s="29"/>
      <c r="P2762" s="4">
        <f t="shared" si="174"/>
        <v>-4.123415687247489E-3</v>
      </c>
      <c r="Q2762" s="4">
        <f t="shared" si="174"/>
        <v>1.2378046309272392E-3</v>
      </c>
      <c r="R2762" s="4">
        <f t="shared" si="174"/>
        <v>1.3252714604317737E-3</v>
      </c>
      <c r="S2762" s="4">
        <f t="shared" si="174"/>
        <v>-6.1410804558076843E-3</v>
      </c>
      <c r="T2762" s="4">
        <f t="shared" si="174"/>
        <v>-3.1920422017482721E-3</v>
      </c>
      <c r="U2762" s="35"/>
      <c r="V2762" s="35"/>
      <c r="W2762" s="35"/>
      <c r="X2762" s="35"/>
    </row>
    <row r="2763" spans="4:24" x14ac:dyDescent="0.3">
      <c r="D2763" s="23">
        <v>43592</v>
      </c>
      <c r="E2763" s="5">
        <v>265.68978900000002</v>
      </c>
      <c r="F2763" s="28">
        <v>71.032719999999998</v>
      </c>
      <c r="G2763" s="28">
        <v>121.21</v>
      </c>
      <c r="H2763" s="28">
        <v>180.2987</v>
      </c>
      <c r="I2763" s="28">
        <v>136.23259999999999</v>
      </c>
      <c r="J2763" s="29"/>
      <c r="K2763" s="29"/>
      <c r="L2763" s="29"/>
      <c r="M2763" s="29"/>
      <c r="N2763" s="29"/>
      <c r="P2763" s="4">
        <f t="shared" si="174"/>
        <v>-1.6840953694901441E-2</v>
      </c>
      <c r="Q2763" s="4">
        <f t="shared" si="174"/>
        <v>1.4832333142080973E-3</v>
      </c>
      <c r="R2763" s="4">
        <f t="shared" si="174"/>
        <v>3.3055149509481586E-3</v>
      </c>
      <c r="S2763" s="4">
        <f t="shared" si="174"/>
        <v>-1.9671713952246365E-2</v>
      </c>
      <c r="T2763" s="4">
        <f t="shared" si="174"/>
        <v>-1.7400070219638391E-2</v>
      </c>
      <c r="U2763" s="35"/>
      <c r="V2763" s="35"/>
      <c r="W2763" s="35"/>
      <c r="X2763" s="35"/>
    </row>
    <row r="2764" spans="4:24" x14ac:dyDescent="0.3">
      <c r="D2764" s="23">
        <v>43593</v>
      </c>
      <c r="E2764" s="5">
        <v>265.32074</v>
      </c>
      <c r="F2764" s="28">
        <v>70.980019999999996</v>
      </c>
      <c r="G2764" s="28">
        <v>120.91</v>
      </c>
      <c r="H2764" s="28">
        <v>179.84360000000001</v>
      </c>
      <c r="I2764" s="28">
        <v>136.011</v>
      </c>
      <c r="J2764" s="29"/>
      <c r="K2764" s="29"/>
      <c r="L2764" s="29"/>
      <c r="M2764" s="29"/>
      <c r="N2764" s="29"/>
      <c r="P2764" s="4">
        <f t="shared" si="174"/>
        <v>-1.3899877281677549E-3</v>
      </c>
      <c r="Q2764" s="4">
        <f t="shared" si="174"/>
        <v>-7.4218696743846618E-4</v>
      </c>
      <c r="R2764" s="4">
        <f t="shared" si="174"/>
        <v>-2.4781112962652782E-3</v>
      </c>
      <c r="S2764" s="4">
        <f t="shared" si="174"/>
        <v>-2.5273356794970727E-3</v>
      </c>
      <c r="T2764" s="4">
        <f t="shared" si="174"/>
        <v>-1.6279541479836197E-3</v>
      </c>
      <c r="U2764" s="35"/>
      <c r="V2764" s="35"/>
      <c r="W2764" s="35"/>
      <c r="X2764" s="35"/>
    </row>
    <row r="2765" spans="4:24" x14ac:dyDescent="0.3">
      <c r="D2765" s="23">
        <v>43594</v>
      </c>
      <c r="E2765" s="5">
        <v>264.51797499999998</v>
      </c>
      <c r="F2765" s="28">
        <v>71.050240000000002</v>
      </c>
      <c r="G2765" s="28">
        <v>121.2</v>
      </c>
      <c r="H2765" s="28">
        <v>178.87559999999999</v>
      </c>
      <c r="I2765" s="28">
        <v>135.5771</v>
      </c>
      <c r="J2765" s="29"/>
      <c r="K2765" s="29"/>
      <c r="L2765" s="29"/>
      <c r="M2765" s="29"/>
      <c r="N2765" s="29"/>
      <c r="P2765" s="4">
        <f t="shared" si="174"/>
        <v>-3.0302263369603563E-3</v>
      </c>
      <c r="Q2765" s="4">
        <f t="shared" si="174"/>
        <v>9.8880345246671287E-4</v>
      </c>
      <c r="R2765" s="4">
        <f t="shared" si="174"/>
        <v>2.3956064490587713E-3</v>
      </c>
      <c r="S2765" s="4">
        <f t="shared" si="174"/>
        <v>-5.3969921298840946E-3</v>
      </c>
      <c r="T2765" s="4">
        <f t="shared" si="174"/>
        <v>-3.195282629617466E-3</v>
      </c>
      <c r="U2765" s="35"/>
      <c r="V2765" s="35"/>
      <c r="W2765" s="35"/>
      <c r="X2765" s="35"/>
    </row>
    <row r="2766" spans="4:24" x14ac:dyDescent="0.3">
      <c r="D2766" s="23">
        <v>43595</v>
      </c>
      <c r="E2766" s="5">
        <v>265.84667999999999</v>
      </c>
      <c r="F2766" s="28">
        <v>71.041460000000001</v>
      </c>
      <c r="G2766" s="28">
        <v>121.43</v>
      </c>
      <c r="H2766" s="28">
        <v>179.09819999999999</v>
      </c>
      <c r="I2766" s="28">
        <v>136.20490000000001</v>
      </c>
      <c r="J2766" s="29"/>
      <c r="K2766" s="29"/>
      <c r="L2766" s="29"/>
      <c r="M2766" s="29"/>
      <c r="N2766" s="29"/>
      <c r="P2766" s="4">
        <f t="shared" si="174"/>
        <v>5.0105442257336432E-3</v>
      </c>
      <c r="Q2766" s="4">
        <f t="shared" si="174"/>
        <v>-1.2358216575878621E-4</v>
      </c>
      <c r="R2766" s="4">
        <f t="shared" si="174"/>
        <v>1.895891430513465E-3</v>
      </c>
      <c r="S2766" s="4">
        <f t="shared" si="174"/>
        <v>1.243666596222541E-3</v>
      </c>
      <c r="T2766" s="4">
        <f t="shared" si="174"/>
        <v>4.6198873848380508E-3</v>
      </c>
      <c r="U2766" s="35"/>
      <c r="V2766" s="35"/>
      <c r="W2766" s="35"/>
      <c r="X2766" s="35"/>
    </row>
    <row r="2767" spans="4:24" x14ac:dyDescent="0.3">
      <c r="D2767" s="23">
        <v>43598</v>
      </c>
      <c r="E2767" s="5">
        <v>259.16598499999998</v>
      </c>
      <c r="F2767" s="28">
        <v>71.190619999999996</v>
      </c>
      <c r="G2767" s="28">
        <v>122.67</v>
      </c>
      <c r="H2767" s="28">
        <v>172.88300000000001</v>
      </c>
      <c r="I2767" s="28">
        <v>132.7612</v>
      </c>
      <c r="J2767" s="29"/>
      <c r="K2767" s="29"/>
      <c r="L2767" s="29"/>
      <c r="M2767" s="29"/>
      <c r="N2767" s="29"/>
      <c r="P2767" s="4">
        <f t="shared" si="174"/>
        <v>-2.5451026470377558E-2</v>
      </c>
      <c r="Q2767" s="4">
        <f t="shared" si="174"/>
        <v>2.097417891682044E-3</v>
      </c>
      <c r="R2767" s="4">
        <f t="shared" si="174"/>
        <v>1.0159857978932974E-2</v>
      </c>
      <c r="S2767" s="4">
        <f t="shared" si="174"/>
        <v>-3.5319193639558932E-2</v>
      </c>
      <c r="T2767" s="4">
        <f t="shared" si="174"/>
        <v>-2.5608343895360406E-2</v>
      </c>
      <c r="U2767" s="35"/>
      <c r="V2767" s="35"/>
      <c r="W2767" s="35"/>
      <c r="X2767" s="35"/>
    </row>
    <row r="2768" spans="4:24" x14ac:dyDescent="0.3">
      <c r="D2768" s="23">
        <v>43599</v>
      </c>
      <c r="E2768" s="5">
        <v>261.50973499999998</v>
      </c>
      <c r="F2768" s="28">
        <v>71.234499999999997</v>
      </c>
      <c r="G2768" s="28">
        <v>122.46</v>
      </c>
      <c r="H2768" s="28">
        <v>174.78049999999999</v>
      </c>
      <c r="I2768" s="28">
        <v>133.9614</v>
      </c>
      <c r="J2768" s="29"/>
      <c r="K2768" s="29"/>
      <c r="L2768" s="29"/>
      <c r="M2768" s="29"/>
      <c r="N2768" s="29"/>
      <c r="P2768" s="4">
        <f t="shared" si="174"/>
        <v>9.0027851887708177E-3</v>
      </c>
      <c r="Q2768" s="4">
        <f t="shared" si="174"/>
        <v>6.1618345679999189E-4</v>
      </c>
      <c r="R2768" s="4">
        <f t="shared" si="174"/>
        <v>-1.7133769948522548E-3</v>
      </c>
      <c r="S2768" s="4">
        <f t="shared" si="174"/>
        <v>1.0915835809174537E-2</v>
      </c>
      <c r="T2768" s="4">
        <f t="shared" si="174"/>
        <v>8.9996730742015196E-3</v>
      </c>
      <c r="U2768" s="35"/>
      <c r="V2768" s="35"/>
      <c r="W2768" s="35"/>
      <c r="X2768" s="35"/>
    </row>
    <row r="2769" spans="4:24" x14ac:dyDescent="0.3">
      <c r="D2769" s="23">
        <v>43600</v>
      </c>
      <c r="E2769" s="5">
        <v>263.04153400000001</v>
      </c>
      <c r="F2769" s="28">
        <v>71.339759999999998</v>
      </c>
      <c r="G2769" s="28">
        <v>122.39</v>
      </c>
      <c r="H2769" s="28">
        <v>177.2491</v>
      </c>
      <c r="I2769" s="28">
        <v>134.75540000000001</v>
      </c>
      <c r="J2769" s="29"/>
      <c r="K2769" s="29"/>
      <c r="L2769" s="29"/>
      <c r="M2769" s="29"/>
      <c r="N2769" s="29"/>
      <c r="P2769" s="4">
        <f t="shared" si="174"/>
        <v>5.8404333179513978E-3</v>
      </c>
      <c r="Q2769" s="4">
        <f t="shared" si="174"/>
        <v>1.4765641305009877E-3</v>
      </c>
      <c r="R2769" s="4">
        <f t="shared" si="174"/>
        <v>-5.7177865556125849E-4</v>
      </c>
      <c r="S2769" s="4">
        <f t="shared" si="174"/>
        <v>1.4025186890776682E-2</v>
      </c>
      <c r="T2769" s="4">
        <f t="shared" si="174"/>
        <v>5.909584445405909E-3</v>
      </c>
      <c r="U2769" s="35"/>
      <c r="V2769" s="35"/>
      <c r="W2769" s="35"/>
      <c r="X2769" s="35"/>
    </row>
    <row r="2770" spans="4:24" x14ac:dyDescent="0.3">
      <c r="D2770" s="23">
        <v>43601</v>
      </c>
      <c r="E2770" s="5">
        <v>265.4776</v>
      </c>
      <c r="F2770" s="28">
        <v>71.234499999999997</v>
      </c>
      <c r="G2770" s="28">
        <v>121.51</v>
      </c>
      <c r="H2770" s="28">
        <v>179.03049999999999</v>
      </c>
      <c r="I2770" s="28">
        <v>135.97409999999999</v>
      </c>
      <c r="J2770" s="29"/>
      <c r="K2770" s="29"/>
      <c r="L2770" s="29"/>
      <c r="M2770" s="29"/>
      <c r="N2770" s="29"/>
      <c r="P2770" s="4">
        <f t="shared" si="174"/>
        <v>9.218524344379796E-3</v>
      </c>
      <c r="Q2770" s="4">
        <f t="shared" si="174"/>
        <v>-1.4765641305008971E-3</v>
      </c>
      <c r="R2770" s="4">
        <f t="shared" si="174"/>
        <v>-7.2161034737266488E-3</v>
      </c>
      <c r="S2770" s="4">
        <f t="shared" si="174"/>
        <v>1.0000094562001254E-2</v>
      </c>
      <c r="T2770" s="4">
        <f t="shared" si="174"/>
        <v>9.0031432256981667E-3</v>
      </c>
      <c r="U2770" s="35"/>
      <c r="V2770" s="35"/>
      <c r="W2770" s="35"/>
      <c r="X2770" s="35"/>
    </row>
    <row r="2771" spans="4:24" x14ac:dyDescent="0.3">
      <c r="D2771" s="23">
        <v>43602</v>
      </c>
      <c r="E2771" s="5">
        <v>263.76129200000003</v>
      </c>
      <c r="F2771" s="28">
        <v>71.252039999999994</v>
      </c>
      <c r="G2771" s="28">
        <v>120.65</v>
      </c>
      <c r="H2771" s="28">
        <v>177.20070000000001</v>
      </c>
      <c r="I2771" s="28">
        <v>135.01390000000001</v>
      </c>
      <c r="J2771" s="29"/>
      <c r="K2771" s="29"/>
      <c r="L2771" s="29"/>
      <c r="M2771" s="29"/>
      <c r="N2771" s="29"/>
      <c r="P2771" s="4">
        <f t="shared" si="174"/>
        <v>-6.4859708638853181E-3</v>
      </c>
      <c r="Q2771" s="4">
        <f t="shared" si="174"/>
        <v>2.4619869481846561E-4</v>
      </c>
      <c r="R2771" s="4">
        <f t="shared" si="174"/>
        <v>-7.1027718494796254E-3</v>
      </c>
      <c r="S2771" s="4">
        <f t="shared" si="174"/>
        <v>-1.0273193885520827E-2</v>
      </c>
      <c r="T2771" s="4">
        <f t="shared" si="174"/>
        <v>-7.0866903222874412E-3</v>
      </c>
      <c r="U2771" s="35"/>
      <c r="V2771" s="35"/>
      <c r="W2771" s="35"/>
      <c r="X2771" s="35"/>
    </row>
    <row r="2772" spans="4:24" x14ac:dyDescent="0.3">
      <c r="D2772" s="23">
        <v>43605</v>
      </c>
      <c r="E2772" s="5">
        <v>262.01733400000001</v>
      </c>
      <c r="F2772" s="28">
        <v>71.164289999999994</v>
      </c>
      <c r="G2772" s="28">
        <v>120.64</v>
      </c>
      <c r="H2772" s="28">
        <v>174.20930000000001</v>
      </c>
      <c r="I2772" s="28">
        <v>134.0538</v>
      </c>
      <c r="J2772" s="29"/>
      <c r="K2772" s="29"/>
      <c r="L2772" s="29"/>
      <c r="M2772" s="29"/>
      <c r="N2772" s="29"/>
      <c r="P2772" s="4">
        <f t="shared" si="174"/>
        <v>-6.6338352660126939E-3</v>
      </c>
      <c r="Q2772" s="4">
        <f t="shared" si="174"/>
        <v>-1.2323026594568672E-3</v>
      </c>
      <c r="R2772" s="4">
        <f t="shared" si="174"/>
        <v>-8.288781139484043E-5</v>
      </c>
      <c r="S2772" s="4">
        <f t="shared" si="174"/>
        <v>-1.702553859681059E-2</v>
      </c>
      <c r="T2772" s="4">
        <f t="shared" si="174"/>
        <v>-7.1365241894078731E-3</v>
      </c>
      <c r="U2772" s="35"/>
      <c r="V2772" s="35"/>
      <c r="W2772" s="35"/>
      <c r="X2772" s="35"/>
    </row>
    <row r="2773" spans="4:24" x14ac:dyDescent="0.3">
      <c r="D2773" s="23">
        <v>43606</v>
      </c>
      <c r="E2773" s="5">
        <v>264.37957799999998</v>
      </c>
      <c r="F2773" s="28">
        <v>71.129199999999997</v>
      </c>
      <c r="G2773" s="28">
        <v>120.36</v>
      </c>
      <c r="H2773" s="28">
        <v>176.02930000000001</v>
      </c>
      <c r="I2773" s="28">
        <v>135.3647</v>
      </c>
      <c r="J2773" s="29"/>
      <c r="K2773" s="29"/>
      <c r="L2773" s="29"/>
      <c r="M2773" s="29"/>
      <c r="N2773" s="29"/>
      <c r="P2773" s="4">
        <f t="shared" ref="P2773:T2788" si="175">LN(E2773/E2772)</f>
        <v>8.9752040847294878E-3</v>
      </c>
      <c r="Q2773" s="4">
        <f t="shared" si="175"/>
        <v>-4.9320598871117264E-4</v>
      </c>
      <c r="R2773" s="4">
        <f t="shared" si="175"/>
        <v>-2.3236524978014418E-3</v>
      </c>
      <c r="S2773" s="4">
        <f t="shared" si="175"/>
        <v>1.0393008550107831E-2</v>
      </c>
      <c r="T2773" s="4">
        <f t="shared" si="175"/>
        <v>9.7314055656704847E-3</v>
      </c>
      <c r="U2773" s="35"/>
      <c r="V2773" s="35"/>
      <c r="W2773" s="35"/>
      <c r="X2773" s="35"/>
    </row>
    <row r="2774" spans="4:24" x14ac:dyDescent="0.3">
      <c r="D2774" s="23">
        <v>43607</v>
      </c>
      <c r="E2774" s="5">
        <v>263.567566</v>
      </c>
      <c r="F2774" s="28">
        <v>71.260810000000006</v>
      </c>
      <c r="G2774" s="28">
        <v>120.24</v>
      </c>
      <c r="H2774" s="28">
        <v>175.24520000000001</v>
      </c>
      <c r="I2774" s="28">
        <v>134.87549999999999</v>
      </c>
      <c r="J2774" s="29"/>
      <c r="K2774" s="29"/>
      <c r="L2774" s="29"/>
      <c r="M2774" s="29"/>
      <c r="N2774" s="29"/>
      <c r="P2774" s="4">
        <f t="shared" si="175"/>
        <v>-3.0761133932884484E-3</v>
      </c>
      <c r="Q2774" s="4">
        <f t="shared" si="175"/>
        <v>1.848585269133582E-3</v>
      </c>
      <c r="R2774" s="4">
        <f t="shared" si="175"/>
        <v>-9.975063171254136E-4</v>
      </c>
      <c r="S2774" s="4">
        <f t="shared" si="175"/>
        <v>-4.4643223591257671E-3</v>
      </c>
      <c r="T2774" s="4">
        <f t="shared" si="175"/>
        <v>-3.6204867696684206E-3</v>
      </c>
      <c r="U2774" s="35"/>
      <c r="V2774" s="35"/>
      <c r="W2774" s="35"/>
      <c r="X2774" s="35"/>
    </row>
    <row r="2775" spans="4:24" x14ac:dyDescent="0.3">
      <c r="D2775" s="23">
        <v>43608</v>
      </c>
      <c r="E2775" s="5">
        <v>260.34716800000001</v>
      </c>
      <c r="F2775" s="28">
        <v>71.515270000000001</v>
      </c>
      <c r="G2775" s="28">
        <v>121.17</v>
      </c>
      <c r="H2775" s="28">
        <v>172.56360000000001</v>
      </c>
      <c r="I2775" s="28">
        <v>133.15819999999999</v>
      </c>
      <c r="J2775" s="29"/>
      <c r="K2775" s="29"/>
      <c r="L2775" s="29"/>
      <c r="M2775" s="29"/>
      <c r="N2775" s="29"/>
      <c r="P2775" s="4">
        <f t="shared" si="175"/>
        <v>-1.2293750684321312E-2</v>
      </c>
      <c r="Q2775" s="4">
        <f t="shared" si="175"/>
        <v>3.5644663926672174E-3</v>
      </c>
      <c r="R2775" s="4">
        <f t="shared" si="175"/>
        <v>7.7047727987122044E-3</v>
      </c>
      <c r="S2775" s="4">
        <f t="shared" si="175"/>
        <v>-1.5420271923901732E-2</v>
      </c>
      <c r="T2775" s="4">
        <f t="shared" si="175"/>
        <v>-1.2814235665048258E-2</v>
      </c>
      <c r="U2775" s="35"/>
      <c r="V2775" s="35"/>
      <c r="W2775" s="35"/>
      <c r="X2775" s="35"/>
    </row>
    <row r="2776" spans="4:24" x14ac:dyDescent="0.3">
      <c r="D2776" s="23">
        <v>43609</v>
      </c>
      <c r="E2776" s="5">
        <v>260.93768299999999</v>
      </c>
      <c r="F2776" s="28">
        <v>71.515270000000001</v>
      </c>
      <c r="G2776" s="28">
        <v>121.3</v>
      </c>
      <c r="H2776" s="28">
        <v>172.47640000000001</v>
      </c>
      <c r="I2776" s="28">
        <v>133.48140000000001</v>
      </c>
      <c r="J2776" s="29"/>
      <c r="K2776" s="29"/>
      <c r="L2776" s="29"/>
      <c r="M2776" s="29"/>
      <c r="N2776" s="29"/>
      <c r="P2776" s="4">
        <f t="shared" si="175"/>
        <v>2.2656144772300849E-3</v>
      </c>
      <c r="Q2776" s="4">
        <f t="shared" si="175"/>
        <v>0</v>
      </c>
      <c r="R2776" s="4">
        <f t="shared" si="175"/>
        <v>1.072297706573195E-3</v>
      </c>
      <c r="S2776" s="4">
        <f t="shared" si="175"/>
        <v>-5.0544865439646185E-4</v>
      </c>
      <c r="T2776" s="4">
        <f t="shared" si="175"/>
        <v>2.424247248244618E-3</v>
      </c>
      <c r="U2776" s="35"/>
      <c r="V2776" s="35"/>
      <c r="W2776" s="35"/>
      <c r="X2776" s="35"/>
    </row>
    <row r="2777" spans="4:24" x14ac:dyDescent="0.3">
      <c r="D2777" s="23">
        <v>43613</v>
      </c>
      <c r="E2777" s="5">
        <v>258.51077299999997</v>
      </c>
      <c r="F2777" s="28">
        <v>71.664410000000004</v>
      </c>
      <c r="G2777" s="28">
        <v>120.83</v>
      </c>
      <c r="H2777" s="28">
        <v>171.8278</v>
      </c>
      <c r="I2777" s="28">
        <v>132.30889999999999</v>
      </c>
      <c r="J2777" s="29"/>
      <c r="K2777" s="29"/>
      <c r="L2777" s="29"/>
      <c r="M2777" s="29"/>
      <c r="N2777" s="29"/>
      <c r="P2777" s="4">
        <f t="shared" si="175"/>
        <v>-9.3442482338350705E-3</v>
      </c>
      <c r="Q2777" s="4">
        <f t="shared" si="175"/>
        <v>2.0832572602267861E-3</v>
      </c>
      <c r="R2777" s="4">
        <f t="shared" si="175"/>
        <v>-3.8822169107876367E-3</v>
      </c>
      <c r="S2777" s="4">
        <f t="shared" si="175"/>
        <v>-3.7676029931120792E-3</v>
      </c>
      <c r="T2777" s="4">
        <f t="shared" si="175"/>
        <v>-8.822802079581216E-3</v>
      </c>
      <c r="U2777" s="35"/>
      <c r="V2777" s="35"/>
      <c r="W2777" s="35"/>
      <c r="X2777" s="35"/>
    </row>
    <row r="2778" spans="4:24" x14ac:dyDescent="0.3">
      <c r="D2778" s="23">
        <v>43614</v>
      </c>
      <c r="E2778" s="5">
        <v>256.77590900000001</v>
      </c>
      <c r="F2778" s="28">
        <v>71.646839999999997</v>
      </c>
      <c r="G2778" s="28">
        <v>120.87</v>
      </c>
      <c r="H2778" s="28">
        <v>170.4144</v>
      </c>
      <c r="I2778" s="28">
        <v>131.4041</v>
      </c>
      <c r="J2778" s="29"/>
      <c r="K2778" s="29"/>
      <c r="L2778" s="29"/>
      <c r="M2778" s="29"/>
      <c r="N2778" s="29"/>
      <c r="P2778" s="4">
        <f t="shared" si="175"/>
        <v>-6.7336130185982326E-3</v>
      </c>
      <c r="Q2778" s="4">
        <f t="shared" si="175"/>
        <v>-2.4520056992089021E-4</v>
      </c>
      <c r="R2778" s="4">
        <f t="shared" si="175"/>
        <v>3.309888321488553E-4</v>
      </c>
      <c r="S2778" s="4">
        <f t="shared" si="175"/>
        <v>-8.2596946575898677E-3</v>
      </c>
      <c r="T2778" s="4">
        <f t="shared" si="175"/>
        <v>-6.8620322122433441E-3</v>
      </c>
      <c r="U2778" s="35"/>
      <c r="V2778" s="35"/>
      <c r="W2778" s="35"/>
      <c r="X2778" s="35"/>
    </row>
    <row r="2779" spans="4:24" x14ac:dyDescent="0.3">
      <c r="D2779" s="23">
        <v>43615</v>
      </c>
      <c r="E2779" s="5">
        <v>257.47735599999999</v>
      </c>
      <c r="F2779" s="28">
        <v>71.839910000000003</v>
      </c>
      <c r="G2779" s="28">
        <v>121.69</v>
      </c>
      <c r="H2779" s="28">
        <v>171.13079999999999</v>
      </c>
      <c r="I2779" s="28">
        <v>131.6626</v>
      </c>
      <c r="J2779" s="29"/>
      <c r="K2779" s="29"/>
      <c r="L2779" s="29"/>
      <c r="M2779" s="29"/>
      <c r="N2779" s="29"/>
      <c r="P2779" s="4">
        <f t="shared" si="175"/>
        <v>2.728023263091833E-3</v>
      </c>
      <c r="Q2779" s="4">
        <f t="shared" si="175"/>
        <v>2.6911211874249652E-3</v>
      </c>
      <c r="R2779" s="4">
        <f t="shared" si="175"/>
        <v>6.7612394773429998E-3</v>
      </c>
      <c r="S2779" s="4">
        <f t="shared" si="175"/>
        <v>4.195058520108653E-3</v>
      </c>
      <c r="T2779" s="4">
        <f t="shared" si="175"/>
        <v>1.9652816810417279E-3</v>
      </c>
      <c r="U2779" s="35"/>
      <c r="V2779" s="35"/>
      <c r="W2779" s="35"/>
      <c r="X2779" s="35"/>
    </row>
    <row r="2780" spans="4:24" x14ac:dyDescent="0.3">
      <c r="D2780" s="23">
        <v>43616</v>
      </c>
      <c r="E2780" s="5">
        <v>254.00765999999999</v>
      </c>
      <c r="F2780" s="28">
        <v>72.155739999999994</v>
      </c>
      <c r="G2780" s="28">
        <v>123.33</v>
      </c>
      <c r="H2780" s="28">
        <v>168.4007</v>
      </c>
      <c r="I2780" s="28">
        <v>129.88999999999999</v>
      </c>
      <c r="J2780" s="29"/>
      <c r="K2780" s="29"/>
      <c r="L2780" s="29"/>
      <c r="M2780" s="29"/>
      <c r="N2780" s="29"/>
      <c r="P2780" s="4">
        <f t="shared" si="175"/>
        <v>-1.3567354328828642E-2</v>
      </c>
      <c r="Q2780" s="4">
        <f t="shared" si="175"/>
        <v>4.3866673257923067E-3</v>
      </c>
      <c r="R2780" s="4">
        <f t="shared" si="175"/>
        <v>1.338686222918802E-2</v>
      </c>
      <c r="S2780" s="4">
        <f t="shared" si="175"/>
        <v>-1.6081917817875324E-2</v>
      </c>
      <c r="T2780" s="4">
        <f t="shared" si="175"/>
        <v>-1.3554651260885658E-2</v>
      </c>
      <c r="U2780" s="35"/>
      <c r="V2780" s="35"/>
      <c r="W2780" s="35"/>
      <c r="X2780" s="35"/>
    </row>
    <row r="2781" spans="4:24" x14ac:dyDescent="0.3">
      <c r="D2781" s="23">
        <v>43619</v>
      </c>
      <c r="E2781" s="5">
        <v>253.361771</v>
      </c>
      <c r="F2781" s="28">
        <v>72.360680000000002</v>
      </c>
      <c r="G2781" s="28">
        <v>125.11</v>
      </c>
      <c r="H2781" s="28">
        <v>164.69290000000001</v>
      </c>
      <c r="I2781" s="28">
        <v>129.63149999999999</v>
      </c>
      <c r="J2781" s="29"/>
      <c r="K2781" s="29"/>
      <c r="L2781" s="29"/>
      <c r="M2781" s="29"/>
      <c r="N2781" s="29"/>
      <c r="P2781" s="4">
        <f t="shared" si="175"/>
        <v>-2.5460317844912188E-3</v>
      </c>
      <c r="Q2781" s="4">
        <f t="shared" si="175"/>
        <v>2.8362194051099166E-3</v>
      </c>
      <c r="R2781" s="4">
        <f t="shared" si="175"/>
        <v>1.4329660751411922E-2</v>
      </c>
      <c r="S2781" s="4">
        <f t="shared" si="175"/>
        <v>-2.2263730997247457E-2</v>
      </c>
      <c r="T2781" s="4">
        <f t="shared" si="175"/>
        <v>-1.9921284786789343E-3</v>
      </c>
      <c r="U2781" s="35"/>
      <c r="V2781" s="35"/>
      <c r="W2781" s="35"/>
      <c r="X2781" s="35"/>
    </row>
    <row r="2782" spans="4:24" x14ac:dyDescent="0.3">
      <c r="D2782" s="23">
        <v>43620</v>
      </c>
      <c r="E2782" s="5">
        <v>258.86142000000001</v>
      </c>
      <c r="F2782" s="28">
        <v>72.237530000000007</v>
      </c>
      <c r="G2782" s="28">
        <v>125.15</v>
      </c>
      <c r="H2782" s="28">
        <v>169.33009999999999</v>
      </c>
      <c r="I2782" s="28">
        <v>132.53970000000001</v>
      </c>
      <c r="J2782" s="29"/>
      <c r="K2782" s="29"/>
      <c r="L2782" s="29"/>
      <c r="M2782" s="29"/>
      <c r="N2782" s="29"/>
      <c r="P2782" s="4">
        <f t="shared" si="175"/>
        <v>2.1474468330280393E-2</v>
      </c>
      <c r="Q2782" s="4">
        <f t="shared" si="175"/>
        <v>-1.7033409995228569E-3</v>
      </c>
      <c r="R2782" s="4">
        <f t="shared" si="175"/>
        <v>3.1966754847452306E-4</v>
      </c>
      <c r="S2782" s="4">
        <f t="shared" si="175"/>
        <v>2.7767536667945378E-2</v>
      </c>
      <c r="T2782" s="4">
        <f t="shared" si="175"/>
        <v>2.2186413249373184E-2</v>
      </c>
      <c r="U2782" s="35"/>
      <c r="V2782" s="35"/>
      <c r="W2782" s="35"/>
      <c r="X2782" s="35"/>
    </row>
    <row r="2783" spans="4:24" x14ac:dyDescent="0.3">
      <c r="D2783" s="23">
        <v>43621</v>
      </c>
      <c r="E2783" s="5">
        <v>261.10379</v>
      </c>
      <c r="F2783" s="28">
        <v>72.237530000000007</v>
      </c>
      <c r="G2783" s="28">
        <v>125.47</v>
      </c>
      <c r="H2783" s="28">
        <v>170.58869999999999</v>
      </c>
      <c r="I2783" s="28">
        <v>133.55520000000001</v>
      </c>
      <c r="J2783" s="29"/>
      <c r="K2783" s="29"/>
      <c r="L2783" s="29"/>
      <c r="M2783" s="29"/>
      <c r="N2783" s="29"/>
      <c r="P2783" s="4">
        <f t="shared" si="175"/>
        <v>8.6251305211195155E-3</v>
      </c>
      <c r="Q2783" s="4">
        <f t="shared" si="175"/>
        <v>0</v>
      </c>
      <c r="R2783" s="4">
        <f t="shared" si="175"/>
        <v>2.5536682938250817E-3</v>
      </c>
      <c r="S2783" s="4">
        <f t="shared" si="175"/>
        <v>7.4053318126887742E-3</v>
      </c>
      <c r="T2783" s="4">
        <f t="shared" si="175"/>
        <v>7.6326523358857135E-3</v>
      </c>
      <c r="U2783" s="35"/>
      <c r="V2783" s="35"/>
      <c r="W2783" s="35"/>
      <c r="X2783" s="35"/>
    </row>
    <row r="2784" spans="4:24" x14ac:dyDescent="0.3">
      <c r="D2784" s="23">
        <v>43622</v>
      </c>
      <c r="E2784" s="5">
        <v>262.801605</v>
      </c>
      <c r="F2784" s="28">
        <v>72.21996</v>
      </c>
      <c r="G2784" s="28">
        <v>125.88</v>
      </c>
      <c r="H2784" s="28">
        <v>171.94399999999999</v>
      </c>
      <c r="I2784" s="28">
        <v>134.3031</v>
      </c>
      <c r="J2784" s="29"/>
      <c r="K2784" s="29"/>
      <c r="L2784" s="29"/>
      <c r="M2784" s="29"/>
      <c r="N2784" s="29"/>
      <c r="P2784" s="4">
        <f t="shared" si="175"/>
        <v>6.4814027867094795E-3</v>
      </c>
      <c r="Q2784" s="4">
        <f t="shared" si="175"/>
        <v>-2.4325495461183366E-4</v>
      </c>
      <c r="R2784" s="4">
        <f t="shared" si="175"/>
        <v>3.2623860245977123E-3</v>
      </c>
      <c r="S2784" s="4">
        <f t="shared" si="175"/>
        <v>7.9134463524048407E-3</v>
      </c>
      <c r="T2784" s="4">
        <f t="shared" si="175"/>
        <v>5.584310387800836E-3</v>
      </c>
      <c r="U2784" s="35"/>
      <c r="V2784" s="35"/>
      <c r="W2784" s="35"/>
      <c r="X2784" s="35"/>
    </row>
    <row r="2785" spans="4:24" x14ac:dyDescent="0.3">
      <c r="D2785" s="23">
        <v>43623</v>
      </c>
      <c r="E2785" s="5">
        <v>265.43142699999999</v>
      </c>
      <c r="F2785" s="28">
        <v>72.413409999999999</v>
      </c>
      <c r="G2785" s="28">
        <v>126.59</v>
      </c>
      <c r="H2785" s="28">
        <v>175.2646</v>
      </c>
      <c r="I2785" s="28">
        <v>135.52170000000001</v>
      </c>
      <c r="J2785" s="29"/>
      <c r="K2785" s="29"/>
      <c r="L2785" s="29"/>
      <c r="M2785" s="29"/>
      <c r="N2785" s="29"/>
      <c r="P2785" s="4">
        <f t="shared" si="175"/>
        <v>9.957134705161479E-3</v>
      </c>
      <c r="Q2785" s="4">
        <f t="shared" si="175"/>
        <v>2.6750412488926764E-3</v>
      </c>
      <c r="R2785" s="4">
        <f t="shared" si="175"/>
        <v>5.6244454525308371E-3</v>
      </c>
      <c r="S2785" s="4">
        <f t="shared" si="175"/>
        <v>1.9127989597451062E-2</v>
      </c>
      <c r="T2785" s="4">
        <f t="shared" si="175"/>
        <v>9.0325891854001056E-3</v>
      </c>
      <c r="U2785" s="35"/>
      <c r="V2785" s="35"/>
      <c r="W2785" s="35"/>
      <c r="X2785" s="35"/>
    </row>
    <row r="2786" spans="4:24" x14ac:dyDescent="0.3">
      <c r="D2786" s="23">
        <v>43626</v>
      </c>
      <c r="E2786" s="5">
        <v>266.64956699999999</v>
      </c>
      <c r="F2786" s="28">
        <v>72.263940000000005</v>
      </c>
      <c r="G2786" s="28">
        <v>125.33</v>
      </c>
      <c r="H2786" s="28">
        <v>177.3073</v>
      </c>
      <c r="I2786" s="28">
        <v>136.27869999999999</v>
      </c>
      <c r="J2786" s="29"/>
      <c r="K2786" s="29"/>
      <c r="L2786" s="29"/>
      <c r="M2786" s="29"/>
      <c r="N2786" s="29"/>
      <c r="P2786" s="4">
        <f t="shared" si="175"/>
        <v>4.5787845908985035E-3</v>
      </c>
      <c r="Q2786" s="4">
        <f t="shared" si="175"/>
        <v>-2.0662536765980134E-3</v>
      </c>
      <c r="R2786" s="4">
        <f t="shared" si="175"/>
        <v>-1.0003259025306086E-2</v>
      </c>
      <c r="S2786" s="4">
        <f t="shared" si="175"/>
        <v>1.15875533829938E-2</v>
      </c>
      <c r="T2786" s="4">
        <f t="shared" si="175"/>
        <v>5.5702784642609783E-3</v>
      </c>
      <c r="U2786" s="35"/>
      <c r="V2786" s="35"/>
      <c r="W2786" s="35"/>
      <c r="X2786" s="35"/>
    </row>
    <row r="2787" spans="4:24" x14ac:dyDescent="0.3">
      <c r="D2787" s="23">
        <v>43627</v>
      </c>
      <c r="E2787" s="5">
        <v>266.58492999999999</v>
      </c>
      <c r="F2787" s="28">
        <v>72.211169999999996</v>
      </c>
      <c r="G2787" s="28">
        <v>125.18</v>
      </c>
      <c r="H2787" s="28">
        <v>177.54929999999999</v>
      </c>
      <c r="I2787" s="28">
        <v>136.14949999999999</v>
      </c>
      <c r="J2787" s="29"/>
      <c r="K2787" s="29"/>
      <c r="L2787" s="29"/>
      <c r="M2787" s="29"/>
      <c r="N2787" s="29"/>
      <c r="P2787" s="4">
        <f t="shared" si="175"/>
        <v>-2.4243367854193129E-4</v>
      </c>
      <c r="Q2787" s="4">
        <f t="shared" si="175"/>
        <v>-7.305064844275634E-4</v>
      </c>
      <c r="R2787" s="4">
        <f t="shared" si="175"/>
        <v>-1.1975571268753955E-3</v>
      </c>
      <c r="S2787" s="4">
        <f t="shared" si="175"/>
        <v>1.3639314445115618E-3</v>
      </c>
      <c r="T2787" s="4">
        <f t="shared" si="175"/>
        <v>-9.4850687033424847E-4</v>
      </c>
      <c r="U2787" s="35"/>
      <c r="V2787" s="35"/>
      <c r="W2787" s="35"/>
      <c r="X2787" s="35"/>
    </row>
    <row r="2788" spans="4:24" x14ac:dyDescent="0.3">
      <c r="D2788" s="23">
        <v>43628</v>
      </c>
      <c r="E2788" s="5">
        <v>266.114349</v>
      </c>
      <c r="F2788" s="28">
        <v>72.334289999999996</v>
      </c>
      <c r="G2788" s="28">
        <v>125.83</v>
      </c>
      <c r="H2788" s="28">
        <v>176.5231</v>
      </c>
      <c r="I2788" s="28">
        <v>135.9649</v>
      </c>
      <c r="J2788" s="29"/>
      <c r="K2788" s="29"/>
      <c r="L2788" s="29"/>
      <c r="M2788" s="29"/>
      <c r="N2788" s="29"/>
      <c r="P2788" s="4">
        <f t="shared" si="175"/>
        <v>-1.7667796483361415E-3</v>
      </c>
      <c r="Q2788" s="4">
        <f t="shared" si="175"/>
        <v>1.7035475175114442E-3</v>
      </c>
      <c r="R2788" s="4">
        <f t="shared" si="175"/>
        <v>5.1790881073210775E-3</v>
      </c>
      <c r="S2788" s="4">
        <f t="shared" si="175"/>
        <v>-5.7965708334133869E-3</v>
      </c>
      <c r="T2788" s="4">
        <f t="shared" si="175"/>
        <v>-1.3567825026425265E-3</v>
      </c>
      <c r="U2788" s="35"/>
      <c r="V2788" s="35"/>
      <c r="W2788" s="35"/>
      <c r="X2788" s="35"/>
    </row>
    <row r="2789" spans="4:24" x14ac:dyDescent="0.3">
      <c r="D2789" s="23">
        <v>43629</v>
      </c>
      <c r="E2789" s="5">
        <v>267.21246300000001</v>
      </c>
      <c r="F2789" s="28">
        <v>72.457409999999996</v>
      </c>
      <c r="G2789" s="28">
        <v>126.6</v>
      </c>
      <c r="H2789" s="28">
        <v>177.5686</v>
      </c>
      <c r="I2789" s="28">
        <v>136.5926</v>
      </c>
      <c r="J2789" s="29"/>
      <c r="K2789" s="29"/>
      <c r="L2789" s="29"/>
      <c r="M2789" s="29"/>
      <c r="N2789" s="29"/>
      <c r="P2789" s="4">
        <f t="shared" ref="P2789:T2804" si="176">LN(E2789/E2788)</f>
        <v>4.1179836718893232E-3</v>
      </c>
      <c r="Q2789" s="4">
        <f t="shared" si="176"/>
        <v>1.7006503780823E-3</v>
      </c>
      <c r="R2789" s="4">
        <f t="shared" si="176"/>
        <v>6.100720106199266E-3</v>
      </c>
      <c r="S2789" s="4">
        <f t="shared" si="176"/>
        <v>5.9052671284692965E-3</v>
      </c>
      <c r="T2789" s="4">
        <f t="shared" si="176"/>
        <v>4.6060087118310758E-3</v>
      </c>
      <c r="U2789" s="35"/>
      <c r="V2789" s="35"/>
      <c r="W2789" s="35"/>
      <c r="X2789" s="35"/>
    </row>
    <row r="2790" spans="4:24" x14ac:dyDescent="0.3">
      <c r="D2790" s="23">
        <v>43630</v>
      </c>
      <c r="E2790" s="5">
        <v>266.91708399999999</v>
      </c>
      <c r="F2790" s="28">
        <v>72.466220000000007</v>
      </c>
      <c r="G2790" s="28">
        <v>126.56</v>
      </c>
      <c r="H2790" s="28">
        <v>176.8135</v>
      </c>
      <c r="I2790" s="28">
        <v>136.2972</v>
      </c>
      <c r="J2790" s="29"/>
      <c r="K2790" s="29"/>
      <c r="L2790" s="29"/>
      <c r="M2790" s="29"/>
      <c r="N2790" s="29"/>
      <c r="P2790" s="4">
        <f t="shared" si="176"/>
        <v>-1.1060201846912147E-3</v>
      </c>
      <c r="Q2790" s="4">
        <f t="shared" si="176"/>
        <v>1.2158127713012869E-4</v>
      </c>
      <c r="R2790" s="4">
        <f t="shared" si="176"/>
        <v>-3.1600569073203549E-4</v>
      </c>
      <c r="S2790" s="4">
        <f t="shared" si="176"/>
        <v>-4.2615083704633508E-3</v>
      </c>
      <c r="T2790" s="4">
        <f t="shared" si="176"/>
        <v>-2.1649773306398668E-3</v>
      </c>
      <c r="U2790" s="35"/>
      <c r="V2790" s="35"/>
      <c r="W2790" s="35"/>
      <c r="X2790" s="35"/>
    </row>
    <row r="2791" spans="4:24" x14ac:dyDescent="0.3">
      <c r="D2791" s="23">
        <v>43633</v>
      </c>
      <c r="E2791" s="5">
        <v>267.01852400000001</v>
      </c>
      <c r="F2791" s="28">
        <v>72.466220000000007</v>
      </c>
      <c r="G2791" s="28">
        <v>126.48</v>
      </c>
      <c r="H2791" s="28">
        <v>177.8784</v>
      </c>
      <c r="I2791" s="28">
        <v>136.3964</v>
      </c>
      <c r="J2791" s="29"/>
      <c r="K2791" s="29"/>
      <c r="L2791" s="29"/>
      <c r="M2791" s="29"/>
      <c r="N2791" s="29"/>
      <c r="P2791" s="4">
        <f t="shared" si="176"/>
        <v>3.7997091671955528E-4</v>
      </c>
      <c r="Q2791" s="4">
        <f t="shared" si="176"/>
        <v>0</v>
      </c>
      <c r="R2791" s="4">
        <f t="shared" si="176"/>
        <v>-6.3231111812713479E-4</v>
      </c>
      <c r="S2791" s="4">
        <f t="shared" si="176"/>
        <v>6.0046660195444568E-3</v>
      </c>
      <c r="T2791" s="4">
        <f t="shared" si="176"/>
        <v>7.2755652773549763E-4</v>
      </c>
      <c r="U2791" s="35"/>
      <c r="V2791" s="35"/>
      <c r="W2791" s="35"/>
      <c r="X2791" s="35"/>
    </row>
    <row r="2792" spans="4:24" x14ac:dyDescent="0.3">
      <c r="D2792" s="23">
        <v>43634</v>
      </c>
      <c r="E2792" s="5">
        <v>269.81460600000003</v>
      </c>
      <c r="F2792" s="28">
        <v>72.633309999999994</v>
      </c>
      <c r="G2792" s="28">
        <v>127.12</v>
      </c>
      <c r="H2792" s="28">
        <v>180.4632</v>
      </c>
      <c r="I2792" s="28">
        <v>137.88829999999999</v>
      </c>
      <c r="J2792" s="29"/>
      <c r="K2792" s="29"/>
      <c r="L2792" s="29"/>
      <c r="M2792" s="29"/>
      <c r="N2792" s="29"/>
      <c r="P2792" s="4">
        <f t="shared" si="176"/>
        <v>1.0417044434823294E-2</v>
      </c>
      <c r="Q2792" s="4">
        <f t="shared" si="176"/>
        <v>2.3031097875802157E-3</v>
      </c>
      <c r="R2792" s="4">
        <f t="shared" si="176"/>
        <v>5.0473293272440233E-3</v>
      </c>
      <c r="S2792" s="4">
        <f t="shared" si="176"/>
        <v>1.4426708096555614E-2</v>
      </c>
      <c r="T2792" s="4">
        <f t="shared" si="176"/>
        <v>1.087858501068778E-2</v>
      </c>
      <c r="U2792" s="35"/>
      <c r="V2792" s="35"/>
      <c r="W2792" s="35"/>
      <c r="X2792" s="35"/>
    </row>
    <row r="2793" spans="4:24" x14ac:dyDescent="0.3">
      <c r="D2793" s="23">
        <v>43635</v>
      </c>
      <c r="E2793" s="5">
        <v>270.42358400000001</v>
      </c>
      <c r="F2793" s="28">
        <v>72.879540000000006</v>
      </c>
      <c r="G2793" s="28">
        <v>127.89</v>
      </c>
      <c r="H2793" s="28">
        <v>181.14089999999999</v>
      </c>
      <c r="I2793" s="28">
        <v>138.36089999999999</v>
      </c>
      <c r="J2793" s="29"/>
      <c r="K2793" s="29"/>
      <c r="L2793" s="29"/>
      <c r="M2793" s="29"/>
      <c r="N2793" s="29"/>
      <c r="P2793" s="4">
        <f t="shared" si="176"/>
        <v>2.2544805947050271E-3</v>
      </c>
      <c r="Q2793" s="4">
        <f t="shared" si="176"/>
        <v>3.3843091523152158E-3</v>
      </c>
      <c r="R2793" s="4">
        <f t="shared" si="176"/>
        <v>6.0389972167680757E-3</v>
      </c>
      <c r="S2793" s="4">
        <f t="shared" si="176"/>
        <v>3.7483025964622544E-3</v>
      </c>
      <c r="T2793" s="4">
        <f t="shared" si="176"/>
        <v>3.4215517081042615E-3</v>
      </c>
      <c r="U2793" s="35"/>
      <c r="V2793" s="35"/>
      <c r="W2793" s="35"/>
      <c r="X2793" s="35"/>
    </row>
    <row r="2794" spans="4:24" x14ac:dyDescent="0.3">
      <c r="D2794" s="23">
        <v>43636</v>
      </c>
      <c r="E2794" s="5">
        <v>273.00732399999998</v>
      </c>
      <c r="F2794" s="28">
        <v>72.993870000000001</v>
      </c>
      <c r="G2794" s="28">
        <v>131.11000000000001</v>
      </c>
      <c r="H2794" s="28">
        <v>182.8254</v>
      </c>
      <c r="I2794" s="28">
        <v>139.63040000000001</v>
      </c>
      <c r="J2794" s="29"/>
      <c r="K2794" s="29"/>
      <c r="L2794" s="29"/>
      <c r="M2794" s="29"/>
      <c r="N2794" s="29"/>
      <c r="P2794" s="4">
        <f t="shared" si="176"/>
        <v>9.5090633635573612E-3</v>
      </c>
      <c r="Q2794" s="4">
        <f t="shared" si="176"/>
        <v>1.5675238333060645E-3</v>
      </c>
      <c r="R2794" s="4">
        <f t="shared" si="176"/>
        <v>2.4866146066081913E-2</v>
      </c>
      <c r="S2794" s="4">
        <f t="shared" si="176"/>
        <v>9.2564175721245884E-3</v>
      </c>
      <c r="T2794" s="4">
        <f t="shared" si="176"/>
        <v>9.1334428459101825E-3</v>
      </c>
      <c r="U2794" s="35"/>
      <c r="V2794" s="35"/>
      <c r="W2794" s="35"/>
      <c r="X2794" s="35"/>
    </row>
    <row r="2795" spans="4:24" x14ac:dyDescent="0.3">
      <c r="D2795" s="23">
        <v>43637</v>
      </c>
      <c r="E2795" s="5">
        <v>272.61053500000003</v>
      </c>
      <c r="F2795" s="28">
        <v>72.791589999999999</v>
      </c>
      <c r="G2795" s="28">
        <v>131.97999999999999</v>
      </c>
      <c r="H2795" s="28">
        <v>182.55430000000001</v>
      </c>
      <c r="I2795" s="28">
        <v>139.649</v>
      </c>
      <c r="J2795" s="29"/>
      <c r="K2795" s="29"/>
      <c r="L2795" s="29"/>
      <c r="M2795" s="29"/>
      <c r="N2795" s="29"/>
      <c r="P2795" s="4">
        <f t="shared" si="176"/>
        <v>-1.4544577799415284E-3</v>
      </c>
      <c r="Q2795" s="4">
        <f t="shared" si="176"/>
        <v>-2.77503846831437E-3</v>
      </c>
      <c r="R2795" s="4">
        <f t="shared" si="176"/>
        <v>6.6137304439649438E-3</v>
      </c>
      <c r="S2795" s="4">
        <f t="shared" si="176"/>
        <v>-1.4839360246249754E-3</v>
      </c>
      <c r="T2795" s="4">
        <f t="shared" si="176"/>
        <v>1.3319994262012586E-4</v>
      </c>
      <c r="U2795" s="35"/>
      <c r="V2795" s="35"/>
      <c r="W2795" s="35"/>
      <c r="X2795" s="35"/>
    </row>
    <row r="2796" spans="4:24" x14ac:dyDescent="0.3">
      <c r="D2796" s="23">
        <v>43640</v>
      </c>
      <c r="E2796" s="5">
        <v>272.27664199999998</v>
      </c>
      <c r="F2796" s="28">
        <v>72.923519999999996</v>
      </c>
      <c r="G2796" s="28">
        <v>133.94</v>
      </c>
      <c r="H2796" s="28">
        <v>182.56020000000001</v>
      </c>
      <c r="I2796" s="28">
        <v>138.8706</v>
      </c>
      <c r="J2796" s="29"/>
      <c r="K2796" s="29"/>
      <c r="L2796" s="29"/>
      <c r="M2796" s="29"/>
      <c r="N2796" s="29"/>
      <c r="P2796" s="4">
        <f t="shared" si="176"/>
        <v>-1.2255492728966283E-3</v>
      </c>
      <c r="Q2796" s="4">
        <f t="shared" si="176"/>
        <v>1.8107941729529039E-3</v>
      </c>
      <c r="R2796" s="4">
        <f t="shared" si="176"/>
        <v>1.4741542526628735E-2</v>
      </c>
      <c r="S2796" s="4">
        <f t="shared" si="176"/>
        <v>3.2318628816427576E-5</v>
      </c>
      <c r="T2796" s="4">
        <f t="shared" si="176"/>
        <v>-5.589567316951944E-3</v>
      </c>
      <c r="U2796" s="35"/>
      <c r="V2796" s="35"/>
      <c r="W2796" s="35"/>
      <c r="X2796" s="35"/>
    </row>
    <row r="2797" spans="4:24" x14ac:dyDescent="0.3">
      <c r="D2797" s="23">
        <v>43641</v>
      </c>
      <c r="E2797" s="5">
        <v>269.606201</v>
      </c>
      <c r="F2797" s="28">
        <v>72.949860000000001</v>
      </c>
      <c r="G2797" s="28">
        <v>134.19999999999999</v>
      </c>
      <c r="H2797" s="28">
        <v>179.4263</v>
      </c>
      <c r="I2797" s="28">
        <v>137.5547</v>
      </c>
      <c r="J2797" s="29"/>
      <c r="K2797" s="29"/>
      <c r="L2797" s="29"/>
      <c r="M2797" s="29"/>
      <c r="N2797" s="29"/>
      <c r="P2797" s="4">
        <f t="shared" si="176"/>
        <v>-9.8562360956105776E-3</v>
      </c>
      <c r="Q2797" s="4">
        <f t="shared" si="176"/>
        <v>3.6113511987269261E-4</v>
      </c>
      <c r="R2797" s="4">
        <f t="shared" si="176"/>
        <v>1.9392860556772598E-3</v>
      </c>
      <c r="S2797" s="4">
        <f t="shared" si="176"/>
        <v>-1.7315442986368994E-2</v>
      </c>
      <c r="T2797" s="4">
        <f t="shared" si="176"/>
        <v>-9.5209081097839456E-3</v>
      </c>
      <c r="U2797" s="35"/>
      <c r="V2797" s="35"/>
      <c r="W2797" s="35"/>
      <c r="X2797" s="35"/>
    </row>
    <row r="2798" spans="4:24" x14ac:dyDescent="0.3">
      <c r="D2798" s="23">
        <v>43642</v>
      </c>
      <c r="E2798" s="5">
        <v>269.33728000000002</v>
      </c>
      <c r="F2798" s="28">
        <v>72.782780000000002</v>
      </c>
      <c r="G2798" s="28">
        <v>132.97</v>
      </c>
      <c r="H2798" s="28">
        <v>180.26070000000001</v>
      </c>
      <c r="I2798" s="28">
        <v>137.29519999999999</v>
      </c>
      <c r="J2798" s="29"/>
      <c r="K2798" s="29"/>
      <c r="L2798" s="29"/>
      <c r="M2798" s="29"/>
      <c r="N2798" s="29"/>
      <c r="P2798" s="4">
        <f t="shared" si="176"/>
        <v>-9.9795630450743894E-4</v>
      </c>
      <c r="Q2798" s="4">
        <f t="shared" si="176"/>
        <v>-2.2929670827986901E-3</v>
      </c>
      <c r="R2798" s="4">
        <f t="shared" si="176"/>
        <v>-9.2076856689668231E-3</v>
      </c>
      <c r="S2798" s="4">
        <f t="shared" si="176"/>
        <v>4.6395977433979973E-3</v>
      </c>
      <c r="T2798" s="4">
        <f t="shared" si="176"/>
        <v>-1.8883039586922946E-3</v>
      </c>
      <c r="U2798" s="35"/>
      <c r="V2798" s="35"/>
      <c r="W2798" s="35"/>
      <c r="X2798" s="35"/>
    </row>
    <row r="2799" spans="4:24" x14ac:dyDescent="0.3">
      <c r="D2799" s="23">
        <v>43643</v>
      </c>
      <c r="E2799" s="5">
        <v>270.29238900000001</v>
      </c>
      <c r="F2799" s="28">
        <v>72.993870000000001</v>
      </c>
      <c r="G2799" s="28">
        <v>132.84</v>
      </c>
      <c r="H2799" s="28">
        <v>180.9495</v>
      </c>
      <c r="I2799" s="28">
        <v>138.12</v>
      </c>
      <c r="J2799" s="29"/>
      <c r="K2799" s="29"/>
      <c r="L2799" s="29"/>
      <c r="M2799" s="29"/>
      <c r="N2799" s="29"/>
      <c r="P2799" s="4">
        <f t="shared" si="176"/>
        <v>3.5398720723342882E-3</v>
      </c>
      <c r="Q2799" s="4">
        <f t="shared" si="176"/>
        <v>2.8960762582873963E-3</v>
      </c>
      <c r="R2799" s="4">
        <f t="shared" si="176"/>
        <v>-9.781423600686164E-4</v>
      </c>
      <c r="S2799" s="4">
        <f t="shared" si="176"/>
        <v>3.8138504112503542E-3</v>
      </c>
      <c r="T2799" s="4">
        <f t="shared" si="176"/>
        <v>5.9895203007127723E-3</v>
      </c>
      <c r="U2799" s="35"/>
      <c r="V2799" s="35"/>
      <c r="W2799" s="35"/>
      <c r="X2799" s="35"/>
    </row>
    <row r="2800" spans="4:24" x14ac:dyDescent="0.3">
      <c r="D2800" s="23">
        <v>43644</v>
      </c>
      <c r="E2800" s="5">
        <v>271.68325800000002</v>
      </c>
      <c r="F2800" s="28">
        <v>73.055430000000001</v>
      </c>
      <c r="G2800" s="28">
        <v>133.19999999999999</v>
      </c>
      <c r="H2800" s="28">
        <v>181.1824</v>
      </c>
      <c r="I2800" s="28">
        <v>139.08369999999999</v>
      </c>
      <c r="J2800" s="29"/>
      <c r="K2800" s="29"/>
      <c r="L2800" s="29"/>
      <c r="M2800" s="29"/>
      <c r="N2800" s="29"/>
      <c r="P2800" s="4">
        <f t="shared" si="176"/>
        <v>5.1325998172430552E-3</v>
      </c>
      <c r="Q2800" s="4">
        <f t="shared" si="176"/>
        <v>8.4300306328963183E-4</v>
      </c>
      <c r="R2800" s="4">
        <f t="shared" si="176"/>
        <v>2.7063615977428457E-3</v>
      </c>
      <c r="S2800" s="4">
        <f t="shared" si="176"/>
        <v>1.2862718369245942E-3</v>
      </c>
      <c r="T2800" s="4">
        <f t="shared" si="176"/>
        <v>6.9530376577353163E-3</v>
      </c>
      <c r="U2800" s="35"/>
      <c r="V2800" s="35"/>
      <c r="W2800" s="35"/>
      <c r="X2800" s="35"/>
    </row>
    <row r="2801" spans="4:24" x14ac:dyDescent="0.3">
      <c r="D2801" s="23">
        <v>43647</v>
      </c>
      <c r="E2801" s="5">
        <v>274.14968900000002</v>
      </c>
      <c r="F2801" s="28">
        <v>73.050129999999996</v>
      </c>
      <c r="G2801" s="28">
        <v>130.62</v>
      </c>
      <c r="H2801" s="28">
        <v>183.62739999999999</v>
      </c>
      <c r="I2801" s="28">
        <v>140.066</v>
      </c>
      <c r="J2801" s="29"/>
      <c r="K2801" s="29"/>
      <c r="L2801" s="29"/>
      <c r="M2801" s="29"/>
      <c r="N2801" s="29"/>
      <c r="P2801" s="4">
        <f t="shared" si="176"/>
        <v>9.0373723333995962E-3</v>
      </c>
      <c r="Q2801" s="4">
        <f t="shared" si="176"/>
        <v>-7.2550284908137462E-5</v>
      </c>
      <c r="R2801" s="4">
        <f t="shared" si="176"/>
        <v>-1.95594136317776E-2</v>
      </c>
      <c r="S2801" s="4">
        <f t="shared" si="176"/>
        <v>1.3404445875747179E-2</v>
      </c>
      <c r="T2801" s="4">
        <f t="shared" si="176"/>
        <v>7.0378299136688712E-3</v>
      </c>
      <c r="U2801" s="35"/>
      <c r="V2801" s="35"/>
      <c r="W2801" s="35"/>
      <c r="X2801" s="35"/>
    </row>
    <row r="2802" spans="4:24" x14ac:dyDescent="0.3">
      <c r="D2802" s="23">
        <v>43648</v>
      </c>
      <c r="E2802" s="5">
        <v>274.86367799999999</v>
      </c>
      <c r="F2802" s="28">
        <v>73.191130000000001</v>
      </c>
      <c r="G2802" s="28">
        <v>133.41</v>
      </c>
      <c r="H2802" s="28">
        <v>184.35509999999999</v>
      </c>
      <c r="I2802" s="28">
        <v>140.3903</v>
      </c>
      <c r="J2802" s="29"/>
      <c r="K2802" s="29"/>
      <c r="L2802" s="29"/>
      <c r="M2802" s="29"/>
      <c r="N2802" s="29"/>
      <c r="P2802" s="4">
        <f t="shared" si="176"/>
        <v>2.6009909610101682E-3</v>
      </c>
      <c r="Q2802" s="4">
        <f t="shared" si="176"/>
        <v>1.9283209634745097E-3</v>
      </c>
      <c r="R2802" s="4">
        <f t="shared" si="176"/>
        <v>2.1134748716203536E-2</v>
      </c>
      <c r="S2802" s="4">
        <f t="shared" si="176"/>
        <v>3.9550845412418493E-3</v>
      </c>
      <c r="T2802" s="4">
        <f t="shared" si="176"/>
        <v>2.3126607927187715E-3</v>
      </c>
      <c r="U2802" s="35"/>
      <c r="V2802" s="35"/>
      <c r="W2802" s="35"/>
      <c r="X2802" s="35"/>
    </row>
    <row r="2803" spans="4:24" x14ac:dyDescent="0.3">
      <c r="D2803" s="23">
        <v>43649</v>
      </c>
      <c r="E2803" s="5">
        <v>277.06124899999998</v>
      </c>
      <c r="F2803" s="28">
        <v>73.32338</v>
      </c>
      <c r="G2803" s="28">
        <v>133.63</v>
      </c>
      <c r="H2803" s="28">
        <v>185.74250000000001</v>
      </c>
      <c r="I2803" s="28">
        <v>141.44669999999999</v>
      </c>
      <c r="J2803" s="29"/>
      <c r="K2803" s="29"/>
      <c r="L2803" s="29"/>
      <c r="M2803" s="29"/>
      <c r="N2803" s="29"/>
      <c r="P2803" s="4">
        <f t="shared" si="176"/>
        <v>7.9633388734115396E-3</v>
      </c>
      <c r="Q2803" s="4">
        <f t="shared" si="176"/>
        <v>1.8052824381338051E-3</v>
      </c>
      <c r="R2803" s="4">
        <f t="shared" si="176"/>
        <v>1.6476936022547122E-3</v>
      </c>
      <c r="S2803" s="4">
        <f t="shared" si="176"/>
        <v>7.4975168665008911E-3</v>
      </c>
      <c r="T2803" s="4">
        <f t="shared" si="176"/>
        <v>7.4965667910022668E-3</v>
      </c>
      <c r="U2803" s="35"/>
      <c r="V2803" s="35"/>
      <c r="W2803" s="35"/>
      <c r="X2803" s="35"/>
    </row>
    <row r="2804" spans="4:24" x14ac:dyDescent="0.3">
      <c r="D2804" s="23">
        <v>43651</v>
      </c>
      <c r="E2804" s="5">
        <v>276.74600199999998</v>
      </c>
      <c r="F2804" s="28">
        <v>72.979609999999994</v>
      </c>
      <c r="G2804" s="28">
        <v>132.13999999999999</v>
      </c>
      <c r="H2804" s="28">
        <v>185.36420000000001</v>
      </c>
      <c r="I2804" s="28">
        <v>141.36330000000001</v>
      </c>
      <c r="J2804" s="29"/>
      <c r="K2804" s="29"/>
      <c r="L2804" s="29"/>
      <c r="M2804" s="29"/>
      <c r="N2804" s="29"/>
      <c r="P2804" s="4">
        <f t="shared" si="176"/>
        <v>-1.1384720351008404E-3</v>
      </c>
      <c r="Q2804" s="4">
        <f t="shared" si="176"/>
        <v>-4.6994341355659323E-3</v>
      </c>
      <c r="R2804" s="4">
        <f t="shared" si="176"/>
        <v>-1.1212820191230035E-2</v>
      </c>
      <c r="S2804" s="4">
        <f t="shared" si="176"/>
        <v>-2.0387674544056402E-3</v>
      </c>
      <c r="T2804" s="4">
        <f t="shared" si="176"/>
        <v>-5.8979528600549842E-4</v>
      </c>
      <c r="U2804" s="35"/>
      <c r="V2804" s="35"/>
      <c r="W2804" s="35"/>
      <c r="X2804" s="35"/>
    </row>
    <row r="2805" spans="4:24" x14ac:dyDescent="0.3">
      <c r="D2805" s="23">
        <v>43654</v>
      </c>
      <c r="E2805" s="5">
        <v>275.22534200000001</v>
      </c>
      <c r="F2805" s="28">
        <v>72.970799999999997</v>
      </c>
      <c r="G2805" s="28">
        <v>131.29</v>
      </c>
      <c r="H2805" s="28">
        <v>184.06399999999999</v>
      </c>
      <c r="I2805" s="28">
        <v>140.6035</v>
      </c>
      <c r="J2805" s="29"/>
      <c r="K2805" s="29"/>
      <c r="L2805" s="29"/>
      <c r="M2805" s="29"/>
      <c r="N2805" s="29"/>
      <c r="P2805" s="4">
        <f t="shared" ref="P2805:T2820" si="177">LN(E2805/E2804)</f>
        <v>-5.5099376578992857E-3</v>
      </c>
      <c r="Q2805" s="4">
        <f t="shared" si="177"/>
        <v>-1.207259371275135E-4</v>
      </c>
      <c r="R2805" s="4">
        <f t="shared" si="177"/>
        <v>-6.4533496557205774E-3</v>
      </c>
      <c r="S2805" s="4">
        <f t="shared" si="177"/>
        <v>-7.0390152592182727E-3</v>
      </c>
      <c r="T2805" s="4">
        <f t="shared" si="177"/>
        <v>-5.3893000098132679E-3</v>
      </c>
      <c r="U2805" s="35"/>
      <c r="V2805" s="35"/>
      <c r="W2805" s="35"/>
      <c r="X2805" s="35"/>
    </row>
    <row r="2806" spans="4:24" x14ac:dyDescent="0.3">
      <c r="D2806" s="23">
        <v>43655</v>
      </c>
      <c r="E2806" s="5">
        <v>275.56842</v>
      </c>
      <c r="F2806" s="28">
        <v>72.873810000000006</v>
      </c>
      <c r="G2806" s="28">
        <v>131.75</v>
      </c>
      <c r="H2806" s="28">
        <v>184.98570000000001</v>
      </c>
      <c r="I2806" s="28">
        <v>140.8537</v>
      </c>
      <c r="J2806" s="29"/>
      <c r="K2806" s="29"/>
      <c r="L2806" s="29"/>
      <c r="M2806" s="29"/>
      <c r="N2806" s="29"/>
      <c r="P2806" s="4">
        <f t="shared" si="177"/>
        <v>1.245758641576456E-3</v>
      </c>
      <c r="Q2806" s="4">
        <f t="shared" si="177"/>
        <v>-1.3300459207660844E-3</v>
      </c>
      <c r="R2806" s="4">
        <f t="shared" si="177"/>
        <v>3.4975704754527559E-3</v>
      </c>
      <c r="S2806" s="4">
        <f t="shared" si="177"/>
        <v>4.9950015749653659E-3</v>
      </c>
      <c r="T2806" s="4">
        <f t="shared" si="177"/>
        <v>1.7778906768394223E-3</v>
      </c>
      <c r="U2806" s="35"/>
      <c r="V2806" s="35"/>
      <c r="W2806" s="35"/>
      <c r="X2806" s="35"/>
    </row>
    <row r="2807" spans="4:24" x14ac:dyDescent="0.3">
      <c r="D2807" s="23">
        <v>43656</v>
      </c>
      <c r="E2807" s="5">
        <v>276.88504</v>
      </c>
      <c r="F2807" s="28">
        <v>72.935540000000003</v>
      </c>
      <c r="G2807" s="28">
        <v>133.83000000000001</v>
      </c>
      <c r="H2807" s="28">
        <v>186.82919999999999</v>
      </c>
      <c r="I2807" s="28">
        <v>141.4282</v>
      </c>
      <c r="J2807" s="29"/>
      <c r="K2807" s="29"/>
      <c r="L2807" s="29"/>
      <c r="M2807" s="29"/>
      <c r="N2807" s="29"/>
      <c r="P2807" s="4">
        <f t="shared" si="177"/>
        <v>4.7664557760247646E-3</v>
      </c>
      <c r="Q2807" s="4">
        <f t="shared" si="177"/>
        <v>8.4672215722860281E-4</v>
      </c>
      <c r="R2807" s="4">
        <f t="shared" si="177"/>
        <v>1.5664150386811453E-2</v>
      </c>
      <c r="S2807" s="4">
        <f t="shared" si="177"/>
        <v>9.9163057015766443E-3</v>
      </c>
      <c r="T2807" s="4">
        <f t="shared" si="177"/>
        <v>4.0704047493097823E-3</v>
      </c>
      <c r="U2807" s="35"/>
      <c r="V2807" s="35"/>
      <c r="W2807" s="35"/>
      <c r="X2807" s="35"/>
    </row>
    <row r="2808" spans="4:24" x14ac:dyDescent="0.3">
      <c r="D2808" s="23">
        <v>43657</v>
      </c>
      <c r="E2808" s="5">
        <v>277.53417999999999</v>
      </c>
      <c r="F2808" s="28">
        <v>72.69753</v>
      </c>
      <c r="G2808" s="28">
        <v>132.69999999999999</v>
      </c>
      <c r="H2808" s="28">
        <v>186.6934</v>
      </c>
      <c r="I2808" s="28">
        <v>141.62280000000001</v>
      </c>
      <c r="J2808" s="29"/>
      <c r="K2808" s="29"/>
      <c r="L2808" s="29"/>
      <c r="M2808" s="29"/>
      <c r="N2808" s="29"/>
      <c r="P2808" s="4">
        <f t="shared" si="177"/>
        <v>2.3416947797435706E-3</v>
      </c>
      <c r="Q2808" s="4">
        <f t="shared" si="177"/>
        <v>-3.2686286419269309E-3</v>
      </c>
      <c r="R2808" s="4">
        <f t="shared" si="177"/>
        <v>-8.4793964701214957E-3</v>
      </c>
      <c r="S2808" s="4">
        <f t="shared" si="177"/>
        <v>-7.2713140240155099E-4</v>
      </c>
      <c r="T2808" s="4">
        <f t="shared" si="177"/>
        <v>1.3750174396870067E-3</v>
      </c>
      <c r="U2808" s="35"/>
      <c r="V2808" s="35"/>
      <c r="W2808" s="35"/>
      <c r="X2808" s="35"/>
    </row>
    <row r="2809" spans="4:24" x14ac:dyDescent="0.3">
      <c r="D2809" s="23">
        <v>43658</v>
      </c>
      <c r="E2809" s="5">
        <v>278.77667200000002</v>
      </c>
      <c r="F2809" s="28">
        <v>72.759230000000002</v>
      </c>
      <c r="G2809" s="28">
        <v>133.53</v>
      </c>
      <c r="H2809" s="28">
        <v>187.77029999999999</v>
      </c>
      <c r="I2809" s="28">
        <v>142.34559999999999</v>
      </c>
      <c r="J2809" s="29"/>
      <c r="K2809" s="29"/>
      <c r="L2809" s="29"/>
      <c r="M2809" s="29"/>
      <c r="N2809" s="29"/>
      <c r="P2809" s="4">
        <f t="shared" si="177"/>
        <v>4.4669057290956582E-3</v>
      </c>
      <c r="Q2809" s="4">
        <f t="shared" si="177"/>
        <v>8.4836213456911352E-4</v>
      </c>
      <c r="R2809" s="4">
        <f t="shared" si="177"/>
        <v>6.2352303577108085E-3</v>
      </c>
      <c r="S2809" s="4">
        <f t="shared" si="177"/>
        <v>5.7517082101437647E-3</v>
      </c>
      <c r="T2809" s="4">
        <f t="shared" si="177"/>
        <v>5.090718269856678E-3</v>
      </c>
      <c r="U2809" s="35"/>
      <c r="V2809" s="35"/>
      <c r="W2809" s="35"/>
      <c r="X2809" s="35"/>
    </row>
    <row r="2810" spans="4:24" x14ac:dyDescent="0.3">
      <c r="D2810" s="23">
        <v>43661</v>
      </c>
      <c r="E2810" s="5">
        <v>278.86938500000002</v>
      </c>
      <c r="F2810" s="28">
        <v>72.865039999999993</v>
      </c>
      <c r="G2810" s="28">
        <v>133.53</v>
      </c>
      <c r="H2810" s="28">
        <v>188.37190000000001</v>
      </c>
      <c r="I2810" s="28">
        <v>142.25290000000001</v>
      </c>
      <c r="J2810" s="29"/>
      <c r="K2810" s="29"/>
      <c r="L2810" s="29"/>
      <c r="M2810" s="29"/>
      <c r="N2810" s="29"/>
      <c r="P2810" s="4">
        <f t="shared" si="177"/>
        <v>3.3251557933719602E-4</v>
      </c>
      <c r="Q2810" s="4">
        <f t="shared" si="177"/>
        <v>1.4531920897595189E-3</v>
      </c>
      <c r="R2810" s="4">
        <f t="shared" si="177"/>
        <v>0</v>
      </c>
      <c r="S2810" s="4">
        <f t="shared" si="177"/>
        <v>3.1987929723284216E-3</v>
      </c>
      <c r="T2810" s="4">
        <f t="shared" si="177"/>
        <v>-6.5144407492176242E-4</v>
      </c>
      <c r="U2810" s="35"/>
      <c r="V2810" s="35"/>
      <c r="W2810" s="35"/>
      <c r="X2810" s="35"/>
    </row>
    <row r="2811" spans="4:24" x14ac:dyDescent="0.3">
      <c r="D2811" s="23">
        <v>43662</v>
      </c>
      <c r="E2811" s="5">
        <v>277.96997099999999</v>
      </c>
      <c r="F2811" s="28">
        <v>72.768039999999999</v>
      </c>
      <c r="G2811" s="28">
        <v>132.4</v>
      </c>
      <c r="H2811" s="28">
        <v>187.4016</v>
      </c>
      <c r="I2811" s="28">
        <v>141.89150000000001</v>
      </c>
      <c r="J2811" s="29"/>
      <c r="K2811" s="29"/>
      <c r="L2811" s="29"/>
      <c r="M2811" s="29"/>
      <c r="N2811" s="29"/>
      <c r="P2811" s="4">
        <f t="shared" si="177"/>
        <v>-3.2304282104847746E-3</v>
      </c>
      <c r="Q2811" s="4">
        <f t="shared" si="177"/>
        <v>-1.33211512582328E-3</v>
      </c>
      <c r="R2811" s="4">
        <f t="shared" si="177"/>
        <v>-8.4985281929648299E-3</v>
      </c>
      <c r="S2811" s="4">
        <f t="shared" si="177"/>
        <v>-5.1642926203374542E-3</v>
      </c>
      <c r="T2811" s="4">
        <f t="shared" si="177"/>
        <v>-2.5437784090002616E-3</v>
      </c>
      <c r="U2811" s="35"/>
      <c r="V2811" s="35"/>
      <c r="W2811" s="35"/>
      <c r="X2811" s="35"/>
    </row>
    <row r="2812" spans="4:24" x14ac:dyDescent="0.3">
      <c r="D2812" s="23">
        <v>43663</v>
      </c>
      <c r="E2812" s="5">
        <v>276.07839999999999</v>
      </c>
      <c r="F2812" s="28">
        <v>72.988410000000002</v>
      </c>
      <c r="G2812" s="28">
        <v>134.58000000000001</v>
      </c>
      <c r="H2812" s="28">
        <v>186.47989999999999</v>
      </c>
      <c r="I2812" s="28">
        <v>140.9556</v>
      </c>
      <c r="J2812" s="29"/>
      <c r="K2812" s="29"/>
      <c r="L2812" s="29"/>
      <c r="M2812" s="29"/>
      <c r="N2812" s="29"/>
      <c r="P2812" s="4">
        <f t="shared" si="177"/>
        <v>-6.8282065193252615E-3</v>
      </c>
      <c r="Q2812" s="4">
        <f t="shared" si="177"/>
        <v>3.0238136001775589E-3</v>
      </c>
      <c r="R2812" s="4">
        <f t="shared" si="177"/>
        <v>1.6331174257264183E-2</v>
      </c>
      <c r="S2812" s="4">
        <f t="shared" si="177"/>
        <v>-4.9304491779257019E-3</v>
      </c>
      <c r="T2812" s="4">
        <f t="shared" si="177"/>
        <v>-6.6177338611275553E-3</v>
      </c>
      <c r="U2812" s="35"/>
      <c r="V2812" s="35"/>
      <c r="W2812" s="35"/>
      <c r="X2812" s="35"/>
    </row>
    <row r="2813" spans="4:24" x14ac:dyDescent="0.3">
      <c r="D2813" s="23">
        <v>43664</v>
      </c>
      <c r="E2813" s="5">
        <v>277.08904999999999</v>
      </c>
      <c r="F2813" s="28">
        <v>73.120660000000001</v>
      </c>
      <c r="G2813" s="28">
        <v>136.47999999999999</v>
      </c>
      <c r="H2813" s="28">
        <v>186.6934</v>
      </c>
      <c r="I2813" s="28">
        <v>141.47460000000001</v>
      </c>
      <c r="J2813" s="29"/>
      <c r="K2813" s="29"/>
      <c r="L2813" s="29"/>
      <c r="M2813" s="29"/>
      <c r="N2813" s="29"/>
      <c r="P2813" s="4">
        <f t="shared" si="177"/>
        <v>3.6540513167359272E-3</v>
      </c>
      <c r="Q2813" s="4">
        <f t="shared" si="177"/>
        <v>1.8102919430943525E-3</v>
      </c>
      <c r="R2813" s="4">
        <f t="shared" si="177"/>
        <v>1.4019265983196768E-2</v>
      </c>
      <c r="S2813" s="4">
        <f t="shared" si="177"/>
        <v>1.1442406157911073E-3</v>
      </c>
      <c r="T2813" s="4">
        <f t="shared" si="177"/>
        <v>3.6752484981928688E-3</v>
      </c>
      <c r="U2813" s="35"/>
      <c r="V2813" s="35"/>
      <c r="W2813" s="35"/>
      <c r="X2813" s="35"/>
    </row>
    <row r="2814" spans="4:24" x14ac:dyDescent="0.3">
      <c r="D2814" s="23">
        <v>43665</v>
      </c>
      <c r="E2814" s="5">
        <v>275.54989599999999</v>
      </c>
      <c r="F2814" s="28">
        <v>73.041309999999996</v>
      </c>
      <c r="G2814" s="28">
        <v>134.47</v>
      </c>
      <c r="H2814" s="28">
        <v>185.3253</v>
      </c>
      <c r="I2814" s="28">
        <v>140.66829999999999</v>
      </c>
      <c r="J2814" s="29"/>
      <c r="K2814" s="29"/>
      <c r="L2814" s="29"/>
      <c r="M2814" s="29"/>
      <c r="N2814" s="29"/>
      <c r="P2814" s="4">
        <f t="shared" si="177"/>
        <v>-5.5702117658646003E-3</v>
      </c>
      <c r="Q2814" s="4">
        <f t="shared" si="177"/>
        <v>-1.0857818596126986E-3</v>
      </c>
      <c r="R2814" s="4">
        <f t="shared" si="177"/>
        <v>-1.4836957907590336E-2</v>
      </c>
      <c r="S2814" s="4">
        <f t="shared" si="177"/>
        <v>-7.3550397733167169E-3</v>
      </c>
      <c r="T2814" s="4">
        <f t="shared" si="177"/>
        <v>-5.7155589950361766E-3</v>
      </c>
      <c r="U2814" s="35"/>
      <c r="V2814" s="35"/>
      <c r="W2814" s="35"/>
      <c r="X2814" s="35"/>
    </row>
    <row r="2815" spans="4:24" x14ac:dyDescent="0.3">
      <c r="D2815" s="23">
        <v>43668</v>
      </c>
      <c r="E2815" s="5">
        <v>276.22677599999997</v>
      </c>
      <c r="F2815" s="28">
        <v>73.120660000000001</v>
      </c>
      <c r="G2815" s="28">
        <v>134.44999999999999</v>
      </c>
      <c r="H2815" s="28">
        <v>186.80009999999999</v>
      </c>
      <c r="I2815" s="28">
        <v>141.00200000000001</v>
      </c>
      <c r="J2815" s="29"/>
      <c r="K2815" s="29"/>
      <c r="L2815" s="29"/>
      <c r="M2815" s="29"/>
      <c r="N2815" s="29"/>
      <c r="P2815" s="4">
        <f t="shared" si="177"/>
        <v>2.4534576174953032E-3</v>
      </c>
      <c r="Q2815" s="4">
        <f t="shared" si="177"/>
        <v>1.0857818596127233E-3</v>
      </c>
      <c r="R2815" s="4">
        <f t="shared" si="177"/>
        <v>-1.4874312090496151E-4</v>
      </c>
      <c r="S2815" s="4">
        <f t="shared" si="177"/>
        <v>7.9264018072086901E-3</v>
      </c>
      <c r="T2815" s="4">
        <f t="shared" si="177"/>
        <v>2.3694379998356846E-3</v>
      </c>
      <c r="U2815" s="35"/>
      <c r="V2815" s="35"/>
      <c r="W2815" s="35"/>
      <c r="X2815" s="35"/>
    </row>
    <row r="2816" spans="4:24" x14ac:dyDescent="0.3">
      <c r="D2816" s="23">
        <v>43669</v>
      </c>
      <c r="E2816" s="5">
        <v>278.20181300000002</v>
      </c>
      <c r="F2816" s="28">
        <v>73.058949999999996</v>
      </c>
      <c r="G2816" s="28">
        <v>133.69</v>
      </c>
      <c r="H2816" s="28">
        <v>188.02260000000001</v>
      </c>
      <c r="I2816" s="28">
        <v>141.94710000000001</v>
      </c>
      <c r="J2816" s="29"/>
      <c r="K2816" s="29"/>
      <c r="L2816" s="29"/>
      <c r="M2816" s="29"/>
      <c r="N2816" s="29"/>
      <c r="P2816" s="4">
        <f t="shared" si="177"/>
        <v>7.124615842724274E-3</v>
      </c>
      <c r="Q2816" s="4">
        <f t="shared" si="177"/>
        <v>-8.4430384874923834E-4</v>
      </c>
      <c r="R2816" s="4">
        <f t="shared" si="177"/>
        <v>-5.6686957198423876E-3</v>
      </c>
      <c r="S2816" s="4">
        <f t="shared" si="177"/>
        <v>6.5231072444264697E-3</v>
      </c>
      <c r="T2816" s="4">
        <f t="shared" si="177"/>
        <v>6.6803783067788183E-3</v>
      </c>
      <c r="U2816" s="35"/>
      <c r="V2816" s="35"/>
      <c r="W2816" s="35"/>
      <c r="X2816" s="35"/>
    </row>
    <row r="2817" spans="4:24" x14ac:dyDescent="0.3">
      <c r="D2817" s="23">
        <v>43670</v>
      </c>
      <c r="E2817" s="5">
        <v>279.509186</v>
      </c>
      <c r="F2817" s="28">
        <v>73.129429999999999</v>
      </c>
      <c r="G2817" s="28">
        <v>134.37</v>
      </c>
      <c r="H2817" s="28">
        <v>189.34209999999999</v>
      </c>
      <c r="I2817" s="28">
        <v>142.81819999999999</v>
      </c>
      <c r="J2817" s="29"/>
      <c r="K2817" s="29"/>
      <c r="L2817" s="29"/>
      <c r="M2817" s="29"/>
      <c r="N2817" s="29"/>
      <c r="P2817" s="4">
        <f t="shared" si="177"/>
        <v>4.6883615244984233E-3</v>
      </c>
      <c r="Q2817" s="4">
        <f t="shared" si="177"/>
        <v>9.64235399020542E-4</v>
      </c>
      <c r="R2817" s="4">
        <f t="shared" si="177"/>
        <v>5.073501892287377E-3</v>
      </c>
      <c r="S2817" s="4">
        <f t="shared" si="177"/>
        <v>6.9932634270695616E-3</v>
      </c>
      <c r="T2817" s="4">
        <f t="shared" si="177"/>
        <v>6.1180397831772457E-3</v>
      </c>
      <c r="U2817" s="35"/>
      <c r="V2817" s="35"/>
      <c r="W2817" s="35"/>
      <c r="X2817" s="35"/>
    </row>
    <row r="2818" spans="4:24" x14ac:dyDescent="0.3">
      <c r="D2818" s="23">
        <v>43671</v>
      </c>
      <c r="E2818" s="5">
        <v>278.17398100000003</v>
      </c>
      <c r="F2818" s="28">
        <v>73.050129999999996</v>
      </c>
      <c r="G2818" s="28">
        <v>133.41999999999999</v>
      </c>
      <c r="H2818" s="28">
        <v>187.5472</v>
      </c>
      <c r="I2818" s="28">
        <v>142.0583</v>
      </c>
      <c r="J2818" s="29"/>
      <c r="K2818" s="29"/>
      <c r="L2818" s="29"/>
      <c r="M2818" s="29"/>
      <c r="N2818" s="29"/>
      <c r="P2818" s="4">
        <f t="shared" si="177"/>
        <v>-4.7884090115507191E-3</v>
      </c>
      <c r="Q2818" s="4">
        <f t="shared" si="177"/>
        <v>-1.0849671154985674E-3</v>
      </c>
      <c r="R2818" s="4">
        <f t="shared" si="177"/>
        <v>-7.0951416059492249E-3</v>
      </c>
      <c r="S2818" s="4">
        <f t="shared" si="177"/>
        <v>-9.5248847337209269E-3</v>
      </c>
      <c r="T2818" s="4">
        <f t="shared" si="177"/>
        <v>-5.3349560412306561E-3</v>
      </c>
      <c r="U2818" s="35"/>
      <c r="V2818" s="35"/>
      <c r="W2818" s="35"/>
      <c r="X2818" s="35"/>
    </row>
    <row r="2819" spans="4:24" x14ac:dyDescent="0.3">
      <c r="D2819" s="23">
        <v>43672</v>
      </c>
      <c r="E2819" s="5">
        <v>280.03771999999998</v>
      </c>
      <c r="F2819" s="28">
        <v>73.050129999999996</v>
      </c>
      <c r="G2819" s="28">
        <v>133.63999999999999</v>
      </c>
      <c r="H2819" s="28">
        <v>189.47790000000001</v>
      </c>
      <c r="I2819" s="28">
        <v>143.08690000000001</v>
      </c>
      <c r="J2819" s="29"/>
      <c r="K2819" s="29"/>
      <c r="L2819" s="29"/>
      <c r="M2819" s="29"/>
      <c r="N2819" s="29"/>
      <c r="P2819" s="4">
        <f t="shared" si="177"/>
        <v>6.6775595064331207E-3</v>
      </c>
      <c r="Q2819" s="4">
        <f t="shared" si="177"/>
        <v>0</v>
      </c>
      <c r="R2819" s="4">
        <f t="shared" si="177"/>
        <v>1.6475702071863251E-3</v>
      </c>
      <c r="S2819" s="4">
        <f t="shared" si="177"/>
        <v>1.0241847965953546E-2</v>
      </c>
      <c r="T2819" s="4">
        <f t="shared" si="177"/>
        <v>7.2146012739408467E-3</v>
      </c>
      <c r="U2819" s="35"/>
      <c r="V2819" s="35"/>
      <c r="W2819" s="35"/>
      <c r="X2819" s="35"/>
    </row>
    <row r="2820" spans="4:24" x14ac:dyDescent="0.3">
      <c r="D2820" s="23">
        <v>43675</v>
      </c>
      <c r="E2820" s="5">
        <v>279.52771000000001</v>
      </c>
      <c r="F2820" s="28">
        <v>73.094200000000001</v>
      </c>
      <c r="G2820" s="28">
        <v>134.53</v>
      </c>
      <c r="H2820" s="28">
        <v>188.8279</v>
      </c>
      <c r="I2820" s="28">
        <v>142.744</v>
      </c>
      <c r="J2820" s="29"/>
      <c r="K2820" s="29"/>
      <c r="L2820" s="29"/>
      <c r="M2820" s="29"/>
      <c r="N2820" s="29"/>
      <c r="P2820" s="4">
        <f t="shared" si="177"/>
        <v>-1.8228793770391414E-3</v>
      </c>
      <c r="Q2820" s="4">
        <f t="shared" si="177"/>
        <v>6.0310244449190715E-4</v>
      </c>
      <c r="R2820" s="4">
        <f t="shared" si="177"/>
        <v>6.6376050088959434E-3</v>
      </c>
      <c r="S2820" s="4">
        <f t="shared" si="177"/>
        <v>-3.436376812816634E-3</v>
      </c>
      <c r="T2820" s="4">
        <f t="shared" si="177"/>
        <v>-2.3993218682724273E-3</v>
      </c>
      <c r="U2820" s="35"/>
      <c r="V2820" s="35"/>
      <c r="W2820" s="35"/>
      <c r="X2820" s="35"/>
    </row>
    <row r="2821" spans="4:24" x14ac:dyDescent="0.3">
      <c r="D2821" s="23">
        <v>43676</v>
      </c>
      <c r="E2821" s="5">
        <v>278.84158300000001</v>
      </c>
      <c r="F2821" s="28">
        <v>73.076580000000007</v>
      </c>
      <c r="G2821" s="28">
        <v>134.97999999999999</v>
      </c>
      <c r="H2821" s="28">
        <v>188.0129</v>
      </c>
      <c r="I2821" s="28">
        <v>142.60499999999999</v>
      </c>
      <c r="J2821" s="29"/>
      <c r="K2821" s="29"/>
      <c r="L2821" s="29"/>
      <c r="M2821" s="29"/>
      <c r="N2821" s="29"/>
      <c r="P2821" s="4">
        <f t="shared" ref="P2821:T2836" si="178">LN(E2821/E2820)</f>
        <v>-2.4576113118819939E-3</v>
      </c>
      <c r="Q2821" s="4">
        <f t="shared" si="178"/>
        <v>-2.4108785744094091E-4</v>
      </c>
      <c r="R2821" s="4">
        <f t="shared" si="178"/>
        <v>3.3393968178088026E-3</v>
      </c>
      <c r="S2821" s="4">
        <f t="shared" si="178"/>
        <v>-4.3254407202311237E-3</v>
      </c>
      <c r="T2821" s="4">
        <f t="shared" si="178"/>
        <v>-9.7424565002428591E-4</v>
      </c>
      <c r="U2821" s="35"/>
      <c r="V2821" s="35"/>
      <c r="W2821" s="35"/>
      <c r="X2821" s="35"/>
    </row>
    <row r="2822" spans="4:24" x14ac:dyDescent="0.3">
      <c r="D2822" s="23">
        <v>43677</v>
      </c>
      <c r="E2822" s="5">
        <v>275.790955</v>
      </c>
      <c r="F2822" s="28">
        <v>73.164720000000003</v>
      </c>
      <c r="G2822" s="28">
        <v>133.21</v>
      </c>
      <c r="H2822" s="28">
        <v>185.4127</v>
      </c>
      <c r="I2822" s="28">
        <v>141.04830000000001</v>
      </c>
      <c r="J2822" s="29"/>
      <c r="K2822" s="29"/>
      <c r="L2822" s="29"/>
      <c r="M2822" s="29"/>
      <c r="N2822" s="29"/>
      <c r="P2822" s="4">
        <f t="shared" si="178"/>
        <v>-1.1000648375459424E-2</v>
      </c>
      <c r="Q2822" s="4">
        <f t="shared" si="178"/>
        <v>1.2054051854338797E-3</v>
      </c>
      <c r="R2822" s="4">
        <f t="shared" si="178"/>
        <v>-1.3199788951888867E-2</v>
      </c>
      <c r="S2822" s="4">
        <f t="shared" si="178"/>
        <v>-1.392642617211135E-2</v>
      </c>
      <c r="T2822" s="4">
        <f t="shared" si="178"/>
        <v>-1.0976185567394945E-2</v>
      </c>
      <c r="U2822" s="35"/>
      <c r="V2822" s="35"/>
      <c r="W2822" s="35"/>
      <c r="X2822" s="35"/>
    </row>
    <row r="2823" spans="4:24" x14ac:dyDescent="0.3">
      <c r="D2823" s="23">
        <v>43678</v>
      </c>
      <c r="E2823" s="5">
        <v>273.38937399999998</v>
      </c>
      <c r="F2823" s="28">
        <v>73.688680000000005</v>
      </c>
      <c r="G2823" s="28">
        <v>136.41</v>
      </c>
      <c r="H2823" s="28">
        <v>184.49090000000001</v>
      </c>
      <c r="I2823" s="28">
        <v>139.74170000000001</v>
      </c>
      <c r="J2823" s="29"/>
      <c r="K2823" s="29"/>
      <c r="L2823" s="29"/>
      <c r="M2823" s="29"/>
      <c r="N2823" s="29"/>
      <c r="P2823" s="4">
        <f t="shared" si="178"/>
        <v>-8.7461119130993626E-3</v>
      </c>
      <c r="Q2823" s="4">
        <f t="shared" si="178"/>
        <v>7.1358541695753118E-3</v>
      </c>
      <c r="R2823" s="4">
        <f t="shared" si="178"/>
        <v>2.3738226141657371E-2</v>
      </c>
      <c r="S2823" s="4">
        <f t="shared" si="178"/>
        <v>-4.9840115541114451E-3</v>
      </c>
      <c r="T2823" s="4">
        <f t="shared" si="178"/>
        <v>-9.3066664112806743E-3</v>
      </c>
      <c r="U2823" s="35"/>
      <c r="V2823" s="35"/>
      <c r="W2823" s="35"/>
      <c r="X2823" s="35"/>
    </row>
    <row r="2824" spans="4:24" x14ac:dyDescent="0.3">
      <c r="D2824" s="23">
        <v>43679</v>
      </c>
      <c r="E2824" s="5">
        <v>271.33084100000002</v>
      </c>
      <c r="F2824" s="28">
        <v>73.759370000000004</v>
      </c>
      <c r="G2824" s="28">
        <v>135.88999999999999</v>
      </c>
      <c r="H2824" s="28">
        <v>181.77420000000001</v>
      </c>
      <c r="I2824" s="28">
        <v>138.61109999999999</v>
      </c>
      <c r="J2824" s="29"/>
      <c r="K2824" s="29"/>
      <c r="L2824" s="29"/>
      <c r="M2824" s="29"/>
      <c r="N2824" s="29"/>
      <c r="P2824" s="4">
        <f t="shared" si="178"/>
        <v>-7.5581656157711306E-3</v>
      </c>
      <c r="Q2824" s="4">
        <f t="shared" si="178"/>
        <v>9.5884625691485654E-4</v>
      </c>
      <c r="R2824" s="4">
        <f t="shared" si="178"/>
        <v>-3.8193215726228845E-3</v>
      </c>
      <c r="S2824" s="4">
        <f t="shared" si="178"/>
        <v>-1.4834882289775151E-2</v>
      </c>
      <c r="T2824" s="4">
        <f t="shared" si="178"/>
        <v>-8.1235483712973622E-3</v>
      </c>
      <c r="U2824" s="35"/>
      <c r="V2824" s="35"/>
      <c r="W2824" s="35"/>
      <c r="X2824" s="35"/>
    </row>
    <row r="2825" spans="4:24" x14ac:dyDescent="0.3">
      <c r="D2825" s="23">
        <v>43682</v>
      </c>
      <c r="E2825" s="5">
        <v>263.17114299999997</v>
      </c>
      <c r="F2825" s="28">
        <v>74.077439999999996</v>
      </c>
      <c r="G2825" s="28">
        <v>137.79</v>
      </c>
      <c r="H2825" s="28">
        <v>175.35130000000001</v>
      </c>
      <c r="I2825" s="28">
        <v>134.4967</v>
      </c>
      <c r="J2825" s="29"/>
      <c r="K2825" s="29"/>
      <c r="L2825" s="29"/>
      <c r="M2825" s="29"/>
      <c r="N2825" s="29"/>
      <c r="P2825" s="4">
        <f t="shared" si="178"/>
        <v>-3.0534337405947777E-2</v>
      </c>
      <c r="Q2825" s="4">
        <f t="shared" si="178"/>
        <v>4.3029945082761305E-3</v>
      </c>
      <c r="R2825" s="4">
        <f t="shared" si="178"/>
        <v>1.3885052073405776E-2</v>
      </c>
      <c r="S2825" s="4">
        <f t="shared" si="178"/>
        <v>-3.5973867178541515E-2</v>
      </c>
      <c r="T2825" s="4">
        <f t="shared" si="178"/>
        <v>-3.0132506704217542E-2</v>
      </c>
      <c r="U2825" s="35"/>
      <c r="V2825" s="35"/>
      <c r="W2825" s="35"/>
      <c r="X2825" s="35"/>
    </row>
    <row r="2826" spans="4:24" x14ac:dyDescent="0.3">
      <c r="D2826" s="23">
        <v>43683</v>
      </c>
      <c r="E2826" s="5">
        <v>266.86144999999999</v>
      </c>
      <c r="F2826" s="28">
        <v>74.263000000000005</v>
      </c>
      <c r="G2826" s="28">
        <v>138.91</v>
      </c>
      <c r="H2826" s="28">
        <v>177.80600000000001</v>
      </c>
      <c r="I2826" s="28">
        <v>136.24809999999999</v>
      </c>
      <c r="J2826" s="29"/>
      <c r="K2826" s="29"/>
      <c r="L2826" s="29"/>
      <c r="M2826" s="29"/>
      <c r="N2826" s="29"/>
      <c r="P2826" s="4">
        <f t="shared" si="178"/>
        <v>1.3925055477570846E-2</v>
      </c>
      <c r="Q2826" s="4">
        <f t="shared" si="178"/>
        <v>2.5018140270602284E-3</v>
      </c>
      <c r="R2826" s="4">
        <f t="shared" si="178"/>
        <v>8.0954544034861978E-3</v>
      </c>
      <c r="S2826" s="4">
        <f t="shared" si="178"/>
        <v>1.390167798955937E-2</v>
      </c>
      <c r="T2826" s="4">
        <f t="shared" si="178"/>
        <v>1.2937825067080232E-2</v>
      </c>
      <c r="U2826" s="35"/>
      <c r="V2826" s="35"/>
      <c r="W2826" s="35"/>
      <c r="X2826" s="35"/>
    </row>
    <row r="2827" spans="4:24" x14ac:dyDescent="0.3">
      <c r="D2827" s="23">
        <v>43684</v>
      </c>
      <c r="E2827" s="5">
        <v>267.01910400000003</v>
      </c>
      <c r="F2827" s="28">
        <v>74.263000000000005</v>
      </c>
      <c r="G2827" s="28">
        <v>141.02000000000001</v>
      </c>
      <c r="H2827" s="28">
        <v>178.76650000000001</v>
      </c>
      <c r="I2827" s="28">
        <v>136.3964</v>
      </c>
      <c r="J2827" s="29"/>
      <c r="K2827" s="29"/>
      <c r="L2827" s="29"/>
      <c r="M2827" s="29"/>
      <c r="N2827" s="29"/>
      <c r="P2827" s="4">
        <f t="shared" si="178"/>
        <v>5.9059654224670498E-4</v>
      </c>
      <c r="Q2827" s="4">
        <f t="shared" si="178"/>
        <v>0</v>
      </c>
      <c r="R2827" s="4">
        <f t="shared" si="178"/>
        <v>1.5075482881596693E-2</v>
      </c>
      <c r="S2827" s="4">
        <f t="shared" si="178"/>
        <v>5.3874167141264705E-3</v>
      </c>
      <c r="T2827" s="4">
        <f t="shared" si="178"/>
        <v>1.0878636071913069E-3</v>
      </c>
      <c r="U2827" s="35"/>
      <c r="V2827" s="35"/>
      <c r="W2827" s="35"/>
      <c r="X2827" s="35"/>
    </row>
    <row r="2828" spans="4:24" x14ac:dyDescent="0.3">
      <c r="D2828" s="23">
        <v>43685</v>
      </c>
      <c r="E2828" s="5">
        <v>272.25808699999999</v>
      </c>
      <c r="F2828" s="28">
        <v>74.324809999999999</v>
      </c>
      <c r="G2828" s="28">
        <v>141.72999999999999</v>
      </c>
      <c r="H2828" s="28">
        <v>182.65719999999999</v>
      </c>
      <c r="I2828" s="28">
        <v>138.99109999999999</v>
      </c>
      <c r="J2828" s="29"/>
      <c r="K2828" s="29"/>
      <c r="L2828" s="29"/>
      <c r="M2828" s="29"/>
      <c r="N2828" s="29"/>
      <c r="P2828" s="4">
        <f t="shared" si="178"/>
        <v>1.9430259285363388E-2</v>
      </c>
      <c r="Q2828" s="4">
        <f t="shared" si="178"/>
        <v>8.3196600804904619E-4</v>
      </c>
      <c r="R2828" s="4">
        <f t="shared" si="178"/>
        <v>5.0221148879194396E-3</v>
      </c>
      <c r="S2828" s="4">
        <f t="shared" si="178"/>
        <v>2.1530687113103422E-2</v>
      </c>
      <c r="T2828" s="4">
        <f t="shared" si="178"/>
        <v>1.8844550204599034E-2</v>
      </c>
      <c r="U2828" s="35"/>
      <c r="V2828" s="35"/>
      <c r="W2828" s="35"/>
      <c r="X2828" s="35"/>
    </row>
    <row r="2829" spans="4:24" x14ac:dyDescent="0.3">
      <c r="D2829" s="23">
        <v>43686</v>
      </c>
      <c r="E2829" s="5">
        <v>270.40356400000002</v>
      </c>
      <c r="F2829" s="28">
        <v>74.192319999999995</v>
      </c>
      <c r="G2829" s="28">
        <v>141.26</v>
      </c>
      <c r="H2829" s="28">
        <v>180.93989999999999</v>
      </c>
      <c r="I2829" s="28">
        <v>137.99959999999999</v>
      </c>
      <c r="J2829" s="29"/>
      <c r="K2829" s="29"/>
      <c r="L2829" s="29"/>
      <c r="M2829" s="29"/>
      <c r="N2829" s="29"/>
      <c r="P2829" s="4">
        <f t="shared" si="178"/>
        <v>-6.8349411324712906E-3</v>
      </c>
      <c r="Q2829" s="4">
        <f t="shared" si="178"/>
        <v>-1.7841717672021377E-3</v>
      </c>
      <c r="R2829" s="4">
        <f t="shared" si="178"/>
        <v>-3.3216751980378535E-3</v>
      </c>
      <c r="S2829" s="4">
        <f t="shared" si="178"/>
        <v>-9.4462401913856416E-3</v>
      </c>
      <c r="T2829" s="4">
        <f t="shared" si="178"/>
        <v>-7.1591157015044992E-3</v>
      </c>
      <c r="U2829" s="35"/>
      <c r="V2829" s="35"/>
      <c r="W2829" s="35"/>
      <c r="X2829" s="35"/>
    </row>
    <row r="2830" spans="4:24" x14ac:dyDescent="0.3">
      <c r="D2830" s="23">
        <v>43689</v>
      </c>
      <c r="E2830" s="5">
        <v>267.11200000000002</v>
      </c>
      <c r="F2830" s="28">
        <v>74.519199999999998</v>
      </c>
      <c r="G2830" s="28">
        <v>142.63</v>
      </c>
      <c r="H2830" s="28">
        <v>178.86359999999999</v>
      </c>
      <c r="I2830" s="28">
        <v>136.2945</v>
      </c>
      <c r="J2830" s="29"/>
      <c r="K2830" s="29"/>
      <c r="L2830" s="29"/>
      <c r="M2830" s="29"/>
      <c r="N2830" s="29"/>
      <c r="P2830" s="4">
        <f t="shared" si="178"/>
        <v>-1.22474784549567E-2</v>
      </c>
      <c r="Q2830" s="4">
        <f t="shared" si="178"/>
        <v>4.3961695294140683E-3</v>
      </c>
      <c r="R2830" s="4">
        <f t="shared" si="178"/>
        <v>9.6517005545548179E-3</v>
      </c>
      <c r="S2830" s="4">
        <f t="shared" si="178"/>
        <v>-1.1541427738567471E-2</v>
      </c>
      <c r="T2830" s="4">
        <f t="shared" si="178"/>
        <v>-1.2432800878306047E-2</v>
      </c>
      <c r="U2830" s="35"/>
      <c r="V2830" s="35"/>
      <c r="W2830" s="35"/>
      <c r="X2830" s="35"/>
    </row>
    <row r="2831" spans="4:24" x14ac:dyDescent="0.3">
      <c r="D2831" s="23">
        <v>43690</v>
      </c>
      <c r="E2831" s="5">
        <v>271.26599099999999</v>
      </c>
      <c r="F2831" s="28">
        <v>74.404390000000006</v>
      </c>
      <c r="G2831" s="28">
        <v>141.78</v>
      </c>
      <c r="H2831" s="28">
        <v>182.7833</v>
      </c>
      <c r="I2831" s="28">
        <v>138.24039999999999</v>
      </c>
      <c r="J2831" s="29"/>
      <c r="K2831" s="29"/>
      <c r="L2831" s="29"/>
      <c r="M2831" s="29"/>
      <c r="N2831" s="29"/>
      <c r="P2831" s="4">
        <f t="shared" si="178"/>
        <v>1.5431810012037916E-2</v>
      </c>
      <c r="Q2831" s="4">
        <f t="shared" si="178"/>
        <v>-1.5418648280673222E-3</v>
      </c>
      <c r="R2831" s="4">
        <f t="shared" si="178"/>
        <v>-5.9773041084594143E-3</v>
      </c>
      <c r="S2831" s="4">
        <f t="shared" si="178"/>
        <v>2.1677793983331837E-2</v>
      </c>
      <c r="T2831" s="4">
        <f t="shared" si="178"/>
        <v>1.4176212846104713E-2</v>
      </c>
      <c r="U2831" s="35"/>
      <c r="V2831" s="35"/>
      <c r="W2831" s="35"/>
      <c r="X2831" s="35"/>
    </row>
    <row r="2832" spans="4:24" x14ac:dyDescent="0.3">
      <c r="D2832" s="23">
        <v>43691</v>
      </c>
      <c r="E2832" s="5">
        <v>263.24527</v>
      </c>
      <c r="F2832" s="28">
        <v>74.669370000000001</v>
      </c>
      <c r="G2832" s="28">
        <v>142.75</v>
      </c>
      <c r="H2832" s="28">
        <v>177.32089999999999</v>
      </c>
      <c r="I2832" s="28">
        <v>134.2465</v>
      </c>
      <c r="J2832" s="29"/>
      <c r="K2832" s="29"/>
      <c r="L2832" s="29"/>
      <c r="M2832" s="29"/>
      <c r="N2832" s="29"/>
      <c r="P2832" s="4">
        <f t="shared" si="178"/>
        <v>-3.0013672971038859E-2</v>
      </c>
      <c r="Q2832" s="4">
        <f t="shared" si="178"/>
        <v>3.5550224140333993E-3</v>
      </c>
      <c r="R2832" s="4">
        <f t="shared" si="178"/>
        <v>6.8182881092481891E-3</v>
      </c>
      <c r="S2832" s="4">
        <f t="shared" si="178"/>
        <v>-3.0340212739250097E-2</v>
      </c>
      <c r="T2832" s="4">
        <f t="shared" si="178"/>
        <v>-2.9316536284452903E-2</v>
      </c>
      <c r="U2832" s="35"/>
      <c r="V2832" s="35"/>
      <c r="W2832" s="35"/>
      <c r="X2832" s="35"/>
    </row>
    <row r="2833" spans="4:24" x14ac:dyDescent="0.3">
      <c r="D2833" s="23">
        <v>43692</v>
      </c>
      <c r="E2833" s="5">
        <v>263.94070399999998</v>
      </c>
      <c r="F2833" s="28">
        <v>75.031670000000005</v>
      </c>
      <c r="G2833" s="28">
        <v>143.69999999999999</v>
      </c>
      <c r="H2833" s="28">
        <v>177.11709999999999</v>
      </c>
      <c r="I2833" s="28">
        <v>134.4967</v>
      </c>
      <c r="J2833" s="29"/>
      <c r="K2833" s="29"/>
      <c r="L2833" s="29"/>
      <c r="M2833" s="29"/>
      <c r="N2833" s="29"/>
      <c r="P2833" s="4">
        <f t="shared" si="178"/>
        <v>2.6382887166286652E-3</v>
      </c>
      <c r="Q2833" s="4">
        <f t="shared" si="178"/>
        <v>4.8403231848234063E-3</v>
      </c>
      <c r="R2833" s="4">
        <f t="shared" si="178"/>
        <v>6.6329445488594561E-3</v>
      </c>
      <c r="S2833" s="4">
        <f t="shared" si="178"/>
        <v>-1.1499896876748816E-3</v>
      </c>
      <c r="T2833" s="4">
        <f t="shared" si="178"/>
        <v>1.8620011392879686E-3</v>
      </c>
      <c r="U2833" s="35"/>
      <c r="V2833" s="35"/>
      <c r="W2833" s="35"/>
      <c r="X2833" s="35"/>
    </row>
    <row r="2834" spans="4:24" x14ac:dyDescent="0.3">
      <c r="D2834" s="23">
        <v>43693</v>
      </c>
      <c r="E2834" s="5">
        <v>267.83514400000001</v>
      </c>
      <c r="F2834" s="28">
        <v>74.952129999999997</v>
      </c>
      <c r="G2834" s="28">
        <v>142.78</v>
      </c>
      <c r="H2834" s="28">
        <v>179.9599</v>
      </c>
      <c r="I2834" s="28">
        <v>136.53540000000001</v>
      </c>
      <c r="J2834" s="29"/>
      <c r="K2834" s="29"/>
      <c r="L2834" s="29"/>
      <c r="M2834" s="29"/>
      <c r="N2834" s="29"/>
      <c r="P2834" s="4">
        <f t="shared" si="178"/>
        <v>1.4647185051763685E-2</v>
      </c>
      <c r="Q2834" s="4">
        <f t="shared" si="178"/>
        <v>-1.0606479827383439E-3</v>
      </c>
      <c r="R2834" s="4">
        <f t="shared" si="178"/>
        <v>-6.4228090106646365E-3</v>
      </c>
      <c r="S2834" s="4">
        <f t="shared" si="178"/>
        <v>1.59229525478886E-2</v>
      </c>
      <c r="T2834" s="4">
        <f t="shared" si="178"/>
        <v>1.504425823646654E-2</v>
      </c>
      <c r="U2834" s="35"/>
      <c r="V2834" s="35"/>
      <c r="W2834" s="35"/>
      <c r="X2834" s="35"/>
    </row>
    <row r="2835" spans="4:24" x14ac:dyDescent="0.3">
      <c r="D2835" s="23">
        <v>43696</v>
      </c>
      <c r="E2835" s="5">
        <v>271.06195100000002</v>
      </c>
      <c r="F2835" s="28">
        <v>74.713579999999993</v>
      </c>
      <c r="G2835" s="28">
        <v>141.11000000000001</v>
      </c>
      <c r="H2835" s="28">
        <v>182.82210000000001</v>
      </c>
      <c r="I2835" s="28">
        <v>138.15710000000001</v>
      </c>
      <c r="J2835" s="29"/>
      <c r="K2835" s="29"/>
      <c r="L2835" s="29"/>
      <c r="M2835" s="29"/>
      <c r="N2835" s="29"/>
      <c r="P2835" s="4">
        <f t="shared" si="178"/>
        <v>1.197573932062497E-2</v>
      </c>
      <c r="Q2835" s="4">
        <f t="shared" si="178"/>
        <v>-3.1877736324518046E-3</v>
      </c>
      <c r="R2835" s="4">
        <f t="shared" si="178"/>
        <v>-1.1765256004645104E-2</v>
      </c>
      <c r="S2835" s="4">
        <f t="shared" si="178"/>
        <v>1.5779500574161248E-2</v>
      </c>
      <c r="T2835" s="4">
        <f t="shared" si="178"/>
        <v>1.1807521800406853E-2</v>
      </c>
      <c r="U2835" s="35"/>
      <c r="V2835" s="35"/>
      <c r="W2835" s="35"/>
      <c r="X2835" s="35"/>
    </row>
    <row r="2836" spans="4:24" x14ac:dyDescent="0.3">
      <c r="D2836" s="23">
        <v>43697</v>
      </c>
      <c r="E2836" s="5">
        <v>268.98492399999998</v>
      </c>
      <c r="F2836" s="28">
        <v>74.908000000000001</v>
      </c>
      <c r="G2836" s="28">
        <v>142.21</v>
      </c>
      <c r="H2836" s="28">
        <v>181.40559999999999</v>
      </c>
      <c r="I2836" s="28">
        <v>137.10059999999999</v>
      </c>
      <c r="J2836" s="29"/>
      <c r="K2836" s="29"/>
      <c r="L2836" s="29"/>
      <c r="M2836" s="29"/>
      <c r="N2836" s="29"/>
      <c r="P2836" s="4">
        <f t="shared" si="178"/>
        <v>-7.6920628087640101E-3</v>
      </c>
      <c r="Q2836" s="4">
        <f t="shared" si="178"/>
        <v>2.5988244399537713E-3</v>
      </c>
      <c r="R2836" s="4">
        <f t="shared" si="178"/>
        <v>7.7651103149355694E-3</v>
      </c>
      <c r="S2836" s="4">
        <f t="shared" si="178"/>
        <v>-7.7781406600943657E-3</v>
      </c>
      <c r="T2836" s="4">
        <f t="shared" si="178"/>
        <v>-7.6764805354791275E-3</v>
      </c>
      <c r="U2836" s="35"/>
      <c r="V2836" s="35"/>
      <c r="W2836" s="35"/>
      <c r="X2836" s="35"/>
    </row>
    <row r="2837" spans="4:24" x14ac:dyDescent="0.3">
      <c r="D2837" s="23">
        <v>43698</v>
      </c>
      <c r="E2837" s="5">
        <v>271.17321800000002</v>
      </c>
      <c r="F2837" s="28">
        <v>74.872619999999998</v>
      </c>
      <c r="G2837" s="28">
        <v>141.76</v>
      </c>
      <c r="H2837" s="28">
        <v>183.0162</v>
      </c>
      <c r="I2837" s="28">
        <v>138.25899999999999</v>
      </c>
      <c r="J2837" s="29"/>
      <c r="K2837" s="29"/>
      <c r="L2837" s="29"/>
      <c r="M2837" s="29"/>
      <c r="N2837" s="29"/>
      <c r="P2837" s="4">
        <f t="shared" ref="P2837:T2852" si="179">LN(E2837/E2836)</f>
        <v>8.1024640808428118E-3</v>
      </c>
      <c r="Q2837" s="4">
        <f t="shared" si="179"/>
        <v>-4.7242427836154507E-4</v>
      </c>
      <c r="R2837" s="4">
        <f t="shared" si="179"/>
        <v>-3.1693515278342654E-3</v>
      </c>
      <c r="S2837" s="4">
        <f t="shared" si="179"/>
        <v>8.8392653056703577E-3</v>
      </c>
      <c r="T2837" s="4">
        <f t="shared" si="179"/>
        <v>8.4137748147636998E-3</v>
      </c>
      <c r="U2837" s="35"/>
      <c r="V2837" s="35"/>
      <c r="W2837" s="35"/>
      <c r="X2837" s="35"/>
    </row>
    <row r="2838" spans="4:24" x14ac:dyDescent="0.3">
      <c r="D2838" s="23">
        <v>43699</v>
      </c>
      <c r="E2838" s="5">
        <v>271.08984400000003</v>
      </c>
      <c r="F2838" s="28">
        <v>74.731279999999998</v>
      </c>
      <c r="G2838" s="28">
        <v>141.4</v>
      </c>
      <c r="H2838" s="28">
        <v>182.42429999999999</v>
      </c>
      <c r="I2838" s="28">
        <v>138.1386</v>
      </c>
      <c r="J2838" s="29"/>
      <c r="K2838" s="29"/>
      <c r="L2838" s="29"/>
      <c r="M2838" s="29"/>
      <c r="N2838" s="29"/>
      <c r="P2838" s="4">
        <f t="shared" si="179"/>
        <v>-3.0750389063738685E-4</v>
      </c>
      <c r="Q2838" s="4">
        <f t="shared" si="179"/>
        <v>-1.8895234957400251E-3</v>
      </c>
      <c r="R2838" s="4">
        <f t="shared" si="179"/>
        <v>-2.5427333942983142E-3</v>
      </c>
      <c r="S2838" s="4">
        <f t="shared" si="179"/>
        <v>-3.2393810625600239E-3</v>
      </c>
      <c r="T2838" s="4">
        <f t="shared" si="179"/>
        <v>-8.712087776112015E-4</v>
      </c>
      <c r="U2838" s="35"/>
      <c r="V2838" s="35"/>
      <c r="W2838" s="35"/>
      <c r="X2838" s="35"/>
    </row>
    <row r="2839" spans="4:24" x14ac:dyDescent="0.3">
      <c r="D2839" s="23">
        <v>43700</v>
      </c>
      <c r="E2839" s="5">
        <v>264.12616000000003</v>
      </c>
      <c r="F2839" s="28">
        <v>75.005200000000002</v>
      </c>
      <c r="G2839" s="28">
        <v>144.16999999999999</v>
      </c>
      <c r="H2839" s="28">
        <v>176.6514</v>
      </c>
      <c r="I2839" s="28">
        <v>134.65430000000001</v>
      </c>
      <c r="J2839" s="29"/>
      <c r="K2839" s="29"/>
      <c r="L2839" s="29"/>
      <c r="M2839" s="29"/>
      <c r="N2839" s="29"/>
      <c r="P2839" s="4">
        <f t="shared" si="179"/>
        <v>-2.6023425825329585E-2</v>
      </c>
      <c r="Q2839" s="4">
        <f t="shared" si="179"/>
        <v>3.6586983420389815E-3</v>
      </c>
      <c r="R2839" s="4">
        <f t="shared" si="179"/>
        <v>1.9400405361339853E-2</v>
      </c>
      <c r="S2839" s="4">
        <f t="shared" si="179"/>
        <v>-3.2156993401235762E-2</v>
      </c>
      <c r="T2839" s="4">
        <f t="shared" si="179"/>
        <v>-2.5546775570374689E-2</v>
      </c>
      <c r="U2839" s="35"/>
      <c r="V2839" s="35"/>
      <c r="W2839" s="35"/>
      <c r="X2839" s="35"/>
    </row>
    <row r="2840" spans="4:24" x14ac:dyDescent="0.3">
      <c r="D2840" s="23">
        <v>43703</v>
      </c>
      <c r="E2840" s="5">
        <v>267.04705799999999</v>
      </c>
      <c r="F2840" s="28">
        <v>74.960989999999995</v>
      </c>
      <c r="G2840" s="28">
        <v>144.19</v>
      </c>
      <c r="H2840" s="28">
        <v>179.31960000000001</v>
      </c>
      <c r="I2840" s="28">
        <v>136.0164</v>
      </c>
      <c r="J2840" s="29"/>
      <c r="K2840" s="29"/>
      <c r="L2840" s="29"/>
      <c r="M2840" s="29"/>
      <c r="N2840" s="29"/>
      <c r="P2840" s="4">
        <f t="shared" si="179"/>
        <v>1.0998022275057848E-2</v>
      </c>
      <c r="Q2840" s="4">
        <f t="shared" si="179"/>
        <v>-5.8959957948816308E-4</v>
      </c>
      <c r="R2840" s="4">
        <f t="shared" si="179"/>
        <v>1.3871549474328654E-4</v>
      </c>
      <c r="S2840" s="4">
        <f t="shared" si="179"/>
        <v>1.4991389585913192E-2</v>
      </c>
      <c r="T2840" s="4">
        <f t="shared" si="179"/>
        <v>1.0064713308084495E-2</v>
      </c>
      <c r="U2840" s="35"/>
      <c r="V2840" s="35"/>
      <c r="W2840" s="35"/>
      <c r="X2840" s="35"/>
    </row>
    <row r="2841" spans="4:24" x14ac:dyDescent="0.3">
      <c r="D2841" s="23">
        <v>43704</v>
      </c>
      <c r="E2841" s="5">
        <v>265.99917599999998</v>
      </c>
      <c r="F2841" s="28">
        <v>75.217200000000005</v>
      </c>
      <c r="G2841" s="28">
        <v>145.57</v>
      </c>
      <c r="H2841" s="28">
        <v>178.94110000000001</v>
      </c>
      <c r="I2841" s="28">
        <v>135.38630000000001</v>
      </c>
      <c r="J2841" s="29"/>
      <c r="K2841" s="29"/>
      <c r="L2841" s="29"/>
      <c r="M2841" s="29"/>
      <c r="N2841" s="29"/>
      <c r="P2841" s="4">
        <f t="shared" si="179"/>
        <v>-3.9316790290091714E-3</v>
      </c>
      <c r="Q2841" s="4">
        <f t="shared" si="179"/>
        <v>3.4120833201285077E-3</v>
      </c>
      <c r="R2841" s="4">
        <f t="shared" si="179"/>
        <v>9.5251962580139467E-3</v>
      </c>
      <c r="S2841" s="4">
        <f t="shared" si="179"/>
        <v>-2.1129872231285952E-3</v>
      </c>
      <c r="T2841" s="4">
        <f t="shared" si="179"/>
        <v>-4.6432930261061673E-3</v>
      </c>
      <c r="U2841" s="35"/>
      <c r="V2841" s="35"/>
      <c r="W2841" s="35"/>
      <c r="X2841" s="35"/>
    </row>
    <row r="2842" spans="4:24" x14ac:dyDescent="0.3">
      <c r="D2842" s="23">
        <v>43705</v>
      </c>
      <c r="E2842" s="5">
        <v>267.87228399999998</v>
      </c>
      <c r="F2842" s="28">
        <v>75.243740000000003</v>
      </c>
      <c r="G2842" s="28">
        <v>145.16</v>
      </c>
      <c r="H2842" s="28">
        <v>179.58150000000001</v>
      </c>
      <c r="I2842" s="28">
        <v>136.35</v>
      </c>
      <c r="J2842" s="29"/>
      <c r="K2842" s="29"/>
      <c r="L2842" s="29"/>
      <c r="M2842" s="29"/>
      <c r="N2842" s="29"/>
      <c r="P2842" s="4">
        <f t="shared" si="179"/>
        <v>7.0171036524042819E-3</v>
      </c>
      <c r="Q2842" s="4">
        <f t="shared" si="179"/>
        <v>3.5278259294732617E-4</v>
      </c>
      <c r="R2842" s="4">
        <f t="shared" si="179"/>
        <v>-2.82048823169991E-3</v>
      </c>
      <c r="S2842" s="4">
        <f t="shared" si="179"/>
        <v>3.5724424685286697E-3</v>
      </c>
      <c r="T2842" s="4">
        <f t="shared" si="179"/>
        <v>7.0929356165343139E-3</v>
      </c>
      <c r="U2842" s="35"/>
      <c r="V2842" s="35"/>
      <c r="W2842" s="35"/>
      <c r="X2842" s="35"/>
    </row>
    <row r="2843" spans="4:24" x14ac:dyDescent="0.3">
      <c r="D2843" s="23">
        <v>43706</v>
      </c>
      <c r="E2843" s="5">
        <v>271.29379299999999</v>
      </c>
      <c r="F2843" s="28">
        <v>75.199550000000002</v>
      </c>
      <c r="G2843" s="28">
        <v>144.12</v>
      </c>
      <c r="H2843" s="28">
        <v>182.32730000000001</v>
      </c>
      <c r="I2843" s="28">
        <v>138.15710000000001</v>
      </c>
      <c r="J2843" s="29"/>
      <c r="K2843" s="29"/>
      <c r="L2843" s="29"/>
      <c r="M2843" s="29"/>
      <c r="N2843" s="29"/>
      <c r="P2843" s="4">
        <f t="shared" si="179"/>
        <v>1.2692025986188619E-2</v>
      </c>
      <c r="Q2843" s="4">
        <f t="shared" si="179"/>
        <v>-5.8746390445034815E-4</v>
      </c>
      <c r="R2843" s="4">
        <f t="shared" si="179"/>
        <v>-7.1902964649770314E-3</v>
      </c>
      <c r="S2843" s="4">
        <f t="shared" si="179"/>
        <v>1.5174279745842489E-2</v>
      </c>
      <c r="T2843" s="4">
        <f t="shared" si="179"/>
        <v>1.3166334170188988E-2</v>
      </c>
      <c r="U2843" s="35"/>
      <c r="V2843" s="35"/>
      <c r="W2843" s="35"/>
      <c r="X2843" s="35"/>
    </row>
    <row r="2844" spans="4:24" x14ac:dyDescent="0.3">
      <c r="D2844" s="23">
        <v>43707</v>
      </c>
      <c r="E2844" s="5">
        <v>271.17321800000002</v>
      </c>
      <c r="F2844" s="28">
        <v>75.190709999999996</v>
      </c>
      <c r="G2844" s="28">
        <v>143.75</v>
      </c>
      <c r="H2844" s="28">
        <v>181.89070000000001</v>
      </c>
      <c r="I2844" s="28">
        <v>138.11070000000001</v>
      </c>
      <c r="J2844" s="29"/>
      <c r="K2844" s="29"/>
      <c r="L2844" s="29"/>
      <c r="M2844" s="29"/>
      <c r="N2844" s="29"/>
      <c r="P2844" s="4">
        <f t="shared" si="179"/>
        <v>-4.4454316867440749E-4</v>
      </c>
      <c r="Q2844" s="4">
        <f t="shared" si="179"/>
        <v>-1.1756080493759473E-4</v>
      </c>
      <c r="R2844" s="4">
        <f t="shared" si="179"/>
        <v>-2.5706062024326922E-3</v>
      </c>
      <c r="S2844" s="4">
        <f t="shared" si="179"/>
        <v>-2.3974664026805365E-3</v>
      </c>
      <c r="T2844" s="4">
        <f t="shared" si="179"/>
        <v>-3.3590596107320697E-4</v>
      </c>
      <c r="U2844" s="35"/>
      <c r="V2844" s="35"/>
      <c r="W2844" s="35"/>
      <c r="X2844" s="35"/>
    </row>
    <row r="2845" spans="4:24" x14ac:dyDescent="0.3">
      <c r="D2845" s="23">
        <v>43711</v>
      </c>
      <c r="E2845" s="5">
        <v>269.58767699999999</v>
      </c>
      <c r="F2845" s="28">
        <v>75.259770000000003</v>
      </c>
      <c r="G2845" s="28">
        <v>145.75</v>
      </c>
      <c r="H2845" s="28">
        <v>180.12479999999999</v>
      </c>
      <c r="I2845" s="28">
        <v>137.21190000000001</v>
      </c>
      <c r="J2845" s="29"/>
      <c r="K2845" s="29"/>
      <c r="L2845" s="29"/>
      <c r="M2845" s="29"/>
      <c r="N2845" s="29"/>
      <c r="P2845" s="4">
        <f t="shared" si="179"/>
        <v>-5.8641279659432241E-3</v>
      </c>
      <c r="Q2845" s="4">
        <f t="shared" si="179"/>
        <v>9.1804299793975253E-4</v>
      </c>
      <c r="R2845" s="4">
        <f t="shared" si="179"/>
        <v>1.3817145553141903E-2</v>
      </c>
      <c r="S2845" s="4">
        <f t="shared" si="179"/>
        <v>-9.7560132451661105E-3</v>
      </c>
      <c r="T2845" s="4">
        <f t="shared" si="179"/>
        <v>-6.5290912762867755E-3</v>
      </c>
      <c r="U2845" s="35"/>
      <c r="V2845" s="35"/>
      <c r="W2845" s="35"/>
      <c r="X2845" s="35"/>
    </row>
    <row r="2846" spans="4:24" x14ac:dyDescent="0.3">
      <c r="D2846" s="23">
        <v>43712</v>
      </c>
      <c r="E2846" s="5">
        <v>272.64761399999998</v>
      </c>
      <c r="F2846" s="28">
        <v>75.401480000000006</v>
      </c>
      <c r="G2846" s="28">
        <v>146.66</v>
      </c>
      <c r="H2846" s="28">
        <v>182.7251</v>
      </c>
      <c r="I2846" s="28">
        <v>138.67599999999999</v>
      </c>
      <c r="J2846" s="29"/>
      <c r="K2846" s="29"/>
      <c r="L2846" s="29"/>
      <c r="M2846" s="29"/>
      <c r="N2846" s="29"/>
      <c r="P2846" s="4">
        <f t="shared" si="179"/>
        <v>1.1286500651105631E-2</v>
      </c>
      <c r="Q2846" s="4">
        <f t="shared" si="179"/>
        <v>1.8811743801471798E-3</v>
      </c>
      <c r="R2846" s="4">
        <f t="shared" si="179"/>
        <v>6.2241574350517005E-3</v>
      </c>
      <c r="S2846" s="4">
        <f t="shared" si="179"/>
        <v>1.4332893657765997E-2</v>
      </c>
      <c r="T2846" s="4">
        <f t="shared" si="179"/>
        <v>1.0613830795973628E-2</v>
      </c>
      <c r="U2846" s="35"/>
      <c r="V2846" s="35"/>
      <c r="W2846" s="35"/>
      <c r="X2846" s="35"/>
    </row>
    <row r="2847" spans="4:24" x14ac:dyDescent="0.3">
      <c r="D2847" s="23">
        <v>43713</v>
      </c>
      <c r="E2847" s="5">
        <v>276.15261800000002</v>
      </c>
      <c r="F2847" s="28">
        <v>75.011859999999999</v>
      </c>
      <c r="G2847" s="28">
        <v>143.13999999999999</v>
      </c>
      <c r="H2847" s="28">
        <v>186.07239999999999</v>
      </c>
      <c r="I2847" s="28">
        <v>140.52940000000001</v>
      </c>
      <c r="J2847" s="29"/>
      <c r="K2847" s="29"/>
      <c r="L2847" s="29"/>
      <c r="M2847" s="29"/>
      <c r="N2847" s="29"/>
      <c r="P2847" s="4">
        <f t="shared" si="179"/>
        <v>1.2773506469517023E-2</v>
      </c>
      <c r="Q2847" s="4">
        <f t="shared" si="179"/>
        <v>-5.1806691005997921E-3</v>
      </c>
      <c r="R2847" s="4">
        <f t="shared" si="179"/>
        <v>-2.4293810355202047E-2</v>
      </c>
      <c r="S2847" s="4">
        <f t="shared" si="179"/>
        <v>1.8153007651153186E-2</v>
      </c>
      <c r="T2847" s="4">
        <f t="shared" si="179"/>
        <v>1.3276442532153479E-2</v>
      </c>
      <c r="U2847" s="35"/>
      <c r="V2847" s="35"/>
      <c r="W2847" s="35"/>
      <c r="X2847" s="35"/>
    </row>
    <row r="2848" spans="4:24" x14ac:dyDescent="0.3">
      <c r="D2848" s="23">
        <v>43714</v>
      </c>
      <c r="E2848" s="5">
        <v>276.365814</v>
      </c>
      <c r="F2848" s="28">
        <v>75.100409999999997</v>
      </c>
      <c r="G2848" s="28">
        <v>141.91999999999999</v>
      </c>
      <c r="H2848" s="28">
        <v>185.88810000000001</v>
      </c>
      <c r="I2848" s="28">
        <v>140.55709999999999</v>
      </c>
      <c r="J2848" s="29"/>
      <c r="K2848" s="29"/>
      <c r="L2848" s="29"/>
      <c r="M2848" s="29"/>
      <c r="N2848" s="29"/>
      <c r="P2848" s="4">
        <f t="shared" si="179"/>
        <v>7.7172451897817803E-4</v>
      </c>
      <c r="Q2848" s="4">
        <f t="shared" si="179"/>
        <v>1.1797837747837725E-3</v>
      </c>
      <c r="R2848" s="4">
        <f t="shared" si="179"/>
        <v>-8.5596537491821213E-3</v>
      </c>
      <c r="S2848" s="4">
        <f t="shared" si="179"/>
        <v>-9.9096551962937741E-4</v>
      </c>
      <c r="T2848" s="4">
        <f t="shared" si="179"/>
        <v>1.970923547709123E-4</v>
      </c>
      <c r="U2848" s="35"/>
      <c r="V2848" s="35"/>
      <c r="W2848" s="35"/>
      <c r="X2848" s="35"/>
    </row>
    <row r="2849" spans="4:24" x14ac:dyDescent="0.3">
      <c r="D2849" s="23">
        <v>43717</v>
      </c>
      <c r="E2849" s="5">
        <v>276.50491299999999</v>
      </c>
      <c r="F2849" s="28">
        <v>74.755039999999994</v>
      </c>
      <c r="G2849" s="28">
        <v>141.38999999999999</v>
      </c>
      <c r="H2849" s="28">
        <v>185.5</v>
      </c>
      <c r="I2849" s="28">
        <v>140.6405</v>
      </c>
      <c r="J2849" s="29"/>
      <c r="K2849" s="29"/>
      <c r="L2849" s="29"/>
      <c r="M2849" s="29"/>
      <c r="N2849" s="29"/>
      <c r="P2849" s="4">
        <f t="shared" si="179"/>
        <v>5.0318816367695308E-4</v>
      </c>
      <c r="Q2849" s="4">
        <f t="shared" si="179"/>
        <v>-4.6093833956566185E-3</v>
      </c>
      <c r="R2849" s="4">
        <f t="shared" si="179"/>
        <v>-3.7414889575202487E-3</v>
      </c>
      <c r="S2849" s="4">
        <f t="shared" si="179"/>
        <v>-2.089997720828064E-3</v>
      </c>
      <c r="T2849" s="4">
        <f t="shared" si="179"/>
        <v>5.931771995594811E-4</v>
      </c>
      <c r="U2849" s="35"/>
      <c r="V2849" s="35"/>
      <c r="W2849" s="35"/>
      <c r="X2849" s="35"/>
    </row>
    <row r="2850" spans="4:24" x14ac:dyDescent="0.3">
      <c r="D2850" s="23">
        <v>43718</v>
      </c>
      <c r="E2850" s="5">
        <v>276.44000199999999</v>
      </c>
      <c r="F2850" s="28">
        <v>74.374290000000002</v>
      </c>
      <c r="G2850" s="28">
        <v>140.18</v>
      </c>
      <c r="H2850" s="28">
        <v>184.96629999999999</v>
      </c>
      <c r="I2850" s="28">
        <v>140.77959999999999</v>
      </c>
      <c r="J2850" s="29"/>
      <c r="K2850" s="29"/>
      <c r="L2850" s="29"/>
      <c r="M2850" s="29"/>
      <c r="N2850" s="29"/>
      <c r="P2850" s="4">
        <f t="shared" si="179"/>
        <v>-2.3478288175660309E-4</v>
      </c>
      <c r="Q2850" s="4">
        <f t="shared" si="179"/>
        <v>-5.1063171452723315E-3</v>
      </c>
      <c r="R2850" s="4">
        <f t="shared" si="179"/>
        <v>-8.594718531570367E-3</v>
      </c>
      <c r="S2850" s="4">
        <f t="shared" si="179"/>
        <v>-2.8812357248690795E-3</v>
      </c>
      <c r="T2850" s="4">
        <f t="shared" si="179"/>
        <v>9.8855775637850317E-4</v>
      </c>
      <c r="U2850" s="35"/>
      <c r="V2850" s="35"/>
      <c r="W2850" s="35"/>
      <c r="X2850" s="35"/>
    </row>
    <row r="2851" spans="4:24" x14ac:dyDescent="0.3">
      <c r="D2851" s="23">
        <v>43719</v>
      </c>
      <c r="E2851" s="5">
        <v>278.405823</v>
      </c>
      <c r="F2851" s="28">
        <v>74.329989999999995</v>
      </c>
      <c r="G2851" s="28">
        <v>141.03</v>
      </c>
      <c r="H2851" s="28">
        <v>186.703</v>
      </c>
      <c r="I2851" s="28">
        <v>141.92859999999999</v>
      </c>
      <c r="J2851" s="29"/>
      <c r="K2851" s="29"/>
      <c r="L2851" s="29"/>
      <c r="M2851" s="29"/>
      <c r="N2851" s="29"/>
      <c r="P2851" s="4">
        <f t="shared" si="179"/>
        <v>7.0860377317685935E-3</v>
      </c>
      <c r="Q2851" s="4">
        <f t="shared" si="179"/>
        <v>-5.9581339972893078E-4</v>
      </c>
      <c r="R2851" s="4">
        <f t="shared" si="179"/>
        <v>6.045322631969996E-3</v>
      </c>
      <c r="S2851" s="4">
        <f t="shared" si="179"/>
        <v>9.3454726551441408E-3</v>
      </c>
      <c r="T2851" s="4">
        <f t="shared" si="179"/>
        <v>8.128567381780815E-3</v>
      </c>
      <c r="U2851" s="35"/>
      <c r="V2851" s="35"/>
      <c r="W2851" s="35"/>
      <c r="X2851" s="35"/>
    </row>
    <row r="2852" spans="4:24" x14ac:dyDescent="0.3">
      <c r="D2852" s="23">
        <v>43720</v>
      </c>
      <c r="E2852" s="5">
        <v>279.37011699999999</v>
      </c>
      <c r="F2852" s="28">
        <v>74.188329999999993</v>
      </c>
      <c r="G2852" s="28">
        <v>141.32</v>
      </c>
      <c r="H2852" s="28">
        <v>187.47919999999999</v>
      </c>
      <c r="I2852" s="28">
        <v>142.35489999999999</v>
      </c>
      <c r="J2852" s="29"/>
      <c r="K2852" s="29"/>
      <c r="L2852" s="29"/>
      <c r="M2852" s="29"/>
      <c r="N2852" s="29"/>
      <c r="P2852" s="4">
        <f t="shared" si="179"/>
        <v>3.4576427255047517E-3</v>
      </c>
      <c r="Q2852" s="4">
        <f t="shared" si="179"/>
        <v>-1.9076440261328229E-3</v>
      </c>
      <c r="R2852" s="4">
        <f t="shared" si="179"/>
        <v>2.0541887867956557E-3</v>
      </c>
      <c r="S2852" s="4">
        <f t="shared" si="179"/>
        <v>4.1487869458099432E-3</v>
      </c>
      <c r="T2852" s="4">
        <f t="shared" si="179"/>
        <v>2.99912108537876E-3</v>
      </c>
      <c r="U2852" s="35"/>
      <c r="V2852" s="35"/>
      <c r="W2852" s="35"/>
      <c r="X2852" s="35"/>
    </row>
    <row r="2853" spans="4:24" x14ac:dyDescent="0.3">
      <c r="D2853" s="23">
        <v>43721</v>
      </c>
      <c r="E2853" s="5">
        <v>279.18463100000002</v>
      </c>
      <c r="F2853" s="28">
        <v>73.763249999999999</v>
      </c>
      <c r="G2853" s="28">
        <v>140.15</v>
      </c>
      <c r="H2853" s="28">
        <v>186.8098</v>
      </c>
      <c r="I2853" s="28">
        <v>142.2159</v>
      </c>
      <c r="J2853" s="29"/>
      <c r="K2853" s="29"/>
      <c r="L2853" s="29"/>
      <c r="M2853" s="29"/>
      <c r="N2853" s="29"/>
      <c r="P2853" s="4">
        <f t="shared" ref="P2853:T2868" si="180">LN(E2853/E2852)</f>
        <v>-6.641641038144081E-4</v>
      </c>
      <c r="Q2853" s="4">
        <f t="shared" si="180"/>
        <v>-5.7462200761085784E-3</v>
      </c>
      <c r="R2853" s="4">
        <f t="shared" si="180"/>
        <v>-8.3135448801470949E-3</v>
      </c>
      <c r="S2853" s="4">
        <f t="shared" si="180"/>
        <v>-3.5769189781762393E-3</v>
      </c>
      <c r="T2853" s="4">
        <f t="shared" si="180"/>
        <v>-9.7690986604786491E-4</v>
      </c>
      <c r="U2853" s="35"/>
      <c r="V2853" s="35"/>
      <c r="W2853" s="35"/>
      <c r="X2853" s="35"/>
    </row>
    <row r="2854" spans="4:24" x14ac:dyDescent="0.3">
      <c r="D2854" s="23">
        <v>43724</v>
      </c>
      <c r="E2854" s="5">
        <v>278.32235700000001</v>
      </c>
      <c r="F2854" s="28">
        <v>73.958079999999995</v>
      </c>
      <c r="G2854" s="28">
        <v>141.32</v>
      </c>
      <c r="H2854" s="28">
        <v>185.97540000000001</v>
      </c>
      <c r="I2854" s="28">
        <v>141.9273</v>
      </c>
      <c r="J2854" s="29"/>
      <c r="K2854" s="29"/>
      <c r="L2854" s="29"/>
      <c r="M2854" s="29"/>
      <c r="N2854" s="29"/>
      <c r="P2854" s="4">
        <f t="shared" si="180"/>
        <v>-3.09332333450993E-3</v>
      </c>
      <c r="Q2854" s="4">
        <f t="shared" si="180"/>
        <v>2.6378061038207575E-3</v>
      </c>
      <c r="R2854" s="4">
        <f t="shared" si="180"/>
        <v>8.3135448801471105E-3</v>
      </c>
      <c r="S2854" s="4">
        <f t="shared" si="180"/>
        <v>-4.4765800435824692E-3</v>
      </c>
      <c r="T2854" s="4">
        <f t="shared" si="180"/>
        <v>-2.0313707964260755E-3</v>
      </c>
      <c r="U2854" s="35"/>
      <c r="V2854" s="35"/>
      <c r="W2854" s="35"/>
      <c r="X2854" s="35"/>
    </row>
    <row r="2855" spans="4:24" x14ac:dyDescent="0.3">
      <c r="D2855" s="23">
        <v>43725</v>
      </c>
      <c r="E2855" s="5">
        <v>279.02710000000002</v>
      </c>
      <c r="F2855" s="28">
        <v>74.126310000000004</v>
      </c>
      <c r="G2855" s="28">
        <v>141.6</v>
      </c>
      <c r="H2855" s="28">
        <v>186.86799999999999</v>
      </c>
      <c r="I2855" s="28">
        <v>142.27170000000001</v>
      </c>
      <c r="J2855" s="29"/>
      <c r="K2855" s="29"/>
      <c r="L2855" s="29"/>
      <c r="M2855" s="29"/>
      <c r="N2855" s="29"/>
      <c r="P2855" s="4">
        <f t="shared" si="180"/>
        <v>2.5289102438005181E-3</v>
      </c>
      <c r="Q2855" s="4">
        <f t="shared" si="180"/>
        <v>2.2720838080509155E-3</v>
      </c>
      <c r="R2855" s="4">
        <f t="shared" si="180"/>
        <v>1.97935876867502E-3</v>
      </c>
      <c r="S2855" s="4">
        <f t="shared" si="180"/>
        <v>4.788078347579227E-3</v>
      </c>
      <c r="T2855" s="4">
        <f t="shared" si="180"/>
        <v>2.4236550345832423E-3</v>
      </c>
      <c r="U2855" s="35"/>
      <c r="V2855" s="35"/>
      <c r="W2855" s="35"/>
      <c r="X2855" s="35"/>
    </row>
    <row r="2856" spans="4:24" x14ac:dyDescent="0.3">
      <c r="D2856" s="23">
        <v>43726</v>
      </c>
      <c r="E2856" s="5">
        <v>279.193939</v>
      </c>
      <c r="F2856" s="28">
        <v>74.17944</v>
      </c>
      <c r="G2856" s="28">
        <v>140.71</v>
      </c>
      <c r="H2856" s="28">
        <v>186.79040000000001</v>
      </c>
      <c r="I2856" s="28">
        <v>142.25309999999999</v>
      </c>
      <c r="J2856" s="29"/>
      <c r="K2856" s="29"/>
      <c r="L2856" s="29"/>
      <c r="M2856" s="29"/>
      <c r="N2856" s="29"/>
      <c r="P2856" s="4">
        <f t="shared" si="180"/>
        <v>5.9775247907737641E-4</v>
      </c>
      <c r="Q2856" s="4">
        <f t="shared" si="180"/>
        <v>7.1649281666965985E-4</v>
      </c>
      <c r="R2856" s="4">
        <f t="shared" si="180"/>
        <v>-6.3051464594549144E-3</v>
      </c>
      <c r="S2856" s="4">
        <f t="shared" si="180"/>
        <v>-4.1535263821499048E-4</v>
      </c>
      <c r="T2856" s="4">
        <f t="shared" si="180"/>
        <v>-1.307443149175276E-4</v>
      </c>
      <c r="U2856" s="35"/>
      <c r="V2856" s="35"/>
      <c r="W2856" s="35"/>
      <c r="X2856" s="35"/>
    </row>
    <row r="2857" spans="4:24" x14ac:dyDescent="0.3">
      <c r="D2857" s="23">
        <v>43727</v>
      </c>
      <c r="E2857" s="5">
        <v>279.17538500000001</v>
      </c>
      <c r="F2857" s="28">
        <v>74.285719999999998</v>
      </c>
      <c r="G2857" s="28">
        <v>141.28</v>
      </c>
      <c r="H2857" s="28">
        <v>187.1009</v>
      </c>
      <c r="I2857" s="28">
        <v>142.16</v>
      </c>
      <c r="J2857" s="29"/>
      <c r="K2857" s="29"/>
      <c r="L2857" s="29"/>
      <c r="M2857" s="29"/>
      <c r="N2857" s="29"/>
      <c r="P2857" s="4">
        <f t="shared" si="180"/>
        <v>-6.6457805646993797E-5</v>
      </c>
      <c r="Q2857" s="4">
        <f t="shared" si="180"/>
        <v>1.4317166149217971E-3</v>
      </c>
      <c r="R2857" s="4">
        <f t="shared" si="180"/>
        <v>4.0427020554854318E-3</v>
      </c>
      <c r="S2857" s="4">
        <f t="shared" si="180"/>
        <v>1.6609109191863683E-3</v>
      </c>
      <c r="T2857" s="4">
        <f t="shared" si="180"/>
        <v>-6.5468154121787862E-4</v>
      </c>
      <c r="U2857" s="35"/>
      <c r="V2857" s="35"/>
      <c r="W2857" s="35"/>
      <c r="X2857" s="35"/>
    </row>
    <row r="2858" spans="4:24" x14ac:dyDescent="0.3">
      <c r="D2858" s="23">
        <v>43728</v>
      </c>
      <c r="E2858" s="5">
        <v>277.85635400000001</v>
      </c>
      <c r="F2858" s="28">
        <v>74.551379999999995</v>
      </c>
      <c r="G2858" s="28">
        <v>142.94999999999999</v>
      </c>
      <c r="H2858" s="28">
        <v>185.1215</v>
      </c>
      <c r="I2858" s="28">
        <v>141.53630000000001</v>
      </c>
      <c r="J2858" s="29"/>
      <c r="K2858" s="29"/>
      <c r="L2858" s="29"/>
      <c r="M2858" s="29"/>
      <c r="N2858" s="29"/>
      <c r="P2858" s="4">
        <f t="shared" si="180"/>
        <v>-4.7359364755633383E-3</v>
      </c>
      <c r="Q2858" s="4">
        <f t="shared" si="180"/>
        <v>3.5698126625843402E-3</v>
      </c>
      <c r="R2858" s="4">
        <f t="shared" si="180"/>
        <v>1.1751181912670937E-2</v>
      </c>
      <c r="S2858" s="4">
        <f t="shared" si="180"/>
        <v>-1.0635677265624179E-2</v>
      </c>
      <c r="T2858" s="4">
        <f t="shared" si="180"/>
        <v>-4.3969625606459081E-3</v>
      </c>
      <c r="U2858" s="35"/>
      <c r="V2858" s="35"/>
      <c r="W2858" s="35"/>
      <c r="X2858" s="35"/>
    </row>
    <row r="2859" spans="4:24" x14ac:dyDescent="0.3">
      <c r="D2859" s="23">
        <v>43731</v>
      </c>
      <c r="E2859" s="5">
        <v>277.79113799999999</v>
      </c>
      <c r="F2859" s="28">
        <v>74.604489999999998</v>
      </c>
      <c r="G2859" s="28">
        <v>143.75</v>
      </c>
      <c r="H2859" s="28">
        <v>185.20320000000001</v>
      </c>
      <c r="I2859" s="28">
        <v>141.61080000000001</v>
      </c>
      <c r="J2859" s="29"/>
      <c r="K2859" s="29"/>
      <c r="L2859" s="29"/>
      <c r="M2859" s="29"/>
      <c r="N2859" s="29"/>
      <c r="P2859" s="4">
        <f t="shared" si="180"/>
        <v>-2.3473875519438583E-4</v>
      </c>
      <c r="Q2859" s="4">
        <f t="shared" si="180"/>
        <v>7.1214096025234649E-4</v>
      </c>
      <c r="R2859" s="4">
        <f t="shared" si="180"/>
        <v>5.5807609091391699E-3</v>
      </c>
      <c r="S2859" s="4">
        <f t="shared" si="180"/>
        <v>4.4123441577350664E-4</v>
      </c>
      <c r="T2859" s="4">
        <f t="shared" si="180"/>
        <v>5.2622825181116112E-4</v>
      </c>
      <c r="U2859" s="35"/>
      <c r="V2859" s="35"/>
      <c r="W2859" s="35"/>
      <c r="X2859" s="35"/>
    </row>
    <row r="2860" spans="4:24" x14ac:dyDescent="0.3">
      <c r="D2860" s="23">
        <v>43732</v>
      </c>
      <c r="E2860" s="5">
        <v>275.611267</v>
      </c>
      <c r="F2860" s="28">
        <v>74.861310000000003</v>
      </c>
      <c r="G2860" s="28">
        <v>144.51</v>
      </c>
      <c r="H2860" s="28">
        <v>182.74359999999999</v>
      </c>
      <c r="I2860" s="28">
        <v>140.29820000000001</v>
      </c>
      <c r="J2860" s="29"/>
      <c r="K2860" s="29"/>
      <c r="L2860" s="29"/>
      <c r="M2860" s="29"/>
      <c r="N2860" s="29"/>
      <c r="P2860" s="4">
        <f t="shared" si="180"/>
        <v>-7.8781091469626655E-3</v>
      </c>
      <c r="Q2860" s="4">
        <f t="shared" si="180"/>
        <v>3.4365085891874172E-3</v>
      </c>
      <c r="R2860" s="4">
        <f t="shared" si="180"/>
        <v>5.273029632779213E-3</v>
      </c>
      <c r="S2860" s="4">
        <f t="shared" si="180"/>
        <v>-1.3369523183696807E-2</v>
      </c>
      <c r="T2860" s="4">
        <f t="shared" si="180"/>
        <v>-9.3122921621948372E-3</v>
      </c>
      <c r="U2860" s="35"/>
      <c r="V2860" s="35"/>
      <c r="W2860" s="35"/>
      <c r="X2860" s="35"/>
    </row>
    <row r="2861" spans="4:24" x14ac:dyDescent="0.3">
      <c r="D2861" s="23">
        <v>43733</v>
      </c>
      <c r="E2861" s="5">
        <v>277.24157700000001</v>
      </c>
      <c r="F2861" s="28">
        <v>74.507069999999999</v>
      </c>
      <c r="G2861" s="28">
        <v>141.83000000000001</v>
      </c>
      <c r="H2861" s="28">
        <v>184.79490000000001</v>
      </c>
      <c r="I2861" s="28">
        <v>141.18260000000001</v>
      </c>
      <c r="J2861" s="29"/>
      <c r="K2861" s="29"/>
      <c r="L2861" s="29"/>
      <c r="M2861" s="29"/>
      <c r="N2861" s="29"/>
      <c r="P2861" s="4">
        <f t="shared" si="180"/>
        <v>5.8978252294891896E-3</v>
      </c>
      <c r="Q2861" s="4">
        <f t="shared" si="180"/>
        <v>-4.7431814435415455E-3</v>
      </c>
      <c r="R2861" s="4">
        <f t="shared" si="180"/>
        <v>-1.8719552003722745E-2</v>
      </c>
      <c r="S2861" s="4">
        <f t="shared" si="180"/>
        <v>1.1162483927351804E-2</v>
      </c>
      <c r="T2861" s="4">
        <f t="shared" si="180"/>
        <v>6.2839306286451221E-3</v>
      </c>
      <c r="U2861" s="35"/>
      <c r="V2861" s="35"/>
      <c r="W2861" s="35"/>
      <c r="X2861" s="35"/>
    </row>
    <row r="2862" spans="4:24" x14ac:dyDescent="0.3">
      <c r="D2862" s="23">
        <v>43734</v>
      </c>
      <c r="E2862" s="5">
        <v>276.663971</v>
      </c>
      <c r="F2862" s="28">
        <v>74.63109</v>
      </c>
      <c r="G2862" s="28">
        <v>141.79</v>
      </c>
      <c r="H2862" s="28">
        <v>184.11439999999999</v>
      </c>
      <c r="I2862" s="28">
        <v>140.7543</v>
      </c>
      <c r="J2862" s="29"/>
      <c r="K2862" s="29"/>
      <c r="L2862" s="29"/>
      <c r="M2862" s="29"/>
      <c r="N2862" s="29"/>
      <c r="P2862" s="4">
        <f t="shared" si="180"/>
        <v>-2.0855765444123286E-3</v>
      </c>
      <c r="Q2862" s="4">
        <f t="shared" si="180"/>
        <v>1.6631562114957114E-3</v>
      </c>
      <c r="R2862" s="4">
        <f t="shared" si="180"/>
        <v>-2.8206755704972345E-4</v>
      </c>
      <c r="S2862" s="4">
        <f t="shared" si="180"/>
        <v>-3.6892578844482256E-3</v>
      </c>
      <c r="T2862" s="4">
        <f t="shared" si="180"/>
        <v>-3.0382708292027321E-3</v>
      </c>
      <c r="U2862" s="35"/>
      <c r="V2862" s="35"/>
      <c r="W2862" s="35"/>
      <c r="X2862" s="35"/>
    </row>
    <row r="2863" spans="4:24" x14ac:dyDescent="0.3">
      <c r="D2863" s="23">
        <v>43735</v>
      </c>
      <c r="E2863" s="5">
        <v>275.17349200000001</v>
      </c>
      <c r="F2863" s="28">
        <v>74.71078</v>
      </c>
      <c r="G2863" s="28">
        <v>141.06</v>
      </c>
      <c r="H2863" s="28">
        <v>181.8297</v>
      </c>
      <c r="I2863" s="28">
        <v>139.91650000000001</v>
      </c>
      <c r="J2863" s="29"/>
      <c r="K2863" s="29"/>
      <c r="L2863" s="29"/>
      <c r="M2863" s="29"/>
      <c r="N2863" s="29"/>
      <c r="P2863" s="4">
        <f t="shared" si="180"/>
        <v>-5.4018899561296295E-3</v>
      </c>
      <c r="Q2863" s="4">
        <f t="shared" si="180"/>
        <v>1.067215879425849E-3</v>
      </c>
      <c r="R2863" s="4">
        <f t="shared" si="180"/>
        <v>-5.1617579694333733E-3</v>
      </c>
      <c r="S2863" s="4">
        <f t="shared" si="180"/>
        <v>-1.2486768802537596E-2</v>
      </c>
      <c r="T2863" s="4">
        <f t="shared" si="180"/>
        <v>-5.9700010712068321E-3</v>
      </c>
      <c r="U2863" s="35"/>
      <c r="V2863" s="35"/>
      <c r="W2863" s="35"/>
      <c r="X2863" s="35"/>
    </row>
    <row r="2864" spans="4:24" x14ac:dyDescent="0.3">
      <c r="D2864" s="23">
        <v>43738</v>
      </c>
      <c r="E2864" s="5">
        <v>276.44967700000001</v>
      </c>
      <c r="F2864" s="28">
        <v>74.763890000000004</v>
      </c>
      <c r="G2864" s="28">
        <v>138.87</v>
      </c>
      <c r="H2864" s="28">
        <v>183.56020000000001</v>
      </c>
      <c r="I2864" s="28">
        <v>140.56809999999999</v>
      </c>
      <c r="J2864" s="29"/>
      <c r="K2864" s="29"/>
      <c r="L2864" s="29"/>
      <c r="M2864" s="29"/>
      <c r="N2864" s="29"/>
      <c r="P2864" s="4">
        <f t="shared" si="180"/>
        <v>4.6270256529363117E-3</v>
      </c>
      <c r="Q2864" s="4">
        <f t="shared" si="180"/>
        <v>7.1062210386508629E-4</v>
      </c>
      <c r="R2864" s="4">
        <f t="shared" si="180"/>
        <v>-1.5647088068744291E-2</v>
      </c>
      <c r="S2864" s="4">
        <f t="shared" si="180"/>
        <v>9.4721443508498804E-3</v>
      </c>
      <c r="T2864" s="4">
        <f t="shared" si="180"/>
        <v>4.6462527512009843E-3</v>
      </c>
      <c r="U2864" s="35"/>
      <c r="V2864" s="35"/>
      <c r="W2864" s="35"/>
      <c r="X2864" s="35"/>
    </row>
    <row r="2865" spans="4:24" x14ac:dyDescent="0.3">
      <c r="D2865" s="23">
        <v>43739</v>
      </c>
      <c r="E2865" s="5">
        <v>273.161407</v>
      </c>
      <c r="F2865" s="28">
        <v>74.836659999999995</v>
      </c>
      <c r="G2865" s="28">
        <v>139.63</v>
      </c>
      <c r="H2865" s="28">
        <v>182.06299999999999</v>
      </c>
      <c r="I2865" s="28">
        <v>138.73419999999999</v>
      </c>
      <c r="J2865" s="29"/>
      <c r="K2865" s="29"/>
      <c r="L2865" s="29"/>
      <c r="M2865" s="29"/>
      <c r="N2865" s="29"/>
      <c r="P2865" s="4">
        <f t="shared" si="180"/>
        <v>-1.1965949491402787E-2</v>
      </c>
      <c r="Q2865" s="4">
        <f t="shared" si="180"/>
        <v>9.7285746261536739E-4</v>
      </c>
      <c r="R2865" s="4">
        <f t="shared" si="180"/>
        <v>5.4578232428144783E-3</v>
      </c>
      <c r="S2865" s="4">
        <f t="shared" si="180"/>
        <v>-8.1898980625067144E-3</v>
      </c>
      <c r="T2865" s="4">
        <f t="shared" si="180"/>
        <v>-1.3132196586254662E-2</v>
      </c>
      <c r="U2865" s="35"/>
      <c r="V2865" s="35"/>
      <c r="W2865" s="35"/>
      <c r="X2865" s="35"/>
    </row>
    <row r="2866" spans="4:24" x14ac:dyDescent="0.3">
      <c r="D2866" s="23">
        <v>43740</v>
      </c>
      <c r="E2866" s="5">
        <v>268.33615099999997</v>
      </c>
      <c r="F2866" s="28">
        <v>75.005279999999999</v>
      </c>
      <c r="G2866" s="28">
        <v>141.26</v>
      </c>
      <c r="H2866" s="28">
        <v>178.93260000000001</v>
      </c>
      <c r="I2866" s="28">
        <v>136.48140000000001</v>
      </c>
      <c r="J2866" s="29"/>
      <c r="K2866" s="29"/>
      <c r="L2866" s="29"/>
      <c r="M2866" s="29"/>
      <c r="N2866" s="29"/>
      <c r="P2866" s="4">
        <f t="shared" si="180"/>
        <v>-1.7822365590536481E-2</v>
      </c>
      <c r="Q2866" s="4">
        <f t="shared" si="180"/>
        <v>2.250639189228167E-3</v>
      </c>
      <c r="R2866" s="4">
        <f t="shared" si="180"/>
        <v>1.1606097026672835E-2</v>
      </c>
      <c r="S2866" s="4">
        <f t="shared" si="180"/>
        <v>-1.7343582405220288E-2</v>
      </c>
      <c r="T2866" s="4">
        <f t="shared" si="180"/>
        <v>-1.6371530664543731E-2</v>
      </c>
      <c r="U2866" s="35"/>
      <c r="V2866" s="35"/>
      <c r="W2866" s="35"/>
      <c r="X2866" s="35"/>
    </row>
    <row r="2867" spans="4:24" x14ac:dyDescent="0.3">
      <c r="D2867" s="23">
        <v>43741</v>
      </c>
      <c r="E2867" s="5">
        <v>270.53448500000002</v>
      </c>
      <c r="F2867" s="28">
        <v>75.253739999999993</v>
      </c>
      <c r="G2867" s="28">
        <v>141.9</v>
      </c>
      <c r="H2867" s="28">
        <v>180.8964</v>
      </c>
      <c r="I2867" s="28">
        <v>137.58920000000001</v>
      </c>
      <c r="J2867" s="29"/>
      <c r="K2867" s="29"/>
      <c r="L2867" s="29"/>
      <c r="M2867" s="29"/>
      <c r="N2867" s="29"/>
      <c r="P2867" s="4">
        <f t="shared" si="180"/>
        <v>8.1590869812125464E-3</v>
      </c>
      <c r="Q2867" s="4">
        <f t="shared" si="180"/>
        <v>3.3070923322624543E-3</v>
      </c>
      <c r="R2867" s="4">
        <f t="shared" si="180"/>
        <v>4.520420185220835E-3</v>
      </c>
      <c r="S2867" s="4">
        <f t="shared" si="180"/>
        <v>1.09152930854111E-2</v>
      </c>
      <c r="T2867" s="4">
        <f t="shared" si="180"/>
        <v>8.0840924427725263E-3</v>
      </c>
      <c r="U2867" s="35"/>
      <c r="V2867" s="35"/>
      <c r="W2867" s="35"/>
      <c r="X2867" s="35"/>
    </row>
    <row r="2868" spans="4:24" x14ac:dyDescent="0.3">
      <c r="D2868" s="23">
        <v>43742</v>
      </c>
      <c r="E2868" s="5">
        <v>274.19543499999997</v>
      </c>
      <c r="F2868" s="28">
        <v>75.378039999999999</v>
      </c>
      <c r="G2868" s="28">
        <v>141.9</v>
      </c>
      <c r="H2868" s="28">
        <v>183.56020000000001</v>
      </c>
      <c r="I2868" s="28">
        <v>139.38589999999999</v>
      </c>
      <c r="J2868" s="29"/>
      <c r="K2868" s="29"/>
      <c r="L2868" s="29"/>
      <c r="M2868" s="29"/>
      <c r="N2868" s="29"/>
      <c r="P2868" s="4">
        <f t="shared" si="180"/>
        <v>1.3441542260172626E-2</v>
      </c>
      <c r="Q2868" s="4">
        <f t="shared" si="180"/>
        <v>1.6503825183988366E-3</v>
      </c>
      <c r="R2868" s="4">
        <f t="shared" si="180"/>
        <v>0</v>
      </c>
      <c r="S2868" s="4">
        <f t="shared" si="180"/>
        <v>1.4618187382315835E-2</v>
      </c>
      <c r="T2868" s="4">
        <f t="shared" si="180"/>
        <v>1.2973911387681739E-2</v>
      </c>
      <c r="U2868" s="35"/>
      <c r="V2868" s="35"/>
      <c r="W2868" s="35"/>
      <c r="X2868" s="35"/>
    </row>
    <row r="2869" spans="4:24" x14ac:dyDescent="0.3">
      <c r="D2869" s="23">
        <v>43745</v>
      </c>
      <c r="E2869" s="5">
        <v>273.01238999999998</v>
      </c>
      <c r="F2869" s="28">
        <v>75.182760000000002</v>
      </c>
      <c r="G2869" s="28">
        <v>140.69</v>
      </c>
      <c r="H2869" s="28">
        <v>183.0061</v>
      </c>
      <c r="I2869" s="28">
        <v>138.8366</v>
      </c>
      <c r="J2869" s="29"/>
      <c r="K2869" s="29"/>
      <c r="L2869" s="29"/>
      <c r="M2869" s="29"/>
      <c r="N2869" s="29"/>
      <c r="P2869" s="4">
        <f t="shared" ref="P2869:T2884" si="181">LN(E2869/E2868)</f>
        <v>-4.3239397873318895E-3</v>
      </c>
      <c r="Q2869" s="4">
        <f t="shared" si="181"/>
        <v>-2.5940365553804305E-3</v>
      </c>
      <c r="R2869" s="4">
        <f t="shared" si="181"/>
        <v>-8.5636957768752131E-3</v>
      </c>
      <c r="S2869" s="4">
        <f t="shared" si="181"/>
        <v>-3.0231934688242589E-3</v>
      </c>
      <c r="T2869" s="4">
        <f t="shared" si="181"/>
        <v>-3.9486433607183648E-3</v>
      </c>
      <c r="U2869" s="35"/>
      <c r="V2869" s="35"/>
      <c r="W2869" s="35"/>
      <c r="X2869" s="35"/>
    </row>
    <row r="2870" spans="4:24" x14ac:dyDescent="0.3">
      <c r="D2870" s="23">
        <v>43746</v>
      </c>
      <c r="E2870" s="5">
        <v>268.77392600000002</v>
      </c>
      <c r="F2870" s="28">
        <v>75.218270000000004</v>
      </c>
      <c r="G2870" s="28">
        <v>141.91999999999999</v>
      </c>
      <c r="H2870" s="28">
        <v>180.2645</v>
      </c>
      <c r="I2870" s="28">
        <v>136.59309999999999</v>
      </c>
      <c r="J2870" s="29"/>
      <c r="K2870" s="29"/>
      <c r="L2870" s="29"/>
      <c r="M2870" s="29"/>
      <c r="N2870" s="29"/>
      <c r="P2870" s="4">
        <f t="shared" si="181"/>
        <v>-1.5646576314543047E-2</v>
      </c>
      <c r="Q2870" s="4">
        <f t="shared" si="181"/>
        <v>4.722042217373263E-4</v>
      </c>
      <c r="R2870" s="4">
        <f t="shared" si="181"/>
        <v>8.7046301721473637E-3</v>
      </c>
      <c r="S2870" s="4">
        <f t="shared" si="181"/>
        <v>-1.5094268861567178E-2</v>
      </c>
      <c r="T2870" s="4">
        <f t="shared" si="181"/>
        <v>-1.6291268657942167E-2</v>
      </c>
      <c r="U2870" s="35"/>
      <c r="V2870" s="35"/>
      <c r="W2870" s="35"/>
      <c r="X2870" s="35"/>
    </row>
    <row r="2871" spans="4:24" x14ac:dyDescent="0.3">
      <c r="D2871" s="23">
        <v>43747</v>
      </c>
      <c r="E2871" s="5">
        <v>271.32629400000002</v>
      </c>
      <c r="F2871" s="28">
        <v>75.129509999999996</v>
      </c>
      <c r="G2871" s="28">
        <v>142.05000000000001</v>
      </c>
      <c r="H2871" s="28">
        <v>182.02420000000001</v>
      </c>
      <c r="I2871" s="28">
        <v>137.84989999999999</v>
      </c>
      <c r="J2871" s="29"/>
      <c r="K2871" s="29"/>
      <c r="L2871" s="29"/>
      <c r="M2871" s="29"/>
      <c r="N2871" s="29"/>
      <c r="P2871" s="4">
        <f t="shared" si="181"/>
        <v>9.4515310529983982E-3</v>
      </c>
      <c r="Q2871" s="4">
        <f t="shared" si="181"/>
        <v>-1.1807292440482173E-3</v>
      </c>
      <c r="R2871" s="4">
        <f t="shared" si="181"/>
        <v>9.1558973892785203E-4</v>
      </c>
      <c r="S2871" s="4">
        <f t="shared" si="181"/>
        <v>9.7144285127861579E-3</v>
      </c>
      <c r="T2871" s="4">
        <f t="shared" si="181"/>
        <v>9.1589786275566524E-3</v>
      </c>
      <c r="U2871" s="35"/>
      <c r="V2871" s="35"/>
      <c r="W2871" s="35"/>
      <c r="X2871" s="35"/>
    </row>
    <row r="2872" spans="4:24" x14ac:dyDescent="0.3">
      <c r="D2872" s="23">
        <v>43748</v>
      </c>
      <c r="E2872" s="5">
        <v>273.161407</v>
      </c>
      <c r="F2872" s="28">
        <v>74.898799999999994</v>
      </c>
      <c r="G2872" s="28">
        <v>140.81</v>
      </c>
      <c r="H2872" s="28">
        <v>183.43379999999999</v>
      </c>
      <c r="I2872" s="28">
        <v>138.73419999999999</v>
      </c>
      <c r="J2872" s="29"/>
      <c r="K2872" s="29"/>
      <c r="L2872" s="29"/>
      <c r="M2872" s="29"/>
      <c r="N2872" s="29"/>
      <c r="P2872" s="4">
        <f t="shared" si="181"/>
        <v>6.740721398027982E-3</v>
      </c>
      <c r="Q2872" s="4">
        <f t="shared" si="181"/>
        <v>-3.0755552983020907E-3</v>
      </c>
      <c r="R2872" s="4">
        <f t="shared" si="181"/>
        <v>-8.7676443709767734E-3</v>
      </c>
      <c r="S2872" s="4">
        <f t="shared" si="181"/>
        <v>7.7141941908097393E-3</v>
      </c>
      <c r="T2872" s="4">
        <f t="shared" si="181"/>
        <v>6.3944602251934457E-3</v>
      </c>
      <c r="U2872" s="35"/>
      <c r="V2872" s="35"/>
      <c r="W2872" s="35"/>
      <c r="X2872" s="35"/>
    </row>
    <row r="2873" spans="4:24" x14ac:dyDescent="0.3">
      <c r="D2873" s="23">
        <v>43749</v>
      </c>
      <c r="E2873" s="5">
        <v>275.99325599999997</v>
      </c>
      <c r="F2873" s="28">
        <v>74.623699999999999</v>
      </c>
      <c r="G2873" s="28">
        <v>140.03</v>
      </c>
      <c r="H2873" s="28">
        <v>185.7963</v>
      </c>
      <c r="I2873" s="28">
        <v>140.22370000000001</v>
      </c>
      <c r="J2873" s="29"/>
      <c r="K2873" s="29"/>
      <c r="L2873" s="29"/>
      <c r="M2873" s="29"/>
      <c r="N2873" s="29"/>
      <c r="P2873" s="4">
        <f t="shared" si="181"/>
        <v>1.0313575729030149E-2</v>
      </c>
      <c r="Q2873" s="4">
        <f t="shared" si="181"/>
        <v>-3.6797179074969026E-3</v>
      </c>
      <c r="R2873" s="4">
        <f t="shared" si="181"/>
        <v>-5.5547785615345305E-3</v>
      </c>
      <c r="S2873" s="4">
        <f t="shared" si="181"/>
        <v>1.2797072834315379E-2</v>
      </c>
      <c r="T2873" s="4">
        <f t="shared" si="181"/>
        <v>1.0679132268116351E-2</v>
      </c>
      <c r="U2873" s="35"/>
      <c r="V2873" s="35"/>
      <c r="W2873" s="35"/>
      <c r="X2873" s="35"/>
    </row>
    <row r="2874" spans="4:24" x14ac:dyDescent="0.3">
      <c r="D2874" s="23">
        <v>43752</v>
      </c>
      <c r="E2874" s="5">
        <v>275.68585200000001</v>
      </c>
      <c r="F2874" s="28">
        <v>74.74794</v>
      </c>
      <c r="G2874" s="28">
        <v>140.59</v>
      </c>
      <c r="H2874" s="28">
        <v>185.77680000000001</v>
      </c>
      <c r="I2874" s="28">
        <v>140.0934</v>
      </c>
      <c r="J2874" s="29"/>
      <c r="K2874" s="29"/>
      <c r="L2874" s="29"/>
      <c r="M2874" s="29"/>
      <c r="N2874" s="29"/>
      <c r="P2874" s="4">
        <f t="shared" si="181"/>
        <v>-1.1144305715312347E-3</v>
      </c>
      <c r="Q2874" s="4">
        <f t="shared" si="181"/>
        <v>1.6635022371067627E-3</v>
      </c>
      <c r="R2874" s="4">
        <f t="shared" si="181"/>
        <v>3.9911677241304408E-3</v>
      </c>
      <c r="S2874" s="4">
        <f t="shared" si="181"/>
        <v>-1.0495915887286511E-4</v>
      </c>
      <c r="T2874" s="4">
        <f t="shared" si="181"/>
        <v>-9.2966151108540601E-4</v>
      </c>
      <c r="U2874" s="35"/>
      <c r="V2874" s="35"/>
      <c r="W2874" s="35"/>
      <c r="X2874" s="35"/>
    </row>
    <row r="2875" spans="4:24" x14ac:dyDescent="0.3">
      <c r="D2875" s="23">
        <v>43753</v>
      </c>
      <c r="E2875" s="5">
        <v>278.41525300000001</v>
      </c>
      <c r="F2875" s="28">
        <v>74.552689999999998</v>
      </c>
      <c r="G2875" s="28">
        <v>139.61000000000001</v>
      </c>
      <c r="H2875" s="28">
        <v>188.13929999999999</v>
      </c>
      <c r="I2875" s="28">
        <v>141.47110000000001</v>
      </c>
      <c r="J2875" s="29"/>
      <c r="K2875" s="29"/>
      <c r="L2875" s="29"/>
      <c r="M2875" s="29"/>
      <c r="N2875" s="29"/>
      <c r="P2875" s="4">
        <f t="shared" si="181"/>
        <v>9.8517149696896924E-3</v>
      </c>
      <c r="Q2875" s="4">
        <f t="shared" si="181"/>
        <v>-2.6155296371982626E-3</v>
      </c>
      <c r="R2875" s="4">
        <f t="shared" si="181"/>
        <v>-6.9950320912593299E-3</v>
      </c>
      <c r="S2875" s="4">
        <f t="shared" si="181"/>
        <v>1.2636692766630698E-2</v>
      </c>
      <c r="T2875" s="4">
        <f t="shared" si="181"/>
        <v>9.7861129151410268E-3</v>
      </c>
      <c r="U2875" s="35"/>
      <c r="V2875" s="35"/>
      <c r="W2875" s="35"/>
      <c r="X2875" s="35"/>
    </row>
    <row r="2876" spans="4:24" x14ac:dyDescent="0.3">
      <c r="D2876" s="23">
        <v>43754</v>
      </c>
      <c r="E2876" s="5">
        <v>277.96810900000003</v>
      </c>
      <c r="F2876" s="28">
        <v>74.632580000000004</v>
      </c>
      <c r="G2876" s="28">
        <v>140.41</v>
      </c>
      <c r="H2876" s="28">
        <v>187.67259999999999</v>
      </c>
      <c r="I2876" s="28">
        <v>141.2105</v>
      </c>
      <c r="J2876" s="29"/>
      <c r="K2876" s="29"/>
      <c r="L2876" s="29"/>
      <c r="M2876" s="29"/>
      <c r="N2876" s="29"/>
      <c r="P2876" s="4">
        <f t="shared" si="181"/>
        <v>-1.6073237512302893E-3</v>
      </c>
      <c r="Q2876" s="4">
        <f t="shared" si="181"/>
        <v>1.0710173683592279E-3</v>
      </c>
      <c r="R2876" s="4">
        <f t="shared" si="181"/>
        <v>5.7138931259941936E-3</v>
      </c>
      <c r="S2876" s="4">
        <f t="shared" si="181"/>
        <v>-2.4836905904881659E-3</v>
      </c>
      <c r="T2876" s="4">
        <f t="shared" si="181"/>
        <v>-1.8437710401076025E-3</v>
      </c>
      <c r="U2876" s="35"/>
      <c r="V2876" s="35"/>
      <c r="W2876" s="35"/>
      <c r="X2876" s="35"/>
    </row>
    <row r="2877" spans="4:24" x14ac:dyDescent="0.3">
      <c r="D2877" s="23">
        <v>43755</v>
      </c>
      <c r="E2877" s="5">
        <v>278.78787199999999</v>
      </c>
      <c r="F2877" s="28">
        <v>74.632580000000004</v>
      </c>
      <c r="G2877" s="28">
        <v>140.61000000000001</v>
      </c>
      <c r="H2877" s="28">
        <v>188.16839999999999</v>
      </c>
      <c r="I2877" s="28">
        <v>141.67590000000001</v>
      </c>
      <c r="J2877" s="29"/>
      <c r="K2877" s="29"/>
      <c r="L2877" s="29"/>
      <c r="M2877" s="29"/>
      <c r="N2877" s="29"/>
      <c r="P2877" s="4">
        <f t="shared" si="181"/>
        <v>2.9447859398898327E-3</v>
      </c>
      <c r="Q2877" s="4">
        <f t="shared" si="181"/>
        <v>0</v>
      </c>
      <c r="R2877" s="4">
        <f t="shared" si="181"/>
        <v>1.4233864761738048E-3</v>
      </c>
      <c r="S2877" s="4">
        <f t="shared" si="181"/>
        <v>2.638351258117282E-3</v>
      </c>
      <c r="T2877" s="4">
        <f t="shared" si="181"/>
        <v>3.2903697023891057E-3</v>
      </c>
      <c r="U2877" s="35"/>
      <c r="V2877" s="35"/>
      <c r="W2877" s="35"/>
      <c r="X2877" s="35"/>
    </row>
    <row r="2878" spans="4:24" x14ac:dyDescent="0.3">
      <c r="D2878" s="23">
        <v>43756</v>
      </c>
      <c r="E2878" s="5">
        <v>277.56750499999998</v>
      </c>
      <c r="F2878" s="28">
        <v>74.668049999999994</v>
      </c>
      <c r="G2878" s="28">
        <v>140.46</v>
      </c>
      <c r="H2878" s="28">
        <v>186.36009999999999</v>
      </c>
      <c r="I2878" s="28">
        <v>141.10810000000001</v>
      </c>
      <c r="J2878" s="29"/>
      <c r="K2878" s="29"/>
      <c r="L2878" s="29"/>
      <c r="M2878" s="29"/>
      <c r="N2878" s="29"/>
      <c r="P2878" s="4">
        <f t="shared" si="181"/>
        <v>-4.3870123582976563E-3</v>
      </c>
      <c r="Q2878" s="4">
        <f t="shared" si="181"/>
        <v>4.7514870724006024E-4</v>
      </c>
      <c r="R2878" s="4">
        <f t="shared" si="181"/>
        <v>-1.0673498718500526E-3</v>
      </c>
      <c r="S2878" s="4">
        <f t="shared" si="181"/>
        <v>-9.6564830266542348E-3</v>
      </c>
      <c r="T2878" s="4">
        <f t="shared" si="181"/>
        <v>-4.0157912969319464E-3</v>
      </c>
      <c r="U2878" s="35"/>
      <c r="V2878" s="35"/>
      <c r="W2878" s="35"/>
      <c r="X2878" s="35"/>
    </row>
    <row r="2879" spans="4:24" x14ac:dyDescent="0.3">
      <c r="D2879" s="23">
        <v>43759</v>
      </c>
      <c r="E2879" s="5">
        <v>279.44921900000003</v>
      </c>
      <c r="F2879" s="28">
        <v>74.490549999999999</v>
      </c>
      <c r="G2879" s="28">
        <v>139.79</v>
      </c>
      <c r="H2879" s="28">
        <v>188.0129</v>
      </c>
      <c r="I2879" s="28">
        <v>142.02969999999999</v>
      </c>
      <c r="J2879" s="29"/>
      <c r="K2879" s="29"/>
      <c r="L2879" s="29"/>
      <c r="M2879" s="29"/>
      <c r="N2879" s="29"/>
      <c r="P2879" s="4">
        <f t="shared" si="181"/>
        <v>6.7564260718227997E-3</v>
      </c>
      <c r="Q2879" s="4">
        <f t="shared" si="181"/>
        <v>-2.3800180986839792E-3</v>
      </c>
      <c r="R2879" s="4">
        <f t="shared" si="181"/>
        <v>-4.7814542478374052E-3</v>
      </c>
      <c r="S2879" s="4">
        <f t="shared" si="181"/>
        <v>8.829753952897609E-3</v>
      </c>
      <c r="T2879" s="4">
        <f t="shared" si="181"/>
        <v>6.5099273549254905E-3</v>
      </c>
      <c r="U2879" s="35"/>
      <c r="V2879" s="35"/>
      <c r="W2879" s="35"/>
      <c r="X2879" s="35"/>
    </row>
    <row r="2880" spans="4:24" x14ac:dyDescent="0.3">
      <c r="D2880" s="23">
        <v>43760</v>
      </c>
      <c r="E2880" s="5">
        <v>278.53634599999998</v>
      </c>
      <c r="F2880" s="28">
        <v>74.623699999999999</v>
      </c>
      <c r="G2880" s="28">
        <v>140.19999999999999</v>
      </c>
      <c r="H2880" s="28">
        <v>186.51570000000001</v>
      </c>
      <c r="I2880" s="28">
        <v>141.60149999999999</v>
      </c>
      <c r="J2880" s="29"/>
      <c r="K2880" s="29"/>
      <c r="L2880" s="29"/>
      <c r="M2880" s="29"/>
      <c r="N2880" s="29"/>
      <c r="P2880" s="4">
        <f t="shared" si="181"/>
        <v>-3.2720338005531933E-3</v>
      </c>
      <c r="Q2880" s="4">
        <f t="shared" si="181"/>
        <v>1.7858794231759535E-3</v>
      </c>
      <c r="R2880" s="4">
        <f t="shared" si="181"/>
        <v>2.9286781174526415E-3</v>
      </c>
      <c r="S2880" s="4">
        <f t="shared" si="181"/>
        <v>-7.9951596508167789E-3</v>
      </c>
      <c r="T2880" s="4">
        <f t="shared" si="181"/>
        <v>-3.0194162371447674E-3</v>
      </c>
      <c r="U2880" s="35"/>
      <c r="V2880" s="35"/>
      <c r="W2880" s="35"/>
      <c r="X2880" s="35"/>
    </row>
    <row r="2881" spans="4:24" x14ac:dyDescent="0.3">
      <c r="D2881" s="23">
        <v>43761</v>
      </c>
      <c r="E2881" s="5">
        <v>279.34677099999999</v>
      </c>
      <c r="F2881" s="28">
        <v>74.659199999999998</v>
      </c>
      <c r="G2881" s="28">
        <v>140.53</v>
      </c>
      <c r="H2881" s="28">
        <v>186.87540000000001</v>
      </c>
      <c r="I2881" s="28">
        <v>141.88999999999999</v>
      </c>
      <c r="J2881" s="29"/>
      <c r="K2881" s="29"/>
      <c r="L2881" s="29"/>
      <c r="M2881" s="29"/>
      <c r="N2881" s="29"/>
      <c r="P2881" s="4">
        <f t="shared" si="181"/>
        <v>2.905359726360638E-3</v>
      </c>
      <c r="Q2881" s="4">
        <f t="shared" si="181"/>
        <v>4.7560706107908614E-4</v>
      </c>
      <c r="R2881" s="4">
        <f t="shared" si="181"/>
        <v>2.3510145121639269E-3</v>
      </c>
      <c r="S2881" s="4">
        <f t="shared" si="181"/>
        <v>1.9266667645186156E-3</v>
      </c>
      <c r="T2881" s="4">
        <f t="shared" si="181"/>
        <v>2.035335095371394E-3</v>
      </c>
      <c r="U2881" s="35"/>
      <c r="V2881" s="35"/>
      <c r="W2881" s="35"/>
      <c r="X2881" s="35"/>
    </row>
    <row r="2882" spans="4:24" x14ac:dyDescent="0.3">
      <c r="D2882" s="23">
        <v>43762</v>
      </c>
      <c r="E2882" s="5">
        <v>279.803223</v>
      </c>
      <c r="F2882" s="28">
        <v>74.668049999999994</v>
      </c>
      <c r="G2882" s="28">
        <v>141.53</v>
      </c>
      <c r="H2882" s="28">
        <v>188.6934</v>
      </c>
      <c r="I2882" s="28">
        <v>142.28100000000001</v>
      </c>
      <c r="J2882" s="29"/>
      <c r="K2882" s="29"/>
      <c r="L2882" s="29"/>
      <c r="M2882" s="29"/>
      <c r="N2882" s="29"/>
      <c r="P2882" s="4">
        <f t="shared" si="181"/>
        <v>1.6326642449822635E-3</v>
      </c>
      <c r="Q2882" s="4">
        <f t="shared" si="181"/>
        <v>1.1853161442873983E-4</v>
      </c>
      <c r="R2882" s="4">
        <f t="shared" si="181"/>
        <v>7.0907196330938149E-3</v>
      </c>
      <c r="S2882" s="4">
        <f t="shared" si="181"/>
        <v>9.6813909993138918E-3</v>
      </c>
      <c r="T2882" s="4">
        <f t="shared" si="181"/>
        <v>2.7518659310482169E-3</v>
      </c>
      <c r="U2882" s="35"/>
      <c r="V2882" s="35"/>
      <c r="W2882" s="35"/>
      <c r="X2882" s="35"/>
    </row>
    <row r="2883" spans="4:24" x14ac:dyDescent="0.3">
      <c r="D2883" s="23">
        <v>43763</v>
      </c>
      <c r="E2883" s="5">
        <v>280.94906600000002</v>
      </c>
      <c r="F2883" s="28">
        <v>74.543819999999997</v>
      </c>
      <c r="G2883" s="28">
        <v>141.86000000000001</v>
      </c>
      <c r="H2883" s="28">
        <v>190.2003</v>
      </c>
      <c r="I2883" s="28">
        <v>142.84889999999999</v>
      </c>
      <c r="J2883" s="29"/>
      <c r="K2883" s="29"/>
      <c r="L2883" s="29"/>
      <c r="M2883" s="29"/>
      <c r="N2883" s="29"/>
      <c r="P2883" s="4">
        <f t="shared" si="181"/>
        <v>4.0868120105886675E-3</v>
      </c>
      <c r="Q2883" s="4">
        <f t="shared" si="181"/>
        <v>-1.665149410762152E-3</v>
      </c>
      <c r="R2883" s="4">
        <f t="shared" si="181"/>
        <v>2.3289470281931757E-3</v>
      </c>
      <c r="S2883" s="4">
        <f t="shared" si="181"/>
        <v>7.9542517869108497E-3</v>
      </c>
      <c r="T2883" s="4">
        <f t="shared" si="181"/>
        <v>3.9834528118445267E-3</v>
      </c>
      <c r="U2883" s="35"/>
      <c r="V2883" s="35"/>
      <c r="W2883" s="35"/>
      <c r="X2883" s="35"/>
    </row>
    <row r="2884" spans="4:24" x14ac:dyDescent="0.3">
      <c r="D2884" s="23">
        <v>43766</v>
      </c>
      <c r="E2884" s="5">
        <v>282.53256199999998</v>
      </c>
      <c r="F2884" s="28">
        <v>74.38409</v>
      </c>
      <c r="G2884" s="28">
        <v>140.63999999999999</v>
      </c>
      <c r="H2884" s="28">
        <v>192.07669999999999</v>
      </c>
      <c r="I2884" s="28">
        <v>143.71459999999999</v>
      </c>
      <c r="J2884" s="29"/>
      <c r="K2884" s="29"/>
      <c r="L2884" s="29"/>
      <c r="M2884" s="29"/>
      <c r="N2884" s="29"/>
      <c r="P2884" s="4">
        <f t="shared" si="181"/>
        <v>5.6204145432294178E-3</v>
      </c>
      <c r="Q2884" s="4">
        <f t="shared" si="181"/>
        <v>-2.1450655051455441E-3</v>
      </c>
      <c r="R2884" s="4">
        <f t="shared" si="181"/>
        <v>-8.6372218370740026E-3</v>
      </c>
      <c r="S2884" s="4">
        <f t="shared" si="181"/>
        <v>9.8170440267772701E-3</v>
      </c>
      <c r="T2884" s="4">
        <f t="shared" si="181"/>
        <v>6.0419602185929821E-3</v>
      </c>
      <c r="U2884" s="35"/>
      <c r="V2884" s="35"/>
      <c r="W2884" s="35"/>
      <c r="X2884" s="35"/>
    </row>
    <row r="2885" spans="4:24" x14ac:dyDescent="0.3">
      <c r="D2885" s="23">
        <v>43767</v>
      </c>
      <c r="E2885" s="5">
        <v>282.44876099999999</v>
      </c>
      <c r="F2885" s="28">
        <v>74.401840000000007</v>
      </c>
      <c r="G2885" s="28">
        <v>140.25</v>
      </c>
      <c r="H2885" s="28">
        <v>190.58920000000001</v>
      </c>
      <c r="I2885" s="28">
        <v>143.6867</v>
      </c>
      <c r="J2885" s="29"/>
      <c r="K2885" s="29"/>
      <c r="L2885" s="29"/>
      <c r="M2885" s="29"/>
      <c r="N2885" s="29"/>
      <c r="P2885" s="4">
        <f t="shared" ref="P2885:T2900" si="182">LN(E2885/E2884)</f>
        <v>-2.9665051640845102E-4</v>
      </c>
      <c r="Q2885" s="4">
        <f t="shared" si="182"/>
        <v>2.3859783091326393E-4</v>
      </c>
      <c r="R2885" s="4">
        <f t="shared" si="182"/>
        <v>-2.7768895340610582E-3</v>
      </c>
      <c r="S2885" s="4">
        <f t="shared" si="182"/>
        <v>-7.7744449781460166E-3</v>
      </c>
      <c r="T2885" s="4">
        <f t="shared" si="182"/>
        <v>-1.9415361091009429E-4</v>
      </c>
      <c r="U2885" s="35"/>
      <c r="V2885" s="35"/>
      <c r="W2885" s="35"/>
      <c r="X2885" s="35"/>
    </row>
    <row r="2886" spans="4:24" x14ac:dyDescent="0.3">
      <c r="D2886" s="23">
        <v>43768</v>
      </c>
      <c r="E2886" s="5">
        <v>283.31503300000003</v>
      </c>
      <c r="F2886" s="28">
        <v>74.64143</v>
      </c>
      <c r="G2886" s="28">
        <v>141.02000000000001</v>
      </c>
      <c r="H2886" s="28">
        <v>191.5128</v>
      </c>
      <c r="I2886" s="28">
        <v>144.03110000000001</v>
      </c>
      <c r="J2886" s="29"/>
      <c r="K2886" s="29"/>
      <c r="L2886" s="29"/>
      <c r="M2886" s="29"/>
      <c r="N2886" s="29"/>
      <c r="P2886" s="4">
        <f t="shared" si="182"/>
        <v>3.062312173952436E-3</v>
      </c>
      <c r="Q2886" s="4">
        <f t="shared" si="182"/>
        <v>3.2150422676142753E-3</v>
      </c>
      <c r="R2886" s="4">
        <f t="shared" si="182"/>
        <v>5.4751798880889411E-3</v>
      </c>
      <c r="S2886" s="4">
        <f t="shared" si="182"/>
        <v>4.8343206722853685E-3</v>
      </c>
      <c r="T2886" s="4">
        <f t="shared" si="182"/>
        <v>2.394013609782399E-3</v>
      </c>
      <c r="U2886" s="35"/>
      <c r="V2886" s="35"/>
      <c r="W2886" s="35"/>
      <c r="X2886" s="35"/>
    </row>
    <row r="2887" spans="4:24" x14ac:dyDescent="0.3">
      <c r="D2887" s="23">
        <v>43769</v>
      </c>
      <c r="E2887" s="5">
        <v>282.56051600000001</v>
      </c>
      <c r="F2887" s="28">
        <v>74.996380000000002</v>
      </c>
      <c r="G2887" s="28">
        <v>142.43</v>
      </c>
      <c r="H2887" s="28">
        <v>191.6003</v>
      </c>
      <c r="I2887" s="28">
        <v>143.52850000000001</v>
      </c>
      <c r="J2887" s="29"/>
      <c r="K2887" s="29"/>
      <c r="L2887" s="29"/>
      <c r="M2887" s="29"/>
      <c r="N2887" s="29"/>
      <c r="P2887" s="4">
        <f t="shared" si="182"/>
        <v>-2.6667257437587365E-3</v>
      </c>
      <c r="Q2887" s="4">
        <f t="shared" si="182"/>
        <v>4.7441307211250295E-3</v>
      </c>
      <c r="R2887" s="4">
        <f t="shared" si="182"/>
        <v>9.9489266556003139E-3</v>
      </c>
      <c r="S2887" s="4">
        <f t="shared" si="182"/>
        <v>4.5678417950949961E-4</v>
      </c>
      <c r="T2887" s="4">
        <f t="shared" si="182"/>
        <v>-3.4956267277416785E-3</v>
      </c>
      <c r="U2887" s="35"/>
      <c r="V2887" s="35"/>
      <c r="W2887" s="35"/>
      <c r="X2887" s="35"/>
    </row>
    <row r="2888" spans="4:24" x14ac:dyDescent="0.3">
      <c r="D2888" s="23">
        <v>43770</v>
      </c>
      <c r="E2888" s="5">
        <v>285.17806999999999</v>
      </c>
      <c r="F2888" s="28">
        <v>74.929699999999997</v>
      </c>
      <c r="G2888" s="28">
        <v>142.56</v>
      </c>
      <c r="H2888" s="28">
        <v>193.34049999999999</v>
      </c>
      <c r="I2888" s="28">
        <v>145.06450000000001</v>
      </c>
      <c r="J2888" s="29"/>
      <c r="K2888" s="29"/>
      <c r="L2888" s="29"/>
      <c r="M2888" s="29"/>
      <c r="N2888" s="29"/>
      <c r="P2888" s="4">
        <f t="shared" si="182"/>
        <v>9.2210486008133669E-3</v>
      </c>
      <c r="Q2888" s="4">
        <f t="shared" si="182"/>
        <v>-8.8950507338745113E-4</v>
      </c>
      <c r="R2888" s="4">
        <f t="shared" si="182"/>
        <v>9.1231277600422071E-4</v>
      </c>
      <c r="S2888" s="4">
        <f t="shared" si="182"/>
        <v>9.0414518532969338E-3</v>
      </c>
      <c r="T2888" s="4">
        <f t="shared" si="182"/>
        <v>1.0644849348482258E-2</v>
      </c>
      <c r="U2888" s="35"/>
      <c r="V2888" s="35"/>
      <c r="W2888" s="35"/>
      <c r="X2888" s="35"/>
    </row>
    <row r="2889" spans="4:24" x14ac:dyDescent="0.3">
      <c r="D2889" s="23">
        <v>43773</v>
      </c>
      <c r="E2889" s="5">
        <v>286.32394399999998</v>
      </c>
      <c r="F2889" s="28">
        <v>74.716250000000002</v>
      </c>
      <c r="G2889" s="28">
        <v>142.15</v>
      </c>
      <c r="H2889" s="28">
        <v>194.53630000000001</v>
      </c>
      <c r="I2889" s="28">
        <v>145.5951</v>
      </c>
      <c r="J2889" s="29"/>
      <c r="K2889" s="29"/>
      <c r="L2889" s="29"/>
      <c r="M2889" s="29"/>
      <c r="N2889" s="29"/>
      <c r="P2889" s="4">
        <f t="shared" si="182"/>
        <v>4.0100489847714645E-3</v>
      </c>
      <c r="Q2889" s="4">
        <f t="shared" si="182"/>
        <v>-2.8527353363910907E-3</v>
      </c>
      <c r="R2889" s="4">
        <f t="shared" si="182"/>
        <v>-2.8801256254903976E-3</v>
      </c>
      <c r="S2889" s="4">
        <f t="shared" si="182"/>
        <v>6.1658948847530728E-3</v>
      </c>
      <c r="T2889" s="4">
        <f t="shared" si="182"/>
        <v>3.6510102498079687E-3</v>
      </c>
      <c r="U2889" s="35"/>
      <c r="V2889" s="35"/>
      <c r="W2889" s="35"/>
      <c r="X2889" s="35"/>
    </row>
    <row r="2890" spans="4:24" x14ac:dyDescent="0.3">
      <c r="D2890" s="23">
        <v>43774</v>
      </c>
      <c r="E2890" s="5">
        <v>286.00717200000003</v>
      </c>
      <c r="F2890" s="28">
        <v>74.458340000000007</v>
      </c>
      <c r="G2890" s="28">
        <v>139.85</v>
      </c>
      <c r="H2890" s="28">
        <v>194.64330000000001</v>
      </c>
      <c r="I2890" s="28">
        <v>145.4648</v>
      </c>
      <c r="J2890" s="29"/>
      <c r="K2890" s="29"/>
      <c r="L2890" s="29"/>
      <c r="M2890" s="29"/>
      <c r="N2890" s="29"/>
      <c r="P2890" s="4">
        <f t="shared" si="182"/>
        <v>-1.1069537318193175E-3</v>
      </c>
      <c r="Q2890" s="4">
        <f t="shared" si="182"/>
        <v>-3.4578309479792956E-3</v>
      </c>
      <c r="R2890" s="4">
        <f t="shared" si="182"/>
        <v>-1.6312418449040186E-2</v>
      </c>
      <c r="S2890" s="4">
        <f t="shared" si="182"/>
        <v>5.4987467326681578E-4</v>
      </c>
      <c r="T2890" s="4">
        <f t="shared" si="182"/>
        <v>-8.9534840563454117E-4</v>
      </c>
      <c r="U2890" s="35"/>
      <c r="V2890" s="35"/>
      <c r="W2890" s="35"/>
      <c r="X2890" s="35"/>
    </row>
    <row r="2891" spans="4:24" x14ac:dyDescent="0.3">
      <c r="D2891" s="23">
        <v>43775</v>
      </c>
      <c r="E2891" s="5">
        <v>286.07241800000003</v>
      </c>
      <c r="F2891" s="28">
        <v>74.618449999999996</v>
      </c>
      <c r="G2891" s="28">
        <v>140.44999999999999</v>
      </c>
      <c r="H2891" s="28">
        <v>194.20580000000001</v>
      </c>
      <c r="I2891" s="28">
        <v>145.39959999999999</v>
      </c>
      <c r="J2891" s="29"/>
      <c r="K2891" s="29"/>
      <c r="L2891" s="29"/>
      <c r="M2891" s="29"/>
      <c r="N2891" s="29"/>
      <c r="P2891" s="4">
        <f t="shared" si="182"/>
        <v>2.2810112936522196E-4</v>
      </c>
      <c r="Q2891" s="4">
        <f t="shared" si="182"/>
        <v>2.1480213192438639E-3</v>
      </c>
      <c r="R2891" s="4">
        <f t="shared" si="182"/>
        <v>4.2811339022839493E-3</v>
      </c>
      <c r="S2891" s="4">
        <f t="shared" si="182"/>
        <v>-2.2502311802096407E-3</v>
      </c>
      <c r="T2891" s="4">
        <f t="shared" si="182"/>
        <v>-4.483188804958948E-4</v>
      </c>
      <c r="U2891" s="35"/>
      <c r="V2891" s="35"/>
      <c r="W2891" s="35"/>
      <c r="X2891" s="35"/>
    </row>
    <row r="2892" spans="4:24" x14ac:dyDescent="0.3">
      <c r="D2892" s="23">
        <v>43776</v>
      </c>
      <c r="E2892" s="5">
        <v>287.078461</v>
      </c>
      <c r="F2892" s="28">
        <v>74.236019999999996</v>
      </c>
      <c r="G2892" s="28">
        <v>138.27000000000001</v>
      </c>
      <c r="H2892" s="28">
        <v>194.85720000000001</v>
      </c>
      <c r="I2892" s="28">
        <v>145.893</v>
      </c>
      <c r="J2892" s="29"/>
      <c r="K2892" s="29"/>
      <c r="L2892" s="29"/>
      <c r="M2892" s="29"/>
      <c r="N2892" s="29"/>
      <c r="P2892" s="4">
        <f t="shared" si="182"/>
        <v>3.510573114610221E-3</v>
      </c>
      <c r="Q2892" s="4">
        <f t="shared" si="182"/>
        <v>-5.1383185391676465E-3</v>
      </c>
      <c r="R2892" s="4">
        <f t="shared" si="182"/>
        <v>-1.5643258149725867E-2</v>
      </c>
      <c r="S2892" s="4">
        <f t="shared" si="182"/>
        <v>3.3485610745373827E-3</v>
      </c>
      <c r="T2892" s="4">
        <f t="shared" si="182"/>
        <v>3.3876622465884294E-3</v>
      </c>
      <c r="U2892" s="35"/>
      <c r="V2892" s="35"/>
      <c r="W2892" s="35"/>
      <c r="X2892" s="35"/>
    </row>
    <row r="2893" spans="4:24" x14ac:dyDescent="0.3">
      <c r="D2893" s="23">
        <v>43777</v>
      </c>
      <c r="E2893" s="5">
        <v>287.78643799999998</v>
      </c>
      <c r="F2893" s="28">
        <v>74.164839999999998</v>
      </c>
      <c r="G2893" s="28">
        <v>137.38999999999999</v>
      </c>
      <c r="H2893" s="28">
        <v>195.63489999999999</v>
      </c>
      <c r="I2893" s="28">
        <v>146.30260000000001</v>
      </c>
      <c r="J2893" s="29"/>
      <c r="K2893" s="29"/>
      <c r="L2893" s="29"/>
      <c r="M2893" s="29"/>
      <c r="N2893" s="29"/>
      <c r="P2893" s="4">
        <f t="shared" si="182"/>
        <v>2.4631086683748918E-3</v>
      </c>
      <c r="Q2893" s="4">
        <f t="shared" si="182"/>
        <v>-9.592937056912002E-4</v>
      </c>
      <c r="R2893" s="4">
        <f t="shared" si="182"/>
        <v>-6.3846984646698801E-3</v>
      </c>
      <c r="S2893" s="4">
        <f t="shared" si="182"/>
        <v>3.9831844394959673E-3</v>
      </c>
      <c r="T2893" s="4">
        <f t="shared" si="182"/>
        <v>2.8036032595597231E-3</v>
      </c>
      <c r="U2893" s="35"/>
      <c r="V2893" s="35"/>
      <c r="W2893" s="35"/>
      <c r="X2893" s="35"/>
    </row>
    <row r="2894" spans="4:24" x14ac:dyDescent="0.3">
      <c r="D2894" s="23">
        <v>43780</v>
      </c>
      <c r="E2894" s="5">
        <v>287.23681599999998</v>
      </c>
      <c r="F2894" s="28">
        <v>74.209310000000002</v>
      </c>
      <c r="G2894" s="28">
        <v>137.06</v>
      </c>
      <c r="H2894" s="28">
        <v>195.3724</v>
      </c>
      <c r="I2894" s="28">
        <v>146.01400000000001</v>
      </c>
      <c r="J2894" s="29"/>
      <c r="K2894" s="29"/>
      <c r="L2894" s="29"/>
      <c r="M2894" s="29"/>
      <c r="N2894" s="29"/>
      <c r="P2894" s="4">
        <f t="shared" si="182"/>
        <v>-1.9116519673092346E-3</v>
      </c>
      <c r="Q2894" s="4">
        <f t="shared" si="182"/>
        <v>5.9943057913490797E-4</v>
      </c>
      <c r="R2894" s="4">
        <f t="shared" si="182"/>
        <v>-2.4048107781790618E-3</v>
      </c>
      <c r="S2894" s="4">
        <f t="shared" si="182"/>
        <v>-1.3426861311098856E-3</v>
      </c>
      <c r="T2894" s="4">
        <f t="shared" si="182"/>
        <v>-1.9745720480422351E-3</v>
      </c>
      <c r="U2894" s="35"/>
      <c r="V2894" s="35"/>
      <c r="W2894" s="35"/>
      <c r="X2894" s="35"/>
    </row>
    <row r="2895" spans="4:24" x14ac:dyDescent="0.3">
      <c r="D2895" s="23">
        <v>43781</v>
      </c>
      <c r="E2895" s="5">
        <v>287.84231599999998</v>
      </c>
      <c r="F2895" s="28">
        <v>74.253770000000003</v>
      </c>
      <c r="G2895" s="28">
        <v>137.43</v>
      </c>
      <c r="H2895" s="28">
        <v>195.93629999999999</v>
      </c>
      <c r="I2895" s="28">
        <v>146.2653</v>
      </c>
      <c r="J2895" s="29"/>
      <c r="K2895" s="29"/>
      <c r="L2895" s="29"/>
      <c r="M2895" s="29"/>
      <c r="N2895" s="29"/>
      <c r="P2895" s="4">
        <f t="shared" si="182"/>
        <v>2.1057979330457409E-3</v>
      </c>
      <c r="Q2895" s="4">
        <f t="shared" si="182"/>
        <v>5.989368040738689E-4</v>
      </c>
      <c r="R2895" s="4">
        <f t="shared" si="182"/>
        <v>2.695910409082946E-3</v>
      </c>
      <c r="S2895" s="4">
        <f t="shared" si="182"/>
        <v>2.8821254950023886E-3</v>
      </c>
      <c r="T2895" s="4">
        <f t="shared" si="182"/>
        <v>1.7195885026696231E-3</v>
      </c>
      <c r="U2895" s="35"/>
      <c r="V2895" s="35"/>
      <c r="W2895" s="35"/>
      <c r="X2895" s="35"/>
    </row>
    <row r="2896" spans="4:24" x14ac:dyDescent="0.3">
      <c r="D2896" s="23">
        <v>43782</v>
      </c>
      <c r="E2896" s="5">
        <v>287.93554699999999</v>
      </c>
      <c r="F2896" s="28">
        <v>74.387180000000001</v>
      </c>
      <c r="G2896" s="28">
        <v>137.97999999999999</v>
      </c>
      <c r="H2896" s="28">
        <v>195.98480000000001</v>
      </c>
      <c r="I2896" s="28">
        <v>146.3305</v>
      </c>
      <c r="J2896" s="29"/>
      <c r="K2896" s="29"/>
      <c r="L2896" s="29"/>
      <c r="M2896" s="29"/>
      <c r="N2896" s="29"/>
      <c r="P2896" s="4">
        <f t="shared" si="182"/>
        <v>3.2384364459260334E-4</v>
      </c>
      <c r="Q2896" s="4">
        <f t="shared" si="182"/>
        <v>1.7950643590939602E-3</v>
      </c>
      <c r="R2896" s="4">
        <f t="shared" si="182"/>
        <v>3.994050551202037E-3</v>
      </c>
      <c r="S2896" s="4">
        <f t="shared" si="182"/>
        <v>2.4749879630148766E-4</v>
      </c>
      <c r="T2896" s="4">
        <f t="shared" si="182"/>
        <v>4.4566600805042171E-4</v>
      </c>
      <c r="U2896" s="35"/>
      <c r="V2896" s="35"/>
      <c r="W2896" s="35"/>
      <c r="X2896" s="35"/>
    </row>
    <row r="2897" spans="4:24" x14ac:dyDescent="0.3">
      <c r="D2897" s="23">
        <v>43783</v>
      </c>
      <c r="E2897" s="5">
        <v>288.35461400000003</v>
      </c>
      <c r="F2897" s="28">
        <v>74.600620000000006</v>
      </c>
      <c r="G2897" s="28">
        <v>138.56</v>
      </c>
      <c r="H2897" s="28">
        <v>195.82929999999999</v>
      </c>
      <c r="I2897" s="28">
        <v>146.4795</v>
      </c>
      <c r="J2897" s="29"/>
      <c r="K2897" s="29"/>
      <c r="L2897" s="29"/>
      <c r="M2897" s="29"/>
      <c r="N2897" s="29"/>
      <c r="P2897" s="4">
        <f t="shared" si="182"/>
        <v>1.4543613694158795E-3</v>
      </c>
      <c r="Q2897" s="4">
        <f t="shared" si="182"/>
        <v>2.8652030034357419E-3</v>
      </c>
      <c r="R2897" s="4">
        <f t="shared" si="182"/>
        <v>4.1946976961624218E-3</v>
      </c>
      <c r="S2897" s="4">
        <f t="shared" si="182"/>
        <v>-7.9374380944511637E-4</v>
      </c>
      <c r="T2897" s="4">
        <f t="shared" si="182"/>
        <v>1.0177248923242117E-3</v>
      </c>
      <c r="U2897" s="35"/>
      <c r="V2897" s="35"/>
      <c r="W2897" s="35"/>
      <c r="X2897" s="35"/>
    </row>
    <row r="2898" spans="4:24" x14ac:dyDescent="0.3">
      <c r="D2898" s="23">
        <v>43784</v>
      </c>
      <c r="E2898" s="5">
        <v>290.44131499999997</v>
      </c>
      <c r="F2898" s="28">
        <v>74.573980000000006</v>
      </c>
      <c r="G2898" s="28">
        <v>138.21</v>
      </c>
      <c r="H2898" s="28">
        <v>197.26820000000001</v>
      </c>
      <c r="I2898" s="28">
        <v>147.5966</v>
      </c>
      <c r="J2898" s="29"/>
      <c r="K2898" s="29"/>
      <c r="L2898" s="29"/>
      <c r="M2898" s="29"/>
      <c r="N2898" s="29"/>
      <c r="P2898" s="4">
        <f t="shared" si="182"/>
        <v>7.2105207944686937E-3</v>
      </c>
      <c r="Q2898" s="4">
        <f t="shared" si="182"/>
        <v>-3.5716536572847062E-4</v>
      </c>
      <c r="R2898" s="4">
        <f t="shared" si="182"/>
        <v>-2.5291771981897316E-3</v>
      </c>
      <c r="S2898" s="4">
        <f t="shared" si="182"/>
        <v>7.3208627706112988E-3</v>
      </c>
      <c r="T2898" s="4">
        <f t="shared" si="182"/>
        <v>7.5973897455564789E-3</v>
      </c>
      <c r="U2898" s="35"/>
      <c r="V2898" s="35"/>
      <c r="W2898" s="35"/>
      <c r="X2898" s="35"/>
    </row>
    <row r="2899" spans="4:24" x14ac:dyDescent="0.3">
      <c r="D2899" s="23">
        <v>43787</v>
      </c>
      <c r="E2899" s="5">
        <v>290.65554800000001</v>
      </c>
      <c r="F2899" s="28">
        <v>74.680700000000002</v>
      </c>
      <c r="G2899" s="28">
        <v>138.62</v>
      </c>
      <c r="H2899" s="28">
        <v>197.4237</v>
      </c>
      <c r="I2899" s="28">
        <v>147.68029999999999</v>
      </c>
      <c r="J2899" s="29"/>
      <c r="K2899" s="29"/>
      <c r="L2899" s="29"/>
      <c r="M2899" s="29"/>
      <c r="N2899" s="29"/>
      <c r="P2899" s="4">
        <f t="shared" si="182"/>
        <v>7.3734010058173441E-4</v>
      </c>
      <c r="Q2899" s="4">
        <f t="shared" si="182"/>
        <v>1.4300391543766058E-3</v>
      </c>
      <c r="R2899" s="4">
        <f t="shared" si="182"/>
        <v>2.9621088739032529E-3</v>
      </c>
      <c r="S2899" s="4">
        <f t="shared" si="182"/>
        <v>7.8795641889541003E-4</v>
      </c>
      <c r="T2899" s="4">
        <f t="shared" si="182"/>
        <v>5.6692550105880862E-4</v>
      </c>
      <c r="U2899" s="35"/>
      <c r="V2899" s="35"/>
      <c r="W2899" s="35"/>
      <c r="X2899" s="35"/>
    </row>
    <row r="2900" spans="4:24" x14ac:dyDescent="0.3">
      <c r="D2900" s="23">
        <v>43788</v>
      </c>
      <c r="E2900" s="5">
        <v>290.57162499999998</v>
      </c>
      <c r="F2900" s="28">
        <v>74.760720000000006</v>
      </c>
      <c r="G2900" s="28">
        <v>138.69</v>
      </c>
      <c r="H2900" s="28">
        <v>197.71539999999999</v>
      </c>
      <c r="I2900" s="28">
        <v>147.7269</v>
      </c>
      <c r="J2900" s="29"/>
      <c r="K2900" s="29"/>
      <c r="L2900" s="29"/>
      <c r="M2900" s="29"/>
      <c r="N2900" s="29"/>
      <c r="P2900" s="4">
        <f t="shared" si="182"/>
        <v>-2.8877865482471572E-4</v>
      </c>
      <c r="Q2900" s="4">
        <f t="shared" si="182"/>
        <v>1.0709214038215255E-3</v>
      </c>
      <c r="R2900" s="4">
        <f t="shared" si="182"/>
        <v>5.0485017840500956E-4</v>
      </c>
      <c r="S2900" s="4">
        <f t="shared" si="182"/>
        <v>1.4764423616357328E-3</v>
      </c>
      <c r="T2900" s="4">
        <f t="shared" si="182"/>
        <v>3.1549671359776222E-4</v>
      </c>
      <c r="U2900" s="35"/>
      <c r="V2900" s="35"/>
      <c r="W2900" s="35"/>
      <c r="X2900" s="35"/>
    </row>
    <row r="2901" spans="4:24" x14ac:dyDescent="0.3">
      <c r="D2901" s="23">
        <v>43789</v>
      </c>
      <c r="E2901" s="5">
        <v>289.49111900000003</v>
      </c>
      <c r="F2901" s="28">
        <v>74.965280000000007</v>
      </c>
      <c r="G2901" s="28">
        <v>138.76</v>
      </c>
      <c r="H2901" s="28">
        <v>196.52930000000001</v>
      </c>
      <c r="I2901" s="28">
        <v>147.26140000000001</v>
      </c>
      <c r="J2901" s="29"/>
      <c r="K2901" s="29"/>
      <c r="L2901" s="29"/>
      <c r="M2901" s="29"/>
      <c r="N2901" s="29"/>
      <c r="P2901" s="4">
        <f t="shared" ref="P2901:T2916" si="183">LN(E2901/E2900)</f>
        <v>-3.7254840476902648E-3</v>
      </c>
      <c r="Q2901" s="4">
        <f t="shared" si="183"/>
        <v>2.7324596566545463E-3</v>
      </c>
      <c r="R2901" s="4">
        <f t="shared" si="183"/>
        <v>5.045954333052074E-4</v>
      </c>
      <c r="S2901" s="4">
        <f t="shared" si="183"/>
        <v>-6.0170933362000993E-3</v>
      </c>
      <c r="T2901" s="4">
        <f t="shared" si="183"/>
        <v>-3.1560599955499599E-3</v>
      </c>
      <c r="U2901" s="35"/>
      <c r="V2901" s="35"/>
      <c r="W2901" s="35"/>
      <c r="X2901" s="35"/>
    </row>
    <row r="2902" spans="4:24" x14ac:dyDescent="0.3">
      <c r="D2902" s="23">
        <v>43790</v>
      </c>
      <c r="E2902" s="5">
        <v>289.02533</v>
      </c>
      <c r="F2902" s="28">
        <v>74.840779999999995</v>
      </c>
      <c r="G2902" s="28">
        <v>138</v>
      </c>
      <c r="H2902" s="28">
        <v>196.09180000000001</v>
      </c>
      <c r="I2902" s="28">
        <v>146.88910000000001</v>
      </c>
      <c r="J2902" s="29"/>
      <c r="K2902" s="29"/>
      <c r="L2902" s="29"/>
      <c r="M2902" s="29"/>
      <c r="N2902" s="29"/>
      <c r="P2902" s="4">
        <f t="shared" si="183"/>
        <v>-1.610288182662745E-3</v>
      </c>
      <c r="Q2902" s="4">
        <f t="shared" si="183"/>
        <v>-1.6621494305830791E-3</v>
      </c>
      <c r="R2902" s="4">
        <f t="shared" si="183"/>
        <v>-5.4921369443441696E-3</v>
      </c>
      <c r="S2902" s="4">
        <f t="shared" si="183"/>
        <v>-2.2286126806639367E-3</v>
      </c>
      <c r="T2902" s="4">
        <f t="shared" si="183"/>
        <v>-2.5313585990928496E-3</v>
      </c>
      <c r="U2902" s="35"/>
      <c r="V2902" s="35"/>
      <c r="W2902" s="35"/>
      <c r="X2902" s="35"/>
    </row>
    <row r="2903" spans="4:24" x14ac:dyDescent="0.3">
      <c r="D2903" s="23">
        <v>43791</v>
      </c>
      <c r="E2903" s="5">
        <v>289.66802999999999</v>
      </c>
      <c r="F2903" s="28">
        <v>74.885239999999996</v>
      </c>
      <c r="G2903" s="28">
        <v>137.74</v>
      </c>
      <c r="H2903" s="28">
        <v>196.2182</v>
      </c>
      <c r="I2903" s="28">
        <v>147.2149</v>
      </c>
      <c r="J2903" s="29"/>
      <c r="K2903" s="29"/>
      <c r="L2903" s="29"/>
      <c r="M2903" s="29"/>
      <c r="N2903" s="29"/>
      <c r="P2903" s="4">
        <f t="shared" si="183"/>
        <v>2.2212118149934155E-3</v>
      </c>
      <c r="Q2903" s="4">
        <f t="shared" si="183"/>
        <v>5.9388476774785426E-4</v>
      </c>
      <c r="R2903" s="4">
        <f t="shared" si="183"/>
        <v>-1.8858350406524441E-3</v>
      </c>
      <c r="S2903" s="4">
        <f t="shared" si="183"/>
        <v>6.4438838864070401E-4</v>
      </c>
      <c r="T2903" s="4">
        <f t="shared" si="183"/>
        <v>2.2155437074599395E-3</v>
      </c>
      <c r="U2903" s="35"/>
      <c r="V2903" s="35"/>
      <c r="W2903" s="35"/>
      <c r="X2903" s="35"/>
    </row>
    <row r="2904" spans="4:24" x14ac:dyDescent="0.3">
      <c r="D2904" s="23">
        <v>43794</v>
      </c>
      <c r="E2904" s="5">
        <v>291.913116</v>
      </c>
      <c r="F2904" s="28">
        <v>74.956400000000002</v>
      </c>
      <c r="G2904" s="28">
        <v>137.08000000000001</v>
      </c>
      <c r="H2904" s="28">
        <v>198.54179999999999</v>
      </c>
      <c r="I2904" s="28">
        <v>148.6113</v>
      </c>
      <c r="J2904" s="29"/>
      <c r="K2904" s="29"/>
      <c r="L2904" s="29"/>
      <c r="M2904" s="29"/>
      <c r="N2904" s="29"/>
      <c r="P2904" s="4">
        <f t="shared" si="183"/>
        <v>7.7206669014334428E-3</v>
      </c>
      <c r="Q2904" s="4">
        <f t="shared" si="183"/>
        <v>9.4980280981454704E-4</v>
      </c>
      <c r="R2904" s="4">
        <f t="shared" si="183"/>
        <v>-4.8031531101440997E-3</v>
      </c>
      <c r="S2904" s="4">
        <f t="shared" si="183"/>
        <v>1.177235198726794E-2</v>
      </c>
      <c r="T2904" s="4">
        <f t="shared" si="183"/>
        <v>9.4407484629935711E-3</v>
      </c>
      <c r="U2904" s="35"/>
      <c r="V2904" s="35"/>
      <c r="W2904" s="35"/>
      <c r="X2904" s="35"/>
    </row>
    <row r="2905" spans="4:24" x14ac:dyDescent="0.3">
      <c r="D2905" s="23">
        <v>43795</v>
      </c>
      <c r="E2905" s="5">
        <v>292.57446299999998</v>
      </c>
      <c r="F2905" s="28">
        <v>75.080889999999997</v>
      </c>
      <c r="G2905" s="28">
        <v>137.74</v>
      </c>
      <c r="H2905" s="28">
        <v>198.92089999999999</v>
      </c>
      <c r="I2905" s="28">
        <v>148.92779999999999</v>
      </c>
      <c r="J2905" s="29"/>
      <c r="K2905" s="29"/>
      <c r="L2905" s="29"/>
      <c r="M2905" s="29"/>
      <c r="N2905" s="29"/>
      <c r="P2905" s="4">
        <f t="shared" si="183"/>
        <v>2.2629985854284631E-3</v>
      </c>
      <c r="Q2905" s="4">
        <f t="shared" si="183"/>
        <v>1.6594545071864362E-3</v>
      </c>
      <c r="R2905" s="4">
        <f t="shared" si="183"/>
        <v>4.8031531101441457E-3</v>
      </c>
      <c r="S2905" s="4">
        <f t="shared" si="183"/>
        <v>1.9076009646198169E-3</v>
      </c>
      <c r="T2905" s="4">
        <f t="shared" si="183"/>
        <v>2.1274522869406784E-3</v>
      </c>
      <c r="U2905" s="35"/>
      <c r="V2905" s="35"/>
      <c r="W2905" s="35"/>
      <c r="X2905" s="35"/>
    </row>
    <row r="2906" spans="4:24" x14ac:dyDescent="0.3">
      <c r="D2906" s="23">
        <v>43796</v>
      </c>
      <c r="E2906" s="5">
        <v>293.87863199999998</v>
      </c>
      <c r="F2906" s="28">
        <v>74.965280000000007</v>
      </c>
      <c r="G2906" s="28">
        <v>137.01</v>
      </c>
      <c r="H2906" s="28">
        <v>200.31110000000001</v>
      </c>
      <c r="I2906" s="28">
        <v>149.6353</v>
      </c>
      <c r="J2906" s="29"/>
      <c r="K2906" s="29"/>
      <c r="L2906" s="29"/>
      <c r="M2906" s="29"/>
      <c r="N2906" s="29"/>
      <c r="P2906" s="4">
        <f t="shared" si="183"/>
        <v>4.4476571477018436E-3</v>
      </c>
      <c r="Q2906" s="4">
        <f t="shared" si="183"/>
        <v>-1.5409926541656721E-3</v>
      </c>
      <c r="R2906" s="4">
        <f t="shared" si="183"/>
        <v>-5.3139342515350499E-3</v>
      </c>
      <c r="S2906" s="4">
        <f t="shared" si="183"/>
        <v>6.9643997427673429E-3</v>
      </c>
      <c r="T2906" s="4">
        <f t="shared" si="183"/>
        <v>4.739375524321284E-3</v>
      </c>
      <c r="U2906" s="35"/>
      <c r="V2906" s="35"/>
      <c r="W2906" s="35"/>
      <c r="X2906" s="35"/>
    </row>
    <row r="2907" spans="4:24" x14ac:dyDescent="0.3">
      <c r="D2907" s="23">
        <v>43798</v>
      </c>
      <c r="E2907" s="5">
        <v>292.78875699999998</v>
      </c>
      <c r="F2907" s="28">
        <v>74.965280000000007</v>
      </c>
      <c r="G2907" s="28">
        <v>137.86000000000001</v>
      </c>
      <c r="H2907" s="28">
        <v>199.3973</v>
      </c>
      <c r="I2907" s="28">
        <v>148.965</v>
      </c>
      <c r="J2907" s="29"/>
      <c r="K2907" s="29"/>
      <c r="L2907" s="29"/>
      <c r="M2907" s="29"/>
      <c r="N2907" s="29"/>
      <c r="P2907" s="4">
        <f t="shared" si="183"/>
        <v>-3.7154826541515962E-3</v>
      </c>
      <c r="Q2907" s="4">
        <f t="shared" si="183"/>
        <v>0</v>
      </c>
      <c r="R2907" s="4">
        <f t="shared" si="183"/>
        <v>6.1847615924886341E-3</v>
      </c>
      <c r="S2907" s="4">
        <f t="shared" si="183"/>
        <v>-4.5723411968049653E-3</v>
      </c>
      <c r="T2907" s="4">
        <f t="shared" si="183"/>
        <v>-4.4896212490023084E-3</v>
      </c>
      <c r="U2907" s="35"/>
      <c r="V2907" s="35"/>
      <c r="W2907" s="35"/>
      <c r="X2907" s="35"/>
    </row>
    <row r="2908" spans="4:24" x14ac:dyDescent="0.3">
      <c r="D2908" s="23">
        <v>43801</v>
      </c>
      <c r="E2908" s="5">
        <v>290.301605</v>
      </c>
      <c r="F2908" s="28">
        <v>74.769220000000004</v>
      </c>
      <c r="G2908" s="28">
        <v>137.79</v>
      </c>
      <c r="H2908" s="28">
        <v>197.35570000000001</v>
      </c>
      <c r="I2908" s="28">
        <v>147.61519999999999</v>
      </c>
      <c r="J2908" s="29"/>
      <c r="K2908" s="29"/>
      <c r="L2908" s="29"/>
      <c r="M2908" s="29"/>
      <c r="N2908" s="29"/>
      <c r="P2908" s="4">
        <f t="shared" si="183"/>
        <v>-8.5309833472331509E-3</v>
      </c>
      <c r="Q2908" s="4">
        <f t="shared" si="183"/>
        <v>-2.6187700502899023E-3</v>
      </c>
      <c r="R2908" s="4">
        <f t="shared" si="183"/>
        <v>-5.0789045169419083E-4</v>
      </c>
      <c r="S2908" s="4">
        <f t="shared" si="183"/>
        <v>-1.0291632426719873E-2</v>
      </c>
      <c r="T2908" s="4">
        <f t="shared" si="183"/>
        <v>-9.102491129431468E-3</v>
      </c>
      <c r="U2908" s="35"/>
      <c r="V2908" s="35"/>
      <c r="W2908" s="35"/>
      <c r="X2908" s="35"/>
    </row>
    <row r="2909" spans="4:24" x14ac:dyDescent="0.3">
      <c r="D2909" s="23">
        <v>43802</v>
      </c>
      <c r="E2909" s="5">
        <v>288.35461400000003</v>
      </c>
      <c r="F2909" s="28">
        <v>75.170230000000004</v>
      </c>
      <c r="G2909" s="28">
        <v>139.11000000000001</v>
      </c>
      <c r="H2909" s="28">
        <v>195.8099</v>
      </c>
      <c r="I2909" s="28">
        <v>146.74010000000001</v>
      </c>
      <c r="J2909" s="29"/>
      <c r="K2909" s="29"/>
      <c r="L2909" s="29"/>
      <c r="M2909" s="29"/>
      <c r="N2909" s="29"/>
      <c r="P2909" s="4">
        <f t="shared" si="183"/>
        <v>-6.7293784580449633E-3</v>
      </c>
      <c r="Q2909" s="4">
        <f t="shared" si="183"/>
        <v>5.3489719500021638E-3</v>
      </c>
      <c r="R2909" s="4">
        <f t="shared" si="183"/>
        <v>9.5342000656676428E-3</v>
      </c>
      <c r="S2909" s="4">
        <f t="shared" si="183"/>
        <v>-7.8633937715191851E-3</v>
      </c>
      <c r="T2909" s="4">
        <f t="shared" si="183"/>
        <v>-5.9458931309409281E-3</v>
      </c>
      <c r="U2909" s="35"/>
      <c r="V2909" s="35"/>
      <c r="W2909" s="35"/>
      <c r="X2909" s="35"/>
    </row>
    <row r="2910" spans="4:24" x14ac:dyDescent="0.3">
      <c r="D2910" s="23">
        <v>43803</v>
      </c>
      <c r="E2910" s="5">
        <v>290.13391100000001</v>
      </c>
      <c r="F2910" s="28">
        <v>75.018749999999997</v>
      </c>
      <c r="G2910" s="28">
        <v>138.91999999999999</v>
      </c>
      <c r="H2910" s="28">
        <v>196.8015</v>
      </c>
      <c r="I2910" s="28">
        <v>147.68960000000001</v>
      </c>
      <c r="J2910" s="29"/>
      <c r="K2910" s="29"/>
      <c r="L2910" s="29"/>
      <c r="M2910" s="29"/>
      <c r="N2910" s="29"/>
      <c r="P2910" s="4">
        <f t="shared" si="183"/>
        <v>6.1515571495855056E-3</v>
      </c>
      <c r="Q2910" s="4">
        <f t="shared" si="183"/>
        <v>-2.0171926244546513E-3</v>
      </c>
      <c r="R2910" s="4">
        <f t="shared" si="183"/>
        <v>-1.366759195606084E-3</v>
      </c>
      <c r="S2910" s="4">
        <f t="shared" si="183"/>
        <v>5.0513159243674209E-3</v>
      </c>
      <c r="T2910" s="4">
        <f t="shared" si="183"/>
        <v>6.4497792958403749E-3</v>
      </c>
      <c r="U2910" s="35"/>
      <c r="V2910" s="35"/>
      <c r="W2910" s="35"/>
      <c r="X2910" s="35"/>
    </row>
    <row r="2911" spans="4:24" x14ac:dyDescent="0.3">
      <c r="D2911" s="23">
        <v>43804</v>
      </c>
      <c r="E2911" s="5">
        <v>290.65554800000001</v>
      </c>
      <c r="F2911" s="28">
        <v>74.938540000000003</v>
      </c>
      <c r="G2911" s="28">
        <v>139</v>
      </c>
      <c r="H2911" s="28">
        <v>197.19040000000001</v>
      </c>
      <c r="I2911" s="28">
        <v>147.90379999999999</v>
      </c>
      <c r="J2911" s="29"/>
      <c r="K2911" s="29"/>
      <c r="L2911" s="29"/>
      <c r="M2911" s="29"/>
      <c r="N2911" s="29"/>
      <c r="P2911" s="4">
        <f t="shared" si="183"/>
        <v>1.7963037454650247E-3</v>
      </c>
      <c r="Q2911" s="4">
        <f t="shared" si="183"/>
        <v>-1.0697713682266403E-3</v>
      </c>
      <c r="R2911" s="4">
        <f t="shared" si="183"/>
        <v>5.7570525481867303E-4</v>
      </c>
      <c r="S2911" s="4">
        <f t="shared" si="183"/>
        <v>1.9741529016426441E-3</v>
      </c>
      <c r="T2911" s="4">
        <f t="shared" si="183"/>
        <v>1.4492883636289427E-3</v>
      </c>
      <c r="U2911" s="35"/>
      <c r="V2911" s="35"/>
      <c r="W2911" s="35"/>
      <c r="X2911" s="35"/>
    </row>
    <row r="2912" spans="4:24" x14ac:dyDescent="0.3">
      <c r="D2912" s="23">
        <v>43805</v>
      </c>
      <c r="E2912" s="5">
        <v>293.31039399999997</v>
      </c>
      <c r="F2912" s="28">
        <v>74.840519999999998</v>
      </c>
      <c r="G2912" s="28">
        <v>137.62</v>
      </c>
      <c r="H2912" s="28">
        <v>199.30009999999999</v>
      </c>
      <c r="I2912" s="28">
        <v>149.21639999999999</v>
      </c>
      <c r="J2912" s="29"/>
      <c r="K2912" s="29"/>
      <c r="L2912" s="29"/>
      <c r="M2912" s="29"/>
      <c r="N2912" s="29"/>
      <c r="P2912" s="4">
        <f t="shared" si="183"/>
        <v>9.0925312578036058E-3</v>
      </c>
      <c r="Q2912" s="4">
        <f t="shared" si="183"/>
        <v>-1.3088613854743822E-3</v>
      </c>
      <c r="R2912" s="4">
        <f t="shared" si="183"/>
        <v>-9.9776693563578822E-3</v>
      </c>
      <c r="S2912" s="4">
        <f t="shared" si="183"/>
        <v>1.0641969532801339E-2</v>
      </c>
      <c r="T2912" s="4">
        <f t="shared" si="183"/>
        <v>8.8355388774639353E-3</v>
      </c>
      <c r="U2912" s="35"/>
      <c r="V2912" s="35"/>
      <c r="W2912" s="35"/>
      <c r="X2912" s="35"/>
    </row>
    <row r="2913" spans="4:24" x14ac:dyDescent="0.3">
      <c r="D2913" s="23">
        <v>43808</v>
      </c>
      <c r="E2913" s="5">
        <v>292.388214</v>
      </c>
      <c r="F2913" s="28">
        <v>74.858310000000003</v>
      </c>
      <c r="G2913" s="28">
        <v>137.58000000000001</v>
      </c>
      <c r="H2913" s="28">
        <v>198.39590000000001</v>
      </c>
      <c r="I2913" s="28">
        <v>148.74160000000001</v>
      </c>
      <c r="J2913" s="29"/>
      <c r="K2913" s="29"/>
      <c r="L2913" s="29"/>
      <c r="M2913" s="29"/>
      <c r="N2913" s="29"/>
      <c r="P2913" s="4">
        <f t="shared" si="183"/>
        <v>-3.1489942077531892E-3</v>
      </c>
      <c r="Q2913" s="4">
        <f t="shared" si="183"/>
        <v>2.3767720941779872E-4</v>
      </c>
      <c r="R2913" s="4">
        <f t="shared" si="183"/>
        <v>-2.9069767646561283E-4</v>
      </c>
      <c r="S2913" s="4">
        <f t="shared" si="183"/>
        <v>-4.5471996601084879E-3</v>
      </c>
      <c r="T2913" s="4">
        <f t="shared" si="183"/>
        <v>-3.1870290570123832E-3</v>
      </c>
      <c r="U2913" s="35"/>
      <c r="V2913" s="35"/>
      <c r="W2913" s="35"/>
      <c r="X2913" s="35"/>
    </row>
    <row r="2914" spans="4:24" x14ac:dyDescent="0.3">
      <c r="D2914" s="23">
        <v>43809</v>
      </c>
      <c r="E2914" s="5">
        <v>292.06213400000001</v>
      </c>
      <c r="F2914" s="28">
        <v>74.804839999999999</v>
      </c>
      <c r="G2914" s="28">
        <v>137.97</v>
      </c>
      <c r="H2914" s="28">
        <v>198.23060000000001</v>
      </c>
      <c r="I2914" s="28">
        <v>148.6113</v>
      </c>
      <c r="J2914" s="29"/>
      <c r="K2914" s="29"/>
      <c r="L2914" s="29"/>
      <c r="M2914" s="29"/>
      <c r="N2914" s="29"/>
      <c r="P2914" s="4">
        <f t="shared" si="183"/>
        <v>-1.1158519622754574E-3</v>
      </c>
      <c r="Q2914" s="4">
        <f t="shared" si="183"/>
        <v>-7.1453797778532732E-4</v>
      </c>
      <c r="R2914" s="4">
        <f t="shared" si="183"/>
        <v>2.8307041220739996E-3</v>
      </c>
      <c r="S2914" s="4">
        <f t="shared" si="183"/>
        <v>-8.3352983005668014E-4</v>
      </c>
      <c r="T2914" s="4">
        <f t="shared" si="183"/>
        <v>-8.7639978180830411E-4</v>
      </c>
      <c r="U2914" s="35"/>
      <c r="V2914" s="35"/>
      <c r="W2914" s="35"/>
      <c r="X2914" s="35"/>
    </row>
    <row r="2915" spans="4:24" x14ac:dyDescent="0.3">
      <c r="D2915" s="23">
        <v>43810</v>
      </c>
      <c r="E2915" s="5">
        <v>292.89117399999998</v>
      </c>
      <c r="F2915" s="28">
        <v>75.054410000000004</v>
      </c>
      <c r="G2915" s="28">
        <v>138.91999999999999</v>
      </c>
      <c r="H2915" s="28">
        <v>199.28059999999999</v>
      </c>
      <c r="I2915" s="28">
        <v>148.965</v>
      </c>
      <c r="J2915" s="29"/>
      <c r="K2915" s="29"/>
      <c r="L2915" s="29"/>
      <c r="M2915" s="29"/>
      <c r="N2915" s="29"/>
      <c r="P2915" s="4">
        <f t="shared" si="183"/>
        <v>2.8345529249997094E-3</v>
      </c>
      <c r="Q2915" s="4">
        <f t="shared" si="183"/>
        <v>3.3307284097881312E-3</v>
      </c>
      <c r="R2915" s="4">
        <f t="shared" si="183"/>
        <v>6.8619576559310743E-3</v>
      </c>
      <c r="S2915" s="4">
        <f t="shared" si="183"/>
        <v>5.2828823038084394E-3</v>
      </c>
      <c r="T2915" s="4">
        <f t="shared" si="183"/>
        <v>2.377206562259631E-3</v>
      </c>
      <c r="U2915" s="35"/>
      <c r="V2915" s="35"/>
      <c r="W2915" s="35"/>
      <c r="X2915" s="35"/>
    </row>
    <row r="2916" spans="4:24" x14ac:dyDescent="0.3">
      <c r="D2916" s="23">
        <v>43811</v>
      </c>
      <c r="E2916" s="5">
        <v>295.41561899999999</v>
      </c>
      <c r="F2916" s="28">
        <v>74.697869999999995</v>
      </c>
      <c r="G2916" s="28">
        <v>138.43</v>
      </c>
      <c r="H2916" s="28">
        <v>200.7681</v>
      </c>
      <c r="I2916" s="28">
        <v>150.18450000000001</v>
      </c>
      <c r="J2916" s="29"/>
      <c r="K2916" s="29"/>
      <c r="L2916" s="29"/>
      <c r="M2916" s="29"/>
      <c r="N2916" s="29"/>
      <c r="P2916" s="4">
        <f t="shared" si="183"/>
        <v>8.5821225401249025E-3</v>
      </c>
      <c r="Q2916" s="4">
        <f t="shared" si="183"/>
        <v>-4.7617395032240545E-3</v>
      </c>
      <c r="R2916" s="4">
        <f t="shared" si="183"/>
        <v>-3.5334451762295016E-3</v>
      </c>
      <c r="S2916" s="4">
        <f t="shared" si="183"/>
        <v>7.4366288670207528E-3</v>
      </c>
      <c r="T2916" s="4">
        <f t="shared" si="183"/>
        <v>8.1531592425417056E-3</v>
      </c>
      <c r="U2916" s="35"/>
      <c r="V2916" s="35"/>
      <c r="W2916" s="35"/>
      <c r="X2916" s="35"/>
    </row>
    <row r="2917" spans="4:24" x14ac:dyDescent="0.3">
      <c r="D2917" s="23">
        <v>43812</v>
      </c>
      <c r="E2917" s="5">
        <v>295.59262100000001</v>
      </c>
      <c r="F2917" s="28">
        <v>75.036580000000001</v>
      </c>
      <c r="G2917" s="28">
        <v>139.05000000000001</v>
      </c>
      <c r="H2917" s="28">
        <v>201.42920000000001</v>
      </c>
      <c r="I2917" s="28">
        <v>150.18450000000001</v>
      </c>
      <c r="J2917" s="29"/>
      <c r="K2917" s="29"/>
      <c r="L2917" s="29"/>
      <c r="M2917" s="29"/>
      <c r="N2917" s="29"/>
      <c r="P2917" s="4">
        <f t="shared" ref="P2917:T2932" si="184">LN(E2917/E2916)</f>
        <v>5.9898320636641808E-4</v>
      </c>
      <c r="Q2917" s="4">
        <f t="shared" si="184"/>
        <v>4.5241502903887948E-3</v>
      </c>
      <c r="R2917" s="4">
        <f t="shared" si="184"/>
        <v>4.4687979803302033E-3</v>
      </c>
      <c r="S2917" s="4">
        <f t="shared" si="184"/>
        <v>3.2874442239741054E-3</v>
      </c>
      <c r="T2917" s="4">
        <f t="shared" si="184"/>
        <v>0</v>
      </c>
      <c r="U2917" s="35"/>
      <c r="V2917" s="35"/>
      <c r="W2917" s="35"/>
      <c r="X2917" s="35"/>
    </row>
    <row r="2918" spans="4:24" x14ac:dyDescent="0.3">
      <c r="D2918" s="23">
        <v>43815</v>
      </c>
      <c r="E2918" s="5">
        <v>297.62341300000003</v>
      </c>
      <c r="F2918" s="28">
        <v>74.831580000000002</v>
      </c>
      <c r="G2918" s="28">
        <v>139.04</v>
      </c>
      <c r="H2918" s="28">
        <v>203.4513</v>
      </c>
      <c r="I2918" s="28">
        <v>151.28299999999999</v>
      </c>
      <c r="J2918" s="29"/>
      <c r="K2918" s="29"/>
      <c r="L2918" s="29"/>
      <c r="M2918" s="29"/>
      <c r="N2918" s="29"/>
      <c r="P2918" s="4">
        <f t="shared" si="184"/>
        <v>6.8467466045343869E-3</v>
      </c>
      <c r="Q2918" s="4">
        <f t="shared" si="184"/>
        <v>-2.7357395707838378E-3</v>
      </c>
      <c r="R2918" s="4">
        <f t="shared" si="184"/>
        <v>-7.1919162892078502E-5</v>
      </c>
      <c r="S2918" s="4">
        <f t="shared" si="184"/>
        <v>9.988709324234667E-3</v>
      </c>
      <c r="T2918" s="4">
        <f t="shared" si="184"/>
        <v>7.2877166649680768E-3</v>
      </c>
      <c r="U2918" s="35"/>
      <c r="V2918" s="35"/>
      <c r="W2918" s="35"/>
      <c r="X2918" s="35"/>
    </row>
    <row r="2919" spans="4:24" x14ac:dyDescent="0.3">
      <c r="D2919" s="23">
        <v>43816</v>
      </c>
      <c r="E2919" s="5">
        <v>297.68866000000003</v>
      </c>
      <c r="F2919" s="28">
        <v>74.840519999999998</v>
      </c>
      <c r="G2919" s="28">
        <v>139.01</v>
      </c>
      <c r="H2919" s="28">
        <v>203.56800000000001</v>
      </c>
      <c r="I2919" s="28">
        <v>151.33879999999999</v>
      </c>
      <c r="J2919" s="29"/>
      <c r="K2919" s="29"/>
      <c r="L2919" s="29"/>
      <c r="M2919" s="29"/>
      <c r="N2919" s="29"/>
      <c r="P2919" s="4">
        <f t="shared" si="184"/>
        <v>2.1920267779044445E-4</v>
      </c>
      <c r="Q2919" s="4">
        <f t="shared" si="184"/>
        <v>1.1946114219843549E-4</v>
      </c>
      <c r="R2919" s="4">
        <f t="shared" si="184"/>
        <v>-2.157885280806768E-4</v>
      </c>
      <c r="S2919" s="4">
        <f t="shared" si="184"/>
        <v>5.7343719670234885E-4</v>
      </c>
      <c r="T2919" s="4">
        <f t="shared" si="184"/>
        <v>3.6877713788228408E-4</v>
      </c>
      <c r="U2919" s="35"/>
      <c r="V2919" s="35"/>
      <c r="W2919" s="35"/>
      <c r="X2919" s="35"/>
    </row>
    <row r="2920" spans="4:24" x14ac:dyDescent="0.3">
      <c r="D2920" s="23">
        <v>43817</v>
      </c>
      <c r="E2920" s="5">
        <v>297.70718399999998</v>
      </c>
      <c r="F2920" s="28">
        <v>74.742450000000005</v>
      </c>
      <c r="G2920" s="28">
        <v>139.02000000000001</v>
      </c>
      <c r="H2920" s="28">
        <v>203.7236</v>
      </c>
      <c r="I2920" s="28">
        <v>151.404</v>
      </c>
      <c r="J2920" s="29"/>
      <c r="K2920" s="29"/>
      <c r="L2920" s="29"/>
      <c r="M2920" s="29"/>
      <c r="N2920" s="29"/>
      <c r="P2920" s="4">
        <f t="shared" si="184"/>
        <v>6.2224149505363919E-5</v>
      </c>
      <c r="Q2920" s="4">
        <f t="shared" si="184"/>
        <v>-1.3112457126837668E-3</v>
      </c>
      <c r="R2920" s="4">
        <f t="shared" si="184"/>
        <v>7.1934683338721877E-5</v>
      </c>
      <c r="S2920" s="4">
        <f t="shared" si="184"/>
        <v>7.6407177349114728E-4</v>
      </c>
      <c r="T2920" s="4">
        <f t="shared" si="184"/>
        <v>4.3072866478096277E-4</v>
      </c>
      <c r="U2920" s="35"/>
      <c r="V2920" s="35"/>
      <c r="W2920" s="35"/>
      <c r="X2920" s="35"/>
    </row>
    <row r="2921" spans="4:24" x14ac:dyDescent="0.3">
      <c r="D2921" s="23">
        <v>43818</v>
      </c>
      <c r="E2921" s="5">
        <v>298.92752100000001</v>
      </c>
      <c r="F2921" s="28">
        <v>74.795959999999994</v>
      </c>
      <c r="G2921" s="28">
        <v>139.38</v>
      </c>
      <c r="H2921" s="28">
        <v>204.99709999999999</v>
      </c>
      <c r="I2921" s="28">
        <v>152.06489999999999</v>
      </c>
      <c r="J2921" s="29"/>
      <c r="K2921" s="29"/>
      <c r="L2921" s="29"/>
      <c r="M2921" s="29"/>
      <c r="N2921" s="29"/>
      <c r="P2921" s="4">
        <f t="shared" si="184"/>
        <v>4.090739916897952E-3</v>
      </c>
      <c r="Q2921" s="4">
        <f t="shared" si="184"/>
        <v>7.1566900148124215E-4</v>
      </c>
      <c r="R2921" s="4">
        <f t="shared" si="184"/>
        <v>2.5862083380328508E-3</v>
      </c>
      <c r="S2921" s="4">
        <f t="shared" si="184"/>
        <v>6.2316595230485659E-3</v>
      </c>
      <c r="T2921" s="4">
        <f t="shared" si="184"/>
        <v>4.3556426695573825E-3</v>
      </c>
      <c r="U2921" s="35"/>
      <c r="V2921" s="35"/>
      <c r="W2921" s="35"/>
      <c r="X2921" s="35"/>
    </row>
    <row r="2922" spans="4:24" x14ac:dyDescent="0.3">
      <c r="D2922" s="23">
        <v>43819</v>
      </c>
      <c r="E2922" s="5">
        <v>300.23809799999998</v>
      </c>
      <c r="F2922" s="28">
        <v>74.813749999999999</v>
      </c>
      <c r="G2922" s="28">
        <v>139.52000000000001</v>
      </c>
      <c r="H2922" s="28">
        <v>205.8235</v>
      </c>
      <c r="I2922" s="28">
        <v>152.84690000000001</v>
      </c>
      <c r="J2922" s="29"/>
      <c r="K2922" s="29"/>
      <c r="L2922" s="29"/>
      <c r="M2922" s="29"/>
      <c r="N2922" s="29"/>
      <c r="P2922" s="4">
        <f t="shared" si="184"/>
        <v>4.3746805509967748E-3</v>
      </c>
      <c r="Q2922" s="4">
        <f t="shared" si="184"/>
        <v>2.3781878975432549E-4</v>
      </c>
      <c r="R2922" s="4">
        <f t="shared" si="184"/>
        <v>1.0039441502968469E-3</v>
      </c>
      <c r="S2922" s="4">
        <f t="shared" si="184"/>
        <v>4.0231727166066414E-3</v>
      </c>
      <c r="T2922" s="4">
        <f t="shared" si="184"/>
        <v>5.1293634064559779E-3</v>
      </c>
      <c r="U2922" s="35"/>
      <c r="V2922" s="35"/>
      <c r="W2922" s="35"/>
      <c r="X2922" s="35"/>
    </row>
    <row r="2923" spans="4:24" x14ac:dyDescent="0.3">
      <c r="D2923" s="23">
        <v>43822</v>
      </c>
      <c r="E2923" s="5">
        <v>300.69680799999998</v>
      </c>
      <c r="F2923" s="28">
        <v>74.766440000000003</v>
      </c>
      <c r="G2923" s="28">
        <v>139.94999999999999</v>
      </c>
      <c r="H2923" s="28">
        <v>206.3672</v>
      </c>
      <c r="I2923" s="28">
        <v>152.94</v>
      </c>
      <c r="J2923" s="29"/>
      <c r="K2923" s="29"/>
      <c r="L2923" s="29"/>
      <c r="M2923" s="29"/>
      <c r="N2923" s="29"/>
      <c r="P2923" s="4">
        <f t="shared" si="184"/>
        <v>1.5266548323687199E-3</v>
      </c>
      <c r="Q2923" s="4">
        <f t="shared" si="184"/>
        <v>-6.3257041694587566E-4</v>
      </c>
      <c r="R2923" s="4">
        <f t="shared" si="184"/>
        <v>3.077255800792808E-3</v>
      </c>
      <c r="S2923" s="4">
        <f t="shared" si="184"/>
        <v>2.6381008369512275E-3</v>
      </c>
      <c r="T2923" s="4">
        <f t="shared" si="184"/>
        <v>6.089208064613777E-4</v>
      </c>
      <c r="U2923" s="35"/>
      <c r="V2923" s="35"/>
      <c r="W2923" s="35"/>
      <c r="X2923" s="35"/>
    </row>
    <row r="2924" spans="4:24" x14ac:dyDescent="0.3">
      <c r="D2924" s="23">
        <v>43823</v>
      </c>
      <c r="E2924" s="5">
        <v>300.70608499999997</v>
      </c>
      <c r="F2924" s="28">
        <v>74.837900000000005</v>
      </c>
      <c r="G2924" s="28">
        <v>141.27000000000001</v>
      </c>
      <c r="H2924" s="28">
        <v>206.4743</v>
      </c>
      <c r="I2924" s="28">
        <v>152.97370000000001</v>
      </c>
      <c r="J2924" s="29"/>
      <c r="K2924" s="29"/>
      <c r="L2924" s="29"/>
      <c r="M2924" s="29"/>
      <c r="N2924" s="29"/>
      <c r="P2924" s="4">
        <f t="shared" si="184"/>
        <v>3.0851198451897676E-5</v>
      </c>
      <c r="Q2924" s="4">
        <f t="shared" si="184"/>
        <v>9.5531995174399085E-4</v>
      </c>
      <c r="R2924" s="4">
        <f t="shared" si="184"/>
        <v>9.3877369621104476E-3</v>
      </c>
      <c r="S2924" s="4">
        <f t="shared" si="184"/>
        <v>5.1884319964235631E-4</v>
      </c>
      <c r="T2924" s="4">
        <f t="shared" si="184"/>
        <v>2.20323575807992E-4</v>
      </c>
      <c r="U2924" s="35"/>
      <c r="V2924" s="35"/>
      <c r="W2924" s="35"/>
      <c r="X2924" s="35"/>
    </row>
    <row r="2925" spans="4:24" x14ac:dyDescent="0.3">
      <c r="D2925" s="23">
        <v>43825</v>
      </c>
      <c r="E2925" s="5">
        <v>302.30688500000002</v>
      </c>
      <c r="F2925" s="28">
        <v>74.909329999999997</v>
      </c>
      <c r="G2925" s="28">
        <v>142.38</v>
      </c>
      <c r="H2925" s="28">
        <v>208.2963</v>
      </c>
      <c r="I2925" s="28">
        <v>153.7131</v>
      </c>
      <c r="J2925" s="29"/>
      <c r="K2925" s="29"/>
      <c r="L2925" s="29"/>
      <c r="M2925" s="29"/>
      <c r="N2925" s="29"/>
      <c r="P2925" s="4">
        <f t="shared" si="184"/>
        <v>5.3093510092780778E-3</v>
      </c>
      <c r="Q2925" s="4">
        <f t="shared" si="184"/>
        <v>9.5400770241362291E-4</v>
      </c>
      <c r="R2925" s="4">
        <f t="shared" si="184"/>
        <v>7.8265867521542243E-3</v>
      </c>
      <c r="S2925" s="4">
        <f t="shared" si="184"/>
        <v>8.7856358170259243E-3</v>
      </c>
      <c r="T2925" s="4">
        <f t="shared" si="184"/>
        <v>4.8218666901312735E-3</v>
      </c>
      <c r="U2925" s="35"/>
      <c r="V2925" s="35"/>
      <c r="W2925" s="35"/>
      <c r="X2925" s="35"/>
    </row>
    <row r="2926" spans="4:24" x14ac:dyDescent="0.3">
      <c r="D2926" s="23">
        <v>43826</v>
      </c>
      <c r="E2926" s="5">
        <v>302.231964</v>
      </c>
      <c r="F2926" s="28">
        <v>75.016559999999998</v>
      </c>
      <c r="G2926" s="28">
        <v>142.33000000000001</v>
      </c>
      <c r="H2926" s="28">
        <v>208.12090000000001</v>
      </c>
      <c r="I2926" s="28">
        <v>153.5727</v>
      </c>
      <c r="J2926" s="29"/>
      <c r="K2926" s="29"/>
      <c r="L2926" s="29"/>
      <c r="M2926" s="29"/>
      <c r="N2926" s="29"/>
      <c r="P2926" s="4">
        <f t="shared" si="184"/>
        <v>-2.4786165688947846E-4</v>
      </c>
      <c r="Q2926" s="4">
        <f t="shared" si="184"/>
        <v>1.4304403099977333E-3</v>
      </c>
      <c r="R2926" s="4">
        <f t="shared" si="184"/>
        <v>-3.5123459319313818E-4</v>
      </c>
      <c r="S2926" s="4">
        <f t="shared" si="184"/>
        <v>-8.424244261434552E-4</v>
      </c>
      <c r="T2926" s="4">
        <f t="shared" si="184"/>
        <v>-9.1380734007245174E-4</v>
      </c>
      <c r="U2926" s="35"/>
      <c r="V2926" s="35"/>
      <c r="W2926" s="35"/>
      <c r="X2926" s="35"/>
    </row>
    <row r="2927" spans="4:24" x14ac:dyDescent="0.3">
      <c r="D2927" s="23">
        <v>43829</v>
      </c>
      <c r="E2927" s="5">
        <v>300.565674</v>
      </c>
      <c r="F2927" s="28">
        <v>74.989750000000001</v>
      </c>
      <c r="G2927" s="28">
        <v>142.63</v>
      </c>
      <c r="H2927" s="28">
        <v>206.7569</v>
      </c>
      <c r="I2927" s="28">
        <v>152.7397</v>
      </c>
      <c r="J2927" s="29"/>
      <c r="K2927" s="29"/>
      <c r="L2927" s="29"/>
      <c r="M2927" s="29"/>
      <c r="N2927" s="29"/>
      <c r="P2927" s="4">
        <f t="shared" si="184"/>
        <v>-5.5285360761059129E-3</v>
      </c>
      <c r="Q2927" s="4">
        <f t="shared" si="184"/>
        <v>-3.5745163367410099E-4</v>
      </c>
      <c r="R2927" s="4">
        <f t="shared" si="184"/>
        <v>2.1055594527968177E-3</v>
      </c>
      <c r="S2927" s="4">
        <f t="shared" si="184"/>
        <v>-6.5754538543923843E-3</v>
      </c>
      <c r="T2927" s="4">
        <f t="shared" si="184"/>
        <v>-5.4389052056742857E-3</v>
      </c>
      <c r="U2927" s="35"/>
      <c r="V2927" s="35"/>
      <c r="W2927" s="35"/>
      <c r="X2927" s="35"/>
    </row>
    <row r="2928" spans="4:24" x14ac:dyDescent="0.3">
      <c r="D2928" s="23">
        <v>43830</v>
      </c>
      <c r="E2928" s="5">
        <v>301.29589800000002</v>
      </c>
      <c r="F2928" s="28">
        <v>74.909329999999997</v>
      </c>
      <c r="G2928" s="28">
        <v>142.9</v>
      </c>
      <c r="H2928" s="28">
        <v>207.14660000000001</v>
      </c>
      <c r="I2928" s="28">
        <v>153.1422</v>
      </c>
      <c r="J2928" s="29"/>
      <c r="K2928" s="29"/>
      <c r="L2928" s="29"/>
      <c r="M2928" s="29"/>
      <c r="N2928" s="29"/>
      <c r="P2928" s="4">
        <f t="shared" si="184"/>
        <v>2.4265525239618065E-3</v>
      </c>
      <c r="Q2928" s="4">
        <f t="shared" si="184"/>
        <v>-1.0729886763236039E-3</v>
      </c>
      <c r="R2928" s="4">
        <f t="shared" si="184"/>
        <v>1.8912204004909294E-3</v>
      </c>
      <c r="S2928" s="4">
        <f t="shared" si="184"/>
        <v>1.8830481750076254E-3</v>
      </c>
      <c r="T2928" s="4">
        <f t="shared" si="184"/>
        <v>2.6317361851795071E-3</v>
      </c>
      <c r="U2928" s="35"/>
      <c r="V2928" s="35"/>
      <c r="W2928" s="35"/>
      <c r="X2928" s="35"/>
    </row>
    <row r="2929" spans="4:24" x14ac:dyDescent="0.3">
      <c r="D2929" s="23">
        <v>43832</v>
      </c>
      <c r="E2929" s="5">
        <v>304.11355600000002</v>
      </c>
      <c r="F2929" s="28">
        <v>75.00761</v>
      </c>
      <c r="G2929" s="28">
        <v>143.94999999999999</v>
      </c>
      <c r="H2929" s="28">
        <v>210.6054</v>
      </c>
      <c r="I2929" s="28">
        <v>154.4151</v>
      </c>
      <c r="J2929" s="29"/>
      <c r="K2929" s="29"/>
      <c r="L2929" s="29"/>
      <c r="M2929" s="29"/>
      <c r="N2929" s="29"/>
      <c r="P2929" s="4">
        <f t="shared" si="184"/>
        <v>9.3083394256949746E-3</v>
      </c>
      <c r="Q2929" s="4">
        <f t="shared" si="184"/>
        <v>1.311126202002666E-3</v>
      </c>
      <c r="R2929" s="4">
        <f t="shared" si="184"/>
        <v>7.3209321223630516E-3</v>
      </c>
      <c r="S2929" s="4">
        <f t="shared" si="184"/>
        <v>1.6559485235208459E-2</v>
      </c>
      <c r="T2929" s="4">
        <f t="shared" si="184"/>
        <v>8.2775292147799547E-3</v>
      </c>
      <c r="U2929" s="35"/>
      <c r="V2929" s="35"/>
      <c r="W2929" s="35"/>
      <c r="X2929" s="35"/>
    </row>
    <row r="2930" spans="4:24" x14ac:dyDescent="0.3">
      <c r="D2930" s="23">
        <v>43833</v>
      </c>
      <c r="E2930" s="5">
        <v>301.81076000000002</v>
      </c>
      <c r="F2930" s="28">
        <v>75.275570000000002</v>
      </c>
      <c r="G2930" s="28">
        <v>145.86000000000001</v>
      </c>
      <c r="H2930" s="28">
        <v>208.67619999999999</v>
      </c>
      <c r="I2930" s="28">
        <v>153.4323</v>
      </c>
      <c r="J2930" s="29"/>
      <c r="K2930" s="29"/>
      <c r="L2930" s="29"/>
      <c r="M2930" s="29"/>
      <c r="N2930" s="29"/>
      <c r="P2930" s="4">
        <f t="shared" si="184"/>
        <v>-7.6009726830353437E-3</v>
      </c>
      <c r="Q2930" s="4">
        <f t="shared" si="184"/>
        <v>3.5660715186829886E-3</v>
      </c>
      <c r="R2930" s="4">
        <f t="shared" si="184"/>
        <v>1.3181240497902201E-2</v>
      </c>
      <c r="S2930" s="4">
        <f t="shared" si="184"/>
        <v>-9.2024721074580994E-3</v>
      </c>
      <c r="T2930" s="4">
        <f t="shared" si="184"/>
        <v>-6.3850033420379884E-3</v>
      </c>
      <c r="U2930" s="35"/>
      <c r="V2930" s="35"/>
      <c r="W2930" s="35"/>
      <c r="X2930" s="35"/>
    </row>
    <row r="2931" spans="4:24" x14ac:dyDescent="0.3">
      <c r="D2931" s="23">
        <v>43836</v>
      </c>
      <c r="E2931" s="5">
        <v>302.96215799999999</v>
      </c>
      <c r="F2931" s="28">
        <v>75.186239999999998</v>
      </c>
      <c r="G2931" s="28">
        <v>147.38999999999999</v>
      </c>
      <c r="H2931" s="28">
        <v>210.02080000000001</v>
      </c>
      <c r="I2931" s="28">
        <v>153.9564</v>
      </c>
      <c r="J2931" s="29"/>
      <c r="K2931" s="29"/>
      <c r="L2931" s="29"/>
      <c r="M2931" s="29"/>
      <c r="N2931" s="29"/>
      <c r="P2931" s="4">
        <f t="shared" si="184"/>
        <v>3.8077081723486795E-3</v>
      </c>
      <c r="Q2931" s="4">
        <f t="shared" si="184"/>
        <v>-1.187411084525337E-3</v>
      </c>
      <c r="R2931" s="4">
        <f t="shared" si="184"/>
        <v>1.0434877292579494E-2</v>
      </c>
      <c r="S2931" s="4">
        <f t="shared" si="184"/>
        <v>6.422805142292114E-3</v>
      </c>
      <c r="T2931" s="4">
        <f t="shared" si="184"/>
        <v>3.4100180511681295E-3</v>
      </c>
      <c r="U2931" s="35"/>
      <c r="V2931" s="35"/>
      <c r="W2931" s="35"/>
      <c r="X2931" s="35"/>
    </row>
    <row r="2932" spans="4:24" x14ac:dyDescent="0.3">
      <c r="D2932" s="23">
        <v>43837</v>
      </c>
      <c r="E2932" s="5">
        <v>302.110321</v>
      </c>
      <c r="F2932" s="28">
        <v>75.123760000000004</v>
      </c>
      <c r="G2932" s="28">
        <v>147.97</v>
      </c>
      <c r="H2932" s="28">
        <v>209.99160000000001</v>
      </c>
      <c r="I2932" s="28">
        <v>153.59139999999999</v>
      </c>
      <c r="J2932" s="29"/>
      <c r="K2932" s="29"/>
      <c r="L2932" s="29"/>
      <c r="M2932" s="29"/>
      <c r="N2932" s="29"/>
      <c r="P2932" s="4">
        <f t="shared" si="184"/>
        <v>-2.8156546276298898E-3</v>
      </c>
      <c r="Q2932" s="4">
        <f t="shared" si="184"/>
        <v>-8.3134859421907399E-4</v>
      </c>
      <c r="R2932" s="4">
        <f t="shared" si="184"/>
        <v>3.9274156657764766E-3</v>
      </c>
      <c r="S2932" s="4">
        <f t="shared" si="184"/>
        <v>-1.3904351417741824E-4</v>
      </c>
      <c r="T2932" s="4">
        <f t="shared" si="184"/>
        <v>-2.3736158825982878E-3</v>
      </c>
      <c r="U2932" s="35"/>
      <c r="V2932" s="35"/>
      <c r="W2932" s="35"/>
      <c r="X2932" s="35"/>
    </row>
    <row r="2933" spans="4:24" x14ac:dyDescent="0.3">
      <c r="D2933" s="23">
        <v>43838</v>
      </c>
      <c r="E2933" s="5">
        <v>303.72042800000003</v>
      </c>
      <c r="F2933" s="28">
        <v>75.00761</v>
      </c>
      <c r="G2933" s="28">
        <v>146.86000000000001</v>
      </c>
      <c r="H2933" s="28">
        <v>211.57</v>
      </c>
      <c r="I2933" s="28">
        <v>154.34950000000001</v>
      </c>
      <c r="J2933" s="29"/>
      <c r="K2933" s="29"/>
      <c r="L2933" s="29"/>
      <c r="M2933" s="29"/>
      <c r="N2933" s="29"/>
      <c r="P2933" s="4">
        <f t="shared" ref="P2933:T2948" si="185">LN(E2933/E2932)</f>
        <v>5.3153815436287524E-3</v>
      </c>
      <c r="Q2933" s="4">
        <f t="shared" si="185"/>
        <v>-1.5473118399387442E-3</v>
      </c>
      <c r="R2933" s="4">
        <f t="shared" si="185"/>
        <v>-7.5297984909783039E-3</v>
      </c>
      <c r="S2933" s="4">
        <f t="shared" si="185"/>
        <v>7.4883830777787101E-3</v>
      </c>
      <c r="T2933" s="4">
        <f t="shared" si="185"/>
        <v>4.923681989163816E-3</v>
      </c>
      <c r="U2933" s="35"/>
      <c r="V2933" s="35"/>
      <c r="W2933" s="35"/>
      <c r="X2933" s="35"/>
    </row>
    <row r="2934" spans="4:24" x14ac:dyDescent="0.3">
      <c r="D2934" s="23">
        <v>43839</v>
      </c>
      <c r="E2934" s="5">
        <v>305.779785</v>
      </c>
      <c r="F2934" s="28">
        <v>75.096940000000004</v>
      </c>
      <c r="G2934" s="28">
        <v>146.03</v>
      </c>
      <c r="H2934" s="28">
        <v>213.36269999999999</v>
      </c>
      <c r="I2934" s="28">
        <v>155.31360000000001</v>
      </c>
      <c r="J2934" s="29"/>
      <c r="K2934" s="29"/>
      <c r="L2934" s="29"/>
      <c r="M2934" s="29"/>
      <c r="N2934" s="29"/>
      <c r="P2934" s="4">
        <f t="shared" si="185"/>
        <v>6.7575524756126708E-3</v>
      </c>
      <c r="Q2934" s="4">
        <f t="shared" si="185"/>
        <v>1.190237211941797E-3</v>
      </c>
      <c r="R2934" s="4">
        <f t="shared" si="185"/>
        <v>-5.6676719710844524E-3</v>
      </c>
      <c r="S2934" s="4">
        <f t="shared" si="185"/>
        <v>8.4376214666294549E-3</v>
      </c>
      <c r="T2934" s="4">
        <f t="shared" si="185"/>
        <v>6.2267872089100196E-3</v>
      </c>
      <c r="U2934" s="35"/>
      <c r="V2934" s="35"/>
      <c r="W2934" s="35"/>
      <c r="X2934" s="35"/>
    </row>
    <row r="2935" spans="4:24" x14ac:dyDescent="0.3">
      <c r="D2935" s="23">
        <v>43840</v>
      </c>
      <c r="E2935" s="5">
        <v>304.899902</v>
      </c>
      <c r="F2935" s="28">
        <v>75.221990000000005</v>
      </c>
      <c r="G2935" s="28">
        <v>146.91</v>
      </c>
      <c r="H2935" s="28">
        <v>212.81700000000001</v>
      </c>
      <c r="I2935" s="28">
        <v>154.86429999999999</v>
      </c>
      <c r="J2935" s="29"/>
      <c r="K2935" s="29"/>
      <c r="L2935" s="29"/>
      <c r="M2935" s="29"/>
      <c r="N2935" s="29"/>
      <c r="P2935" s="4">
        <f t="shared" si="185"/>
        <v>-2.8816534350308873E-3</v>
      </c>
      <c r="Q2935" s="4">
        <f t="shared" si="185"/>
        <v>1.663796154578015E-3</v>
      </c>
      <c r="R2935" s="4">
        <f t="shared" si="185"/>
        <v>6.0080743299556465E-3</v>
      </c>
      <c r="S2935" s="4">
        <f t="shared" si="185"/>
        <v>-2.560892967135027E-3</v>
      </c>
      <c r="T2935" s="4">
        <f t="shared" si="185"/>
        <v>-2.8970491723873315E-3</v>
      </c>
      <c r="U2935" s="35"/>
      <c r="V2935" s="35"/>
      <c r="W2935" s="35"/>
      <c r="X2935" s="35"/>
    </row>
    <row r="2936" spans="4:24" x14ac:dyDescent="0.3">
      <c r="D2936" s="23">
        <v>43843</v>
      </c>
      <c r="E2936" s="5">
        <v>306.996735</v>
      </c>
      <c r="F2936" s="28">
        <v>75.177310000000006</v>
      </c>
      <c r="G2936" s="28">
        <v>145.82</v>
      </c>
      <c r="H2936" s="28">
        <v>215.2723</v>
      </c>
      <c r="I2936" s="28">
        <v>155.922</v>
      </c>
      <c r="J2936" s="29"/>
      <c r="K2936" s="29"/>
      <c r="L2936" s="29"/>
      <c r="M2936" s="29"/>
      <c r="N2936" s="29"/>
      <c r="P2936" s="4">
        <f t="shared" si="185"/>
        <v>6.8535797741906416E-3</v>
      </c>
      <c r="Q2936" s="4">
        <f t="shared" si="185"/>
        <v>-5.9415171898264296E-4</v>
      </c>
      <c r="R2936" s="4">
        <f t="shared" si="185"/>
        <v>-7.4471700040514644E-3</v>
      </c>
      <c r="S2936" s="4">
        <f t="shared" si="185"/>
        <v>1.1471096911538151E-2</v>
      </c>
      <c r="T2936" s="4">
        <f t="shared" si="185"/>
        <v>6.8066326194049492E-3</v>
      </c>
      <c r="U2936" s="35"/>
      <c r="V2936" s="35"/>
      <c r="W2936" s="35"/>
      <c r="X2936" s="35"/>
    </row>
    <row r="2937" spans="4:24" x14ac:dyDescent="0.3">
      <c r="D2937" s="23">
        <v>43844</v>
      </c>
      <c r="E2937" s="5">
        <v>306.52874800000001</v>
      </c>
      <c r="F2937" s="28">
        <v>75.284520000000001</v>
      </c>
      <c r="G2937" s="28">
        <v>145.69</v>
      </c>
      <c r="H2937" s="28">
        <v>214.4247</v>
      </c>
      <c r="I2937" s="28">
        <v>155.83770000000001</v>
      </c>
      <c r="J2937" s="29"/>
      <c r="K2937" s="29"/>
      <c r="L2937" s="29"/>
      <c r="M2937" s="29"/>
      <c r="N2937" s="29"/>
      <c r="P2937" s="4">
        <f t="shared" si="185"/>
        <v>-1.5255669201414484E-3</v>
      </c>
      <c r="Q2937" s="4">
        <f t="shared" si="185"/>
        <v>1.4250792794951114E-3</v>
      </c>
      <c r="R2937" s="4">
        <f t="shared" si="185"/>
        <v>-8.9190771237975853E-4</v>
      </c>
      <c r="S2937" s="4">
        <f t="shared" si="185"/>
        <v>-3.9451106213433621E-3</v>
      </c>
      <c r="T2937" s="4">
        <f t="shared" si="185"/>
        <v>-5.4080114944013425E-4</v>
      </c>
      <c r="U2937" s="35"/>
      <c r="V2937" s="35"/>
      <c r="W2937" s="35"/>
      <c r="X2937" s="35"/>
    </row>
    <row r="2938" spans="4:24" x14ac:dyDescent="0.3">
      <c r="D2938" s="23">
        <v>43845</v>
      </c>
      <c r="E2938" s="5">
        <v>307.22143599999998</v>
      </c>
      <c r="F2938" s="28">
        <v>75.400639999999996</v>
      </c>
      <c r="G2938" s="28">
        <v>146.54</v>
      </c>
      <c r="H2938" s="28">
        <v>214.51230000000001</v>
      </c>
      <c r="I2938" s="28">
        <v>156.22149999999999</v>
      </c>
      <c r="J2938" s="29"/>
      <c r="K2938" s="29"/>
      <c r="L2938" s="29"/>
      <c r="M2938" s="29"/>
      <c r="N2938" s="29"/>
      <c r="P2938" s="4">
        <f t="shared" si="185"/>
        <v>2.2572320535852604E-3</v>
      </c>
      <c r="Q2938" s="4">
        <f t="shared" si="185"/>
        <v>1.5412270589322146E-3</v>
      </c>
      <c r="R2938" s="4">
        <f t="shared" si="185"/>
        <v>5.817352065913264E-3</v>
      </c>
      <c r="S2938" s="4">
        <f t="shared" si="185"/>
        <v>4.0845159647169435E-4</v>
      </c>
      <c r="T2938" s="4">
        <f t="shared" si="185"/>
        <v>2.4597909211932761E-3</v>
      </c>
      <c r="U2938" s="35"/>
      <c r="V2938" s="35"/>
      <c r="W2938" s="35"/>
      <c r="X2938" s="35"/>
    </row>
    <row r="2939" spans="4:24" x14ac:dyDescent="0.3">
      <c r="D2939" s="23">
        <v>43846</v>
      </c>
      <c r="E2939" s="5">
        <v>309.777039</v>
      </c>
      <c r="F2939" s="28">
        <v>75.355969999999999</v>
      </c>
      <c r="G2939" s="28">
        <v>146.31</v>
      </c>
      <c r="H2939" s="28">
        <v>216.56809999999999</v>
      </c>
      <c r="I2939" s="28">
        <v>157.5599</v>
      </c>
      <c r="J2939" s="29"/>
      <c r="K2939" s="29"/>
      <c r="L2939" s="29"/>
      <c r="M2939" s="29"/>
      <c r="N2939" s="29"/>
      <c r="P2939" s="4">
        <f t="shared" si="185"/>
        <v>8.2840321927158626E-3</v>
      </c>
      <c r="Q2939" s="4">
        <f t="shared" si="185"/>
        <v>-5.9261084880182985E-4</v>
      </c>
      <c r="R2939" s="4">
        <f t="shared" si="185"/>
        <v>-1.5707703417468385E-3</v>
      </c>
      <c r="S2939" s="4">
        <f t="shared" si="185"/>
        <v>9.5379682543663396E-3</v>
      </c>
      <c r="T2939" s="4">
        <f t="shared" si="185"/>
        <v>8.5308314440434123E-3</v>
      </c>
      <c r="U2939" s="35"/>
      <c r="V2939" s="35"/>
      <c r="W2939" s="35"/>
      <c r="X2939" s="35"/>
    </row>
    <row r="2940" spans="4:24" x14ac:dyDescent="0.3">
      <c r="D2940" s="23">
        <v>43847</v>
      </c>
      <c r="E2940" s="5">
        <v>310.74117999999999</v>
      </c>
      <c r="F2940" s="28">
        <v>75.347059999999999</v>
      </c>
      <c r="G2940" s="28">
        <v>146.58000000000001</v>
      </c>
      <c r="H2940" s="28">
        <v>217.63990000000001</v>
      </c>
      <c r="I2940" s="28">
        <v>157.953</v>
      </c>
      <c r="J2940" s="29"/>
      <c r="K2940" s="29"/>
      <c r="L2940" s="29"/>
      <c r="M2940" s="29"/>
      <c r="N2940" s="29"/>
      <c r="P2940" s="4">
        <f t="shared" si="185"/>
        <v>3.1075373658781156E-3</v>
      </c>
      <c r="Q2940" s="4">
        <f t="shared" si="185"/>
        <v>-1.1824579784997366E-4</v>
      </c>
      <c r="R2940" s="4">
        <f t="shared" si="185"/>
        <v>1.8436961076333095E-3</v>
      </c>
      <c r="S2940" s="4">
        <f t="shared" si="185"/>
        <v>4.9368145075044294E-3</v>
      </c>
      <c r="T2940" s="4">
        <f t="shared" si="185"/>
        <v>2.4918169963981489E-3</v>
      </c>
      <c r="U2940" s="35"/>
      <c r="V2940" s="35"/>
      <c r="W2940" s="35"/>
      <c r="X2940" s="35"/>
    </row>
    <row r="2941" spans="4:24" x14ac:dyDescent="0.3">
      <c r="D2941" s="23">
        <v>43851</v>
      </c>
      <c r="E2941" s="5">
        <v>310.132721</v>
      </c>
      <c r="F2941" s="28">
        <v>75.534630000000007</v>
      </c>
      <c r="G2941" s="28">
        <v>146.74</v>
      </c>
      <c r="H2941" s="28">
        <v>217.54239999999999</v>
      </c>
      <c r="I2941" s="28">
        <v>157.61609999999999</v>
      </c>
      <c r="J2941" s="29"/>
      <c r="K2941" s="29"/>
      <c r="L2941" s="29"/>
      <c r="M2941" s="29"/>
      <c r="N2941" s="29"/>
      <c r="P2941" s="4">
        <f t="shared" si="185"/>
        <v>-1.9600089287365283E-3</v>
      </c>
      <c r="Q2941" s="4">
        <f t="shared" si="185"/>
        <v>2.486320197321536E-3</v>
      </c>
      <c r="R2941" s="4">
        <f t="shared" si="185"/>
        <v>1.090958788144174E-3</v>
      </c>
      <c r="S2941" s="4">
        <f t="shared" si="185"/>
        <v>-4.4808808460908994E-4</v>
      </c>
      <c r="T2941" s="4">
        <f t="shared" si="185"/>
        <v>-2.1351908535724808E-3</v>
      </c>
      <c r="U2941" s="35"/>
      <c r="V2941" s="35"/>
      <c r="W2941" s="35"/>
      <c r="X2941" s="35"/>
    </row>
    <row r="2942" spans="4:24" x14ac:dyDescent="0.3">
      <c r="D2942" s="23">
        <v>43852</v>
      </c>
      <c r="E2942" s="5">
        <v>310.17013500000002</v>
      </c>
      <c r="F2942" s="28">
        <v>75.597170000000006</v>
      </c>
      <c r="G2942" s="28">
        <v>146.79</v>
      </c>
      <c r="H2942" s="28">
        <v>218.1172</v>
      </c>
      <c r="I2942" s="28">
        <v>157.7097</v>
      </c>
      <c r="J2942" s="29"/>
      <c r="K2942" s="29"/>
      <c r="L2942" s="29"/>
      <c r="M2942" s="29"/>
      <c r="N2942" s="29"/>
      <c r="P2942" s="4">
        <f t="shared" si="185"/>
        <v>1.206313970135031E-4</v>
      </c>
      <c r="Q2942" s="4">
        <f t="shared" si="185"/>
        <v>8.2762203017192992E-4</v>
      </c>
      <c r="R2942" s="4">
        <f t="shared" si="185"/>
        <v>3.4068068329352668E-4</v>
      </c>
      <c r="S2942" s="4">
        <f t="shared" si="185"/>
        <v>2.6387589463425943E-3</v>
      </c>
      <c r="T2942" s="4">
        <f t="shared" si="185"/>
        <v>5.9367170557620319E-4</v>
      </c>
      <c r="U2942" s="35"/>
      <c r="V2942" s="35"/>
      <c r="W2942" s="35"/>
      <c r="X2942" s="35"/>
    </row>
    <row r="2943" spans="4:24" x14ac:dyDescent="0.3">
      <c r="D2943" s="23">
        <v>43853</v>
      </c>
      <c r="E2943" s="5">
        <v>310.525848</v>
      </c>
      <c r="F2943" s="28">
        <v>75.73115</v>
      </c>
      <c r="G2943" s="28">
        <v>147.12</v>
      </c>
      <c r="H2943" s="28">
        <v>218.81880000000001</v>
      </c>
      <c r="I2943" s="28">
        <v>157.88749999999999</v>
      </c>
      <c r="J2943" s="29"/>
      <c r="K2943" s="29"/>
      <c r="L2943" s="29"/>
      <c r="M2943" s="29"/>
      <c r="N2943" s="29"/>
      <c r="P2943" s="4">
        <f t="shared" si="185"/>
        <v>1.1461747737528893E-3</v>
      </c>
      <c r="Q2943" s="4">
        <f t="shared" si="185"/>
        <v>1.7707199155753007E-3</v>
      </c>
      <c r="R2943" s="4">
        <f t="shared" si="185"/>
        <v>2.2455863269239167E-3</v>
      </c>
      <c r="S2943" s="4">
        <f t="shared" si="185"/>
        <v>3.2114570691970041E-3</v>
      </c>
      <c r="T2943" s="4">
        <f t="shared" si="185"/>
        <v>1.1267528280403402E-3</v>
      </c>
      <c r="U2943" s="35"/>
      <c r="V2943" s="35"/>
      <c r="W2943" s="35"/>
      <c r="X2943" s="35"/>
    </row>
    <row r="2944" spans="4:24" x14ac:dyDescent="0.3">
      <c r="D2944" s="23">
        <v>43854</v>
      </c>
      <c r="E2944" s="5">
        <v>307.764343</v>
      </c>
      <c r="F2944" s="28">
        <v>75.847279999999998</v>
      </c>
      <c r="G2944" s="28">
        <v>147.97999999999999</v>
      </c>
      <c r="H2944" s="28">
        <v>216.97730000000001</v>
      </c>
      <c r="I2944" s="28">
        <v>156.38990000000001</v>
      </c>
      <c r="J2944" s="29"/>
      <c r="K2944" s="29"/>
      <c r="L2944" s="29"/>
      <c r="M2944" s="29"/>
      <c r="N2944" s="29"/>
      <c r="P2944" s="4">
        <f t="shared" si="185"/>
        <v>-8.9327742956483054E-3</v>
      </c>
      <c r="Q2944" s="4">
        <f t="shared" si="185"/>
        <v>1.532276363088415E-3</v>
      </c>
      <c r="R2944" s="4">
        <f t="shared" si="185"/>
        <v>5.8285492013390606E-3</v>
      </c>
      <c r="S2944" s="4">
        <f t="shared" si="185"/>
        <v>-8.4512503004887923E-3</v>
      </c>
      <c r="T2944" s="4">
        <f t="shared" si="185"/>
        <v>-9.5305060792470458E-3</v>
      </c>
      <c r="U2944" s="35"/>
      <c r="V2944" s="35"/>
      <c r="W2944" s="35"/>
      <c r="X2944" s="35"/>
    </row>
    <row r="2945" spans="4:24" x14ac:dyDescent="0.3">
      <c r="D2945" s="23">
        <v>43857</v>
      </c>
      <c r="E2945" s="5">
        <v>302.83102400000001</v>
      </c>
      <c r="F2945" s="28">
        <v>76.097399999999993</v>
      </c>
      <c r="G2945" s="28">
        <v>148.99</v>
      </c>
      <c r="H2945" s="28">
        <v>212.49549999999999</v>
      </c>
      <c r="I2945" s="28">
        <v>154.04069999999999</v>
      </c>
      <c r="J2945" s="29"/>
      <c r="K2945" s="29"/>
      <c r="L2945" s="29"/>
      <c r="M2945" s="29"/>
      <c r="N2945" s="29"/>
      <c r="P2945" s="4">
        <f t="shared" si="185"/>
        <v>-1.6159396607611239E-2</v>
      </c>
      <c r="Q2945" s="4">
        <f t="shared" si="185"/>
        <v>3.2922538113146172E-3</v>
      </c>
      <c r="R2945" s="4">
        <f t="shared" si="185"/>
        <v>6.8020601018430119E-3</v>
      </c>
      <c r="S2945" s="4">
        <f t="shared" si="185"/>
        <v>-2.0871928104040819E-2</v>
      </c>
      <c r="T2945" s="4">
        <f t="shared" si="185"/>
        <v>-1.5135394810249154E-2</v>
      </c>
      <c r="U2945" s="35"/>
      <c r="V2945" s="35"/>
      <c r="W2945" s="35"/>
      <c r="X2945" s="35"/>
    </row>
    <row r="2946" spans="4:24" x14ac:dyDescent="0.3">
      <c r="D2946" s="23">
        <v>43858</v>
      </c>
      <c r="E2946" s="5">
        <v>306.00457799999998</v>
      </c>
      <c r="F2946" s="28">
        <v>75.963390000000004</v>
      </c>
      <c r="G2946" s="28">
        <v>147.66</v>
      </c>
      <c r="H2946" s="28">
        <v>215.7594</v>
      </c>
      <c r="I2946" s="28">
        <v>155.52889999999999</v>
      </c>
      <c r="J2946" s="29"/>
      <c r="K2946" s="29"/>
      <c r="L2946" s="29"/>
      <c r="M2946" s="29"/>
      <c r="N2946" s="29"/>
      <c r="P2946" s="4">
        <f t="shared" si="185"/>
        <v>1.042508924248484E-2</v>
      </c>
      <c r="Q2946" s="4">
        <f t="shared" si="185"/>
        <v>-1.762585012140548E-3</v>
      </c>
      <c r="R2946" s="4">
        <f t="shared" si="185"/>
        <v>-8.9668559682283891E-3</v>
      </c>
      <c r="S2946" s="4">
        <f t="shared" si="185"/>
        <v>1.5243086290318673E-2</v>
      </c>
      <c r="T2946" s="4">
        <f t="shared" si="185"/>
        <v>9.6147132303633451E-3</v>
      </c>
      <c r="U2946" s="35"/>
      <c r="V2946" s="35"/>
      <c r="W2946" s="35"/>
      <c r="X2946" s="35"/>
    </row>
    <row r="2947" spans="4:24" x14ac:dyDescent="0.3">
      <c r="D2947" s="23">
        <v>43859</v>
      </c>
      <c r="E2947" s="5">
        <v>305.75173999999998</v>
      </c>
      <c r="F2947" s="28">
        <v>76.177779999999998</v>
      </c>
      <c r="G2947" s="28">
        <v>148.46</v>
      </c>
      <c r="H2947" s="28">
        <v>216.11019999999999</v>
      </c>
      <c r="I2947" s="28">
        <v>155.42590000000001</v>
      </c>
      <c r="J2947" s="29"/>
      <c r="K2947" s="29"/>
      <c r="L2947" s="29"/>
      <c r="M2947" s="29"/>
      <c r="N2947" s="29"/>
      <c r="P2947" s="4">
        <f t="shared" si="185"/>
        <v>-8.2659714973712557E-4</v>
      </c>
      <c r="Q2947" s="4">
        <f t="shared" si="185"/>
        <v>2.818305418652117E-3</v>
      </c>
      <c r="R2947" s="4">
        <f t="shared" si="185"/>
        <v>5.4032280583814173E-3</v>
      </c>
      <c r="S2947" s="4">
        <f t="shared" si="185"/>
        <v>1.6245648091596477E-3</v>
      </c>
      <c r="T2947" s="4">
        <f t="shared" si="185"/>
        <v>-6.6247572809284441E-4</v>
      </c>
      <c r="U2947" s="35"/>
      <c r="V2947" s="35"/>
      <c r="W2947" s="35"/>
      <c r="X2947" s="35"/>
    </row>
    <row r="2948" spans="4:24" x14ac:dyDescent="0.3">
      <c r="D2948" s="23">
        <v>43860</v>
      </c>
      <c r="E2948" s="5">
        <v>306.743988</v>
      </c>
      <c r="F2948" s="28">
        <v>76.195639999999997</v>
      </c>
      <c r="G2948" s="28">
        <v>148.47</v>
      </c>
      <c r="H2948" s="28">
        <v>216.87989999999999</v>
      </c>
      <c r="I2948" s="28">
        <v>155.80029999999999</v>
      </c>
      <c r="J2948" s="29"/>
      <c r="K2948" s="29"/>
      <c r="L2948" s="29"/>
      <c r="M2948" s="29"/>
      <c r="N2948" s="29"/>
      <c r="P2948" s="4">
        <f t="shared" si="185"/>
        <v>3.2400189019065992E-3</v>
      </c>
      <c r="Q2948" s="4">
        <f t="shared" si="185"/>
        <v>2.3442408894918485E-4</v>
      </c>
      <c r="R2948" s="4">
        <f t="shared" si="185"/>
        <v>6.7355942503391286E-5</v>
      </c>
      <c r="S2948" s="4">
        <f t="shared" si="185"/>
        <v>3.5552813366963496E-3</v>
      </c>
      <c r="T2948" s="4">
        <f t="shared" si="185"/>
        <v>2.4059682674973546E-3</v>
      </c>
      <c r="U2948" s="35"/>
      <c r="V2948" s="35"/>
      <c r="W2948" s="35"/>
      <c r="X2948" s="35"/>
    </row>
    <row r="2949" spans="4:24" x14ac:dyDescent="0.3">
      <c r="D2949" s="23">
        <v>43861</v>
      </c>
      <c r="E2949" s="5">
        <v>301.17416400000002</v>
      </c>
      <c r="F2949" s="28">
        <v>76.392150000000001</v>
      </c>
      <c r="G2949" s="28">
        <v>149.33000000000001</v>
      </c>
      <c r="H2949" s="28">
        <v>213.44059999999999</v>
      </c>
      <c r="I2949" s="28">
        <v>153.04849999999999</v>
      </c>
      <c r="J2949" s="29"/>
      <c r="K2949" s="29"/>
      <c r="L2949" s="29"/>
      <c r="M2949" s="29"/>
      <c r="N2949" s="29"/>
      <c r="P2949" s="4">
        <f t="shared" ref="P2949:T2964" si="186">LN(E2949/E2948)</f>
        <v>-1.8324769022692314E-2</v>
      </c>
      <c r="Q2949" s="4">
        <f t="shared" si="186"/>
        <v>2.5756989945390127E-3</v>
      </c>
      <c r="R2949" s="4">
        <f t="shared" si="186"/>
        <v>5.7757044372730099E-3</v>
      </c>
      <c r="S2949" s="4">
        <f t="shared" si="186"/>
        <v>-1.5985170288072569E-2</v>
      </c>
      <c r="T2949" s="4">
        <f t="shared" si="186"/>
        <v>-1.7820194355690464E-2</v>
      </c>
      <c r="U2949" s="35"/>
      <c r="V2949" s="35"/>
      <c r="W2949" s="35"/>
      <c r="X2949" s="35"/>
    </row>
    <row r="2950" spans="4:24" x14ac:dyDescent="0.3">
      <c r="D2950" s="23">
        <v>43864</v>
      </c>
      <c r="E2950" s="5">
        <v>303.41146900000001</v>
      </c>
      <c r="F2950" s="28">
        <v>76.323250000000002</v>
      </c>
      <c r="G2950" s="28">
        <v>148.36000000000001</v>
      </c>
      <c r="H2950" s="28">
        <v>216.66550000000001</v>
      </c>
      <c r="I2950" s="28">
        <v>154.3963</v>
      </c>
      <c r="J2950" s="29"/>
      <c r="K2950" s="29"/>
      <c r="L2950" s="29"/>
      <c r="M2950" s="29"/>
      <c r="N2950" s="29"/>
      <c r="P2950" s="4">
        <f t="shared" si="186"/>
        <v>7.4011524277796652E-3</v>
      </c>
      <c r="Q2950" s="4">
        <f t="shared" si="186"/>
        <v>-9.0233211156019852E-4</v>
      </c>
      <c r="R2950" s="4">
        <f t="shared" si="186"/>
        <v>-6.5168694477872203E-3</v>
      </c>
      <c r="S2950" s="4">
        <f t="shared" si="186"/>
        <v>1.4996115773930856E-2</v>
      </c>
      <c r="T2950" s="4">
        <f t="shared" si="186"/>
        <v>8.767808948296223E-3</v>
      </c>
      <c r="U2950" s="35"/>
      <c r="V2950" s="35"/>
      <c r="W2950" s="35"/>
      <c r="X2950" s="35"/>
    </row>
    <row r="2951" spans="4:24" x14ac:dyDescent="0.3">
      <c r="D2951" s="23">
        <v>43865</v>
      </c>
      <c r="E2951" s="5">
        <v>308.03585800000002</v>
      </c>
      <c r="F2951" s="28">
        <v>76.090479999999999</v>
      </c>
      <c r="G2951" s="28">
        <v>146.43</v>
      </c>
      <c r="H2951" s="28">
        <v>221.62469999999999</v>
      </c>
      <c r="I2951" s="28">
        <v>156.82990000000001</v>
      </c>
      <c r="J2951" s="29"/>
      <c r="K2951" s="29"/>
      <c r="L2951" s="29"/>
      <c r="M2951" s="29"/>
      <c r="N2951" s="29"/>
      <c r="P2951" s="4">
        <f t="shared" si="186"/>
        <v>1.5126330492932447E-2</v>
      </c>
      <c r="Q2951" s="4">
        <f t="shared" si="186"/>
        <v>-3.0544516031769369E-3</v>
      </c>
      <c r="R2951" s="4">
        <f t="shared" si="186"/>
        <v>-1.3094254054224338E-2</v>
      </c>
      <c r="S2951" s="4">
        <f t="shared" si="186"/>
        <v>2.2630721163862388E-2</v>
      </c>
      <c r="T2951" s="4">
        <f t="shared" si="186"/>
        <v>1.5639104940053199E-2</v>
      </c>
      <c r="U2951" s="35"/>
      <c r="V2951" s="35"/>
      <c r="W2951" s="35"/>
      <c r="X2951" s="35"/>
    </row>
    <row r="2952" spans="4:24" x14ac:dyDescent="0.3">
      <c r="D2952" s="23">
        <v>43866</v>
      </c>
      <c r="E2952" s="5">
        <v>311.59301799999997</v>
      </c>
      <c r="F2952" s="28">
        <v>75.965180000000004</v>
      </c>
      <c r="G2952" s="28">
        <v>146.61000000000001</v>
      </c>
      <c r="H2952" s="28">
        <v>222.35550000000001</v>
      </c>
      <c r="I2952" s="28">
        <v>158.3742</v>
      </c>
      <c r="J2952" s="29"/>
      <c r="K2952" s="29"/>
      <c r="L2952" s="29"/>
      <c r="M2952" s="29"/>
      <c r="N2952" s="29"/>
      <c r="P2952" s="4">
        <f t="shared" si="186"/>
        <v>1.1481708538617616E-2</v>
      </c>
      <c r="Q2952" s="4">
        <f t="shared" si="186"/>
        <v>-1.6480810824319294E-3</v>
      </c>
      <c r="R2952" s="4">
        <f t="shared" si="186"/>
        <v>1.2285013830073243E-3</v>
      </c>
      <c r="S2952" s="4">
        <f t="shared" si="186"/>
        <v>3.2920416721556119E-3</v>
      </c>
      <c r="T2952" s="4">
        <f t="shared" si="186"/>
        <v>9.7988088132323313E-3</v>
      </c>
      <c r="U2952" s="35"/>
      <c r="V2952" s="35"/>
      <c r="W2952" s="35"/>
      <c r="X2952" s="35"/>
    </row>
    <row r="2953" spans="4:24" x14ac:dyDescent="0.3">
      <c r="D2953" s="23">
        <v>43867</v>
      </c>
      <c r="E2953" s="5">
        <v>312.641571</v>
      </c>
      <c r="F2953" s="28">
        <v>76.036810000000003</v>
      </c>
      <c r="G2953" s="28">
        <v>147.4</v>
      </c>
      <c r="H2953" s="28">
        <v>224.2748</v>
      </c>
      <c r="I2953" s="28">
        <v>158.8141</v>
      </c>
      <c r="J2953" s="29"/>
      <c r="K2953" s="29"/>
      <c r="L2953" s="29"/>
      <c r="M2953" s="29"/>
      <c r="N2953" s="29"/>
      <c r="P2953" s="4">
        <f t="shared" si="186"/>
        <v>3.3594869770257429E-3</v>
      </c>
      <c r="Q2953" s="4">
        <f t="shared" si="186"/>
        <v>9.4248773061861052E-4</v>
      </c>
      <c r="R2953" s="4">
        <f t="shared" si="186"/>
        <v>5.3739798050630094E-3</v>
      </c>
      <c r="S2953" s="4">
        <f t="shared" si="186"/>
        <v>8.5946332548948803E-3</v>
      </c>
      <c r="T2953" s="4">
        <f t="shared" si="186"/>
        <v>2.7737484770872897E-3</v>
      </c>
      <c r="U2953" s="35"/>
      <c r="V2953" s="35"/>
      <c r="W2953" s="35"/>
      <c r="X2953" s="35"/>
    </row>
    <row r="2954" spans="4:24" x14ac:dyDescent="0.3">
      <c r="D2954" s="23">
        <v>43868</v>
      </c>
      <c r="E2954" s="5">
        <v>310.97521999999998</v>
      </c>
      <c r="F2954" s="28">
        <v>76.269549999999995</v>
      </c>
      <c r="G2954" s="28">
        <v>147.79</v>
      </c>
      <c r="H2954" s="28">
        <v>223.31030000000001</v>
      </c>
      <c r="I2954" s="28">
        <v>157.90629999999999</v>
      </c>
      <c r="J2954" s="29"/>
      <c r="K2954" s="29"/>
      <c r="L2954" s="29"/>
      <c r="M2954" s="29"/>
      <c r="N2954" s="29"/>
      <c r="P2954" s="4">
        <f t="shared" si="186"/>
        <v>-5.3441632424702061E-3</v>
      </c>
      <c r="Q2954" s="4">
        <f t="shared" si="186"/>
        <v>3.0562109311458251E-3</v>
      </c>
      <c r="R2954" s="4">
        <f t="shared" si="186"/>
        <v>2.6423674712449485E-3</v>
      </c>
      <c r="S2954" s="4">
        <f t="shared" si="186"/>
        <v>-4.3098016127709358E-3</v>
      </c>
      <c r="T2954" s="4">
        <f t="shared" si="186"/>
        <v>-5.7325166676338215E-3</v>
      </c>
      <c r="U2954" s="35"/>
      <c r="V2954" s="35"/>
      <c r="W2954" s="35"/>
      <c r="X2954" s="35"/>
    </row>
    <row r="2955" spans="4:24" x14ac:dyDescent="0.3">
      <c r="D2955" s="23">
        <v>43871</v>
      </c>
      <c r="E2955" s="5">
        <v>313.29675300000002</v>
      </c>
      <c r="F2955" s="28">
        <v>76.385930000000002</v>
      </c>
      <c r="G2955" s="28">
        <v>148.16999999999999</v>
      </c>
      <c r="H2955" s="28">
        <v>226.00909999999999</v>
      </c>
      <c r="I2955" s="28">
        <v>159.0668</v>
      </c>
      <c r="J2955" s="29"/>
      <c r="K2955" s="29"/>
      <c r="L2955" s="29"/>
      <c r="M2955" s="29"/>
      <c r="N2955" s="29"/>
      <c r="P2955" s="4">
        <f t="shared" si="186"/>
        <v>7.437603487798752E-3</v>
      </c>
      <c r="Q2955" s="4">
        <f t="shared" si="186"/>
        <v>1.5247408418882107E-3</v>
      </c>
      <c r="R2955" s="4">
        <f t="shared" si="186"/>
        <v>2.5679159941619282E-3</v>
      </c>
      <c r="S2955" s="4">
        <f t="shared" si="186"/>
        <v>1.2012979878545259E-2</v>
      </c>
      <c r="T2955" s="4">
        <f t="shared" si="186"/>
        <v>7.3224206425574149E-3</v>
      </c>
      <c r="U2955" s="35"/>
      <c r="V2955" s="35"/>
      <c r="W2955" s="35"/>
      <c r="X2955" s="35"/>
    </row>
    <row r="2956" spans="4:24" x14ac:dyDescent="0.3">
      <c r="D2956" s="23">
        <v>43872</v>
      </c>
      <c r="E2956" s="5">
        <v>313.83972199999999</v>
      </c>
      <c r="F2956" s="28">
        <v>76.260599999999997</v>
      </c>
      <c r="G2956" s="28">
        <v>147.66</v>
      </c>
      <c r="H2956" s="28">
        <v>226.04810000000001</v>
      </c>
      <c r="I2956" s="28">
        <v>159.5067</v>
      </c>
      <c r="J2956" s="29"/>
      <c r="K2956" s="29"/>
      <c r="L2956" s="29"/>
      <c r="M2956" s="29"/>
      <c r="N2956" s="29"/>
      <c r="P2956" s="4">
        <f t="shared" si="186"/>
        <v>1.7315820632782255E-3</v>
      </c>
      <c r="Q2956" s="4">
        <f t="shared" si="186"/>
        <v>-1.6420946897703955E-3</v>
      </c>
      <c r="R2956" s="4">
        <f t="shared" si="186"/>
        <v>-3.447929589623552E-3</v>
      </c>
      <c r="S2956" s="4">
        <f t="shared" si="186"/>
        <v>1.7254453682747143E-4</v>
      </c>
      <c r="T2956" s="4">
        <f t="shared" si="186"/>
        <v>2.7616878339857803E-3</v>
      </c>
      <c r="U2956" s="35"/>
      <c r="V2956" s="35"/>
      <c r="W2956" s="35"/>
      <c r="X2956" s="35"/>
    </row>
    <row r="2957" spans="4:24" x14ac:dyDescent="0.3">
      <c r="D2957" s="23">
        <v>43873</v>
      </c>
      <c r="E2957" s="5">
        <v>315.861786</v>
      </c>
      <c r="F2957" s="28">
        <v>76.171040000000005</v>
      </c>
      <c r="G2957" s="28">
        <v>147.54</v>
      </c>
      <c r="H2957" s="28">
        <v>228.25</v>
      </c>
      <c r="I2957" s="28">
        <v>160.50819999999999</v>
      </c>
      <c r="J2957" s="29"/>
      <c r="K2957" s="29"/>
      <c r="L2957" s="29"/>
      <c r="M2957" s="29"/>
      <c r="N2957" s="29"/>
      <c r="P2957" s="4">
        <f t="shared" si="186"/>
        <v>6.4223157305499561E-3</v>
      </c>
      <c r="Q2957" s="4">
        <f t="shared" si="186"/>
        <v>-1.1750842581702381E-3</v>
      </c>
      <c r="R2957" s="4">
        <f t="shared" si="186"/>
        <v>-8.1300817486327918E-4</v>
      </c>
      <c r="S2957" s="4">
        <f t="shared" si="186"/>
        <v>9.6937109898717292E-3</v>
      </c>
      <c r="T2957" s="4">
        <f t="shared" si="186"/>
        <v>6.2591039954295073E-3</v>
      </c>
      <c r="U2957" s="35"/>
      <c r="V2957" s="35"/>
      <c r="W2957" s="35"/>
      <c r="X2957" s="35"/>
    </row>
    <row r="2958" spans="4:24" x14ac:dyDescent="0.3">
      <c r="D2958" s="23">
        <v>43874</v>
      </c>
      <c r="E2958" s="5">
        <v>315.524719</v>
      </c>
      <c r="F2958" s="28">
        <v>76.242670000000004</v>
      </c>
      <c r="G2958" s="28">
        <v>148.38</v>
      </c>
      <c r="H2958" s="28">
        <v>227.95769999999999</v>
      </c>
      <c r="I2958" s="28">
        <v>160.4427</v>
      </c>
      <c r="J2958" s="29"/>
      <c r="K2958" s="29"/>
      <c r="L2958" s="29"/>
      <c r="M2958" s="29"/>
      <c r="N2958" s="29"/>
      <c r="P2958" s="4">
        <f t="shared" si="186"/>
        <v>-1.0677042646678951E-3</v>
      </c>
      <c r="Q2958" s="4">
        <f t="shared" si="186"/>
        <v>9.3994175817525697E-4</v>
      </c>
      <c r="R2958" s="4">
        <f t="shared" si="186"/>
        <v>5.677225305223757E-3</v>
      </c>
      <c r="S2958" s="4">
        <f t="shared" si="186"/>
        <v>-1.2814340485624563E-3</v>
      </c>
      <c r="T2958" s="4">
        <f t="shared" si="186"/>
        <v>-4.0816212641453715E-4</v>
      </c>
      <c r="U2958" s="35"/>
      <c r="V2958" s="35"/>
      <c r="W2958" s="35"/>
      <c r="X2958" s="35"/>
    </row>
    <row r="2959" spans="4:24" x14ac:dyDescent="0.3">
      <c r="D2959" s="23">
        <v>43875</v>
      </c>
      <c r="E2959" s="5">
        <v>316.03027300000002</v>
      </c>
      <c r="F2959" s="28">
        <v>76.323250000000002</v>
      </c>
      <c r="G2959" s="28">
        <v>149</v>
      </c>
      <c r="H2959" s="28">
        <v>228.6105</v>
      </c>
      <c r="I2959" s="28">
        <v>160.70480000000001</v>
      </c>
      <c r="J2959" s="29"/>
      <c r="K2959" s="29"/>
      <c r="L2959" s="29"/>
      <c r="M2959" s="29"/>
      <c r="N2959" s="29"/>
      <c r="P2959" s="4">
        <f t="shared" si="186"/>
        <v>1.6009820661317283E-3</v>
      </c>
      <c r="Q2959" s="4">
        <f t="shared" si="186"/>
        <v>1.0563303717215341E-3</v>
      </c>
      <c r="R2959" s="4">
        <f t="shared" si="186"/>
        <v>4.1697551840794008E-3</v>
      </c>
      <c r="S2959" s="4">
        <f t="shared" si="186"/>
        <v>2.859596637894187E-3</v>
      </c>
      <c r="T2959" s="4">
        <f t="shared" si="186"/>
        <v>1.6322721378371576E-3</v>
      </c>
      <c r="U2959" s="35"/>
      <c r="V2959" s="35"/>
      <c r="W2959" s="35"/>
      <c r="X2959" s="35"/>
    </row>
    <row r="2960" spans="4:24" x14ac:dyDescent="0.3">
      <c r="D2960" s="23">
        <v>43879</v>
      </c>
      <c r="E2960" s="5">
        <v>315.21579000000003</v>
      </c>
      <c r="F2960" s="28">
        <v>76.439620000000005</v>
      </c>
      <c r="G2960" s="28">
        <v>150.91</v>
      </c>
      <c r="H2960" s="28">
        <v>228.69820000000001</v>
      </c>
      <c r="I2960" s="28">
        <v>160.3304</v>
      </c>
      <c r="J2960" s="29"/>
      <c r="K2960" s="29"/>
      <c r="L2960" s="29"/>
      <c r="M2960" s="29"/>
      <c r="N2960" s="29"/>
      <c r="P2960" s="4">
        <f t="shared" si="186"/>
        <v>-2.5805577245684034E-3</v>
      </c>
      <c r="Q2960" s="4">
        <f t="shared" si="186"/>
        <v>1.5235380496521247E-3</v>
      </c>
      <c r="R2960" s="4">
        <f t="shared" si="186"/>
        <v>1.2737326685000003E-2</v>
      </c>
      <c r="S2960" s="4">
        <f t="shared" si="186"/>
        <v>3.8354836055010854E-4</v>
      </c>
      <c r="T2960" s="4">
        <f t="shared" si="186"/>
        <v>-2.3324555671083882E-3</v>
      </c>
      <c r="U2960" s="35"/>
      <c r="V2960" s="35"/>
      <c r="W2960" s="35"/>
      <c r="X2960" s="35"/>
    </row>
    <row r="2961" spans="4:24" x14ac:dyDescent="0.3">
      <c r="D2961" s="23">
        <v>43880</v>
      </c>
      <c r="E2961" s="5">
        <v>316.72299199999998</v>
      </c>
      <c r="F2961" s="28">
        <v>76.43065</v>
      </c>
      <c r="G2961" s="28">
        <v>151.79</v>
      </c>
      <c r="H2961" s="28">
        <v>230.8904</v>
      </c>
      <c r="I2961" s="28">
        <v>161.1447</v>
      </c>
      <c r="J2961" s="29"/>
      <c r="K2961" s="29"/>
      <c r="L2961" s="29"/>
      <c r="M2961" s="29"/>
      <c r="N2961" s="29"/>
      <c r="P2961" s="4">
        <f t="shared" si="186"/>
        <v>4.7700976765940985E-3</v>
      </c>
      <c r="Q2961" s="4">
        <f t="shared" si="186"/>
        <v>-1.1735440789504546E-4</v>
      </c>
      <c r="R2961" s="4">
        <f t="shared" si="186"/>
        <v>5.8143540083086366E-3</v>
      </c>
      <c r="S2961" s="4">
        <f t="shared" si="186"/>
        <v>9.5399086311486209E-3</v>
      </c>
      <c r="T2961" s="4">
        <f t="shared" si="186"/>
        <v>5.0660330555145263E-3</v>
      </c>
      <c r="U2961" s="35"/>
      <c r="V2961" s="35"/>
      <c r="W2961" s="35"/>
      <c r="X2961" s="35"/>
    </row>
    <row r="2962" spans="4:24" x14ac:dyDescent="0.3">
      <c r="D2962" s="23">
        <v>43881</v>
      </c>
      <c r="E2962" s="5">
        <v>315.42172199999999</v>
      </c>
      <c r="F2962" s="28">
        <v>76.618639999999999</v>
      </c>
      <c r="G2962" s="28">
        <v>152.41</v>
      </c>
      <c r="H2962" s="28">
        <v>228.74690000000001</v>
      </c>
      <c r="I2962" s="28">
        <v>160.65790000000001</v>
      </c>
      <c r="J2962" s="29"/>
      <c r="K2962" s="29"/>
      <c r="L2962" s="29"/>
      <c r="M2962" s="29"/>
      <c r="N2962" s="29"/>
      <c r="P2962" s="4">
        <f t="shared" si="186"/>
        <v>-4.1170061512690809E-3</v>
      </c>
      <c r="Q2962" s="4">
        <f t="shared" si="186"/>
        <v>2.4565954476642557E-3</v>
      </c>
      <c r="R2962" s="4">
        <f t="shared" si="186"/>
        <v>4.0762712589904439E-3</v>
      </c>
      <c r="S2962" s="4">
        <f t="shared" si="186"/>
        <v>-9.3269869048737564E-3</v>
      </c>
      <c r="T2962" s="4">
        <f t="shared" si="186"/>
        <v>-3.0254595290595395E-3</v>
      </c>
      <c r="U2962" s="35"/>
      <c r="V2962" s="35"/>
      <c r="W2962" s="35"/>
      <c r="X2962" s="35"/>
    </row>
    <row r="2963" spans="4:24" x14ac:dyDescent="0.3">
      <c r="D2963" s="23">
        <v>43882</v>
      </c>
      <c r="E2963" s="5">
        <v>312.17336999999998</v>
      </c>
      <c r="F2963" s="28">
        <v>76.806650000000005</v>
      </c>
      <c r="G2963" s="28">
        <v>154.69999999999999</v>
      </c>
      <c r="H2963" s="28">
        <v>224.3528</v>
      </c>
      <c r="I2963" s="28">
        <v>159.01070000000001</v>
      </c>
      <c r="J2963" s="29"/>
      <c r="K2963" s="29"/>
      <c r="L2963" s="29"/>
      <c r="M2963" s="29"/>
      <c r="N2963" s="29"/>
      <c r="P2963" s="4">
        <f t="shared" si="186"/>
        <v>-1.0351836874703053E-2</v>
      </c>
      <c r="Q2963" s="4">
        <f t="shared" si="186"/>
        <v>2.450835766493774E-3</v>
      </c>
      <c r="R2963" s="4">
        <f t="shared" si="186"/>
        <v>1.4913499681262191E-2</v>
      </c>
      <c r="S2963" s="4">
        <f t="shared" si="186"/>
        <v>-1.9396339307902848E-2</v>
      </c>
      <c r="T2963" s="4">
        <f t="shared" si="186"/>
        <v>-1.0305764024982834E-2</v>
      </c>
      <c r="U2963" s="35"/>
      <c r="V2963" s="35"/>
      <c r="W2963" s="35"/>
      <c r="X2963" s="35"/>
    </row>
    <row r="2964" spans="4:24" x14ac:dyDescent="0.3">
      <c r="D2964" s="23">
        <v>43885</v>
      </c>
      <c r="E2964" s="5">
        <v>301.82006799999999</v>
      </c>
      <c r="F2964" s="28">
        <v>77.048289999999994</v>
      </c>
      <c r="G2964" s="28">
        <v>156.09</v>
      </c>
      <c r="H2964" s="28">
        <v>215.70099999999999</v>
      </c>
      <c r="I2964" s="28">
        <v>153.77869999999999</v>
      </c>
      <c r="J2964" s="29"/>
      <c r="K2964" s="29"/>
      <c r="L2964" s="29"/>
      <c r="M2964" s="29"/>
      <c r="N2964" s="29"/>
      <c r="P2964" s="4">
        <f t="shared" si="186"/>
        <v>-3.3727668067062878E-2</v>
      </c>
      <c r="Q2964" s="4">
        <f t="shared" si="186"/>
        <v>3.1411431922046778E-3</v>
      </c>
      <c r="R2964" s="4">
        <f t="shared" si="186"/>
        <v>8.9450063913015868E-3</v>
      </c>
      <c r="S2964" s="4">
        <f t="shared" si="186"/>
        <v>-3.9326623390353574E-2</v>
      </c>
      <c r="T2964" s="4">
        <f t="shared" si="186"/>
        <v>-3.3456939620229366E-2</v>
      </c>
      <c r="U2964" s="35"/>
      <c r="V2964" s="35"/>
      <c r="W2964" s="35"/>
      <c r="X2964" s="35"/>
    </row>
    <row r="2965" spans="4:24" x14ac:dyDescent="0.3">
      <c r="D2965" s="23">
        <v>43886</v>
      </c>
      <c r="E2965" s="5">
        <v>292.67431599999998</v>
      </c>
      <c r="F2965" s="28">
        <v>77.111000000000004</v>
      </c>
      <c r="G2965" s="28">
        <v>153.30000000000001</v>
      </c>
      <c r="H2965" s="28">
        <v>209.8357</v>
      </c>
      <c r="I2965" s="28">
        <v>149.08009999999999</v>
      </c>
      <c r="J2965" s="29"/>
      <c r="K2965" s="29"/>
      <c r="L2965" s="29"/>
      <c r="M2965" s="29"/>
      <c r="N2965" s="29"/>
      <c r="P2965" s="4">
        <f t="shared" ref="P2965:T2980" si="187">LN(E2965/E2964)</f>
        <v>-3.0770597190516936E-2</v>
      </c>
      <c r="Q2965" s="4">
        <f t="shared" si="187"/>
        <v>8.135741084303893E-4</v>
      </c>
      <c r="R2965" s="4">
        <f t="shared" si="187"/>
        <v>-1.8035978092553313E-2</v>
      </c>
      <c r="S2965" s="4">
        <f t="shared" si="187"/>
        <v>-2.7568345907598265E-2</v>
      </c>
      <c r="T2965" s="4">
        <f t="shared" si="187"/>
        <v>-3.1030810541617947E-2</v>
      </c>
      <c r="U2965" s="35"/>
      <c r="V2965" s="35"/>
      <c r="W2965" s="35"/>
      <c r="X2965" s="35"/>
    </row>
    <row r="2966" spans="4:24" x14ac:dyDescent="0.3">
      <c r="D2966" s="23">
        <v>43887</v>
      </c>
      <c r="E2966" s="5">
        <v>291.59771699999999</v>
      </c>
      <c r="F2966" s="28">
        <v>77.06626</v>
      </c>
      <c r="G2966" s="28">
        <v>153.97</v>
      </c>
      <c r="H2966" s="28">
        <v>210.9171</v>
      </c>
      <c r="I2966" s="28">
        <v>148.25640000000001</v>
      </c>
      <c r="J2966" s="29"/>
      <c r="K2966" s="29"/>
      <c r="L2966" s="29"/>
      <c r="M2966" s="29"/>
      <c r="N2966" s="29"/>
      <c r="P2966" s="4">
        <f t="shared" si="187"/>
        <v>-3.6852704139620869E-3</v>
      </c>
      <c r="Q2966" s="4">
        <f t="shared" si="187"/>
        <v>-5.8037094777560743E-4</v>
      </c>
      <c r="R2966" s="4">
        <f t="shared" si="187"/>
        <v>4.3609923640588813E-3</v>
      </c>
      <c r="S2966" s="4">
        <f t="shared" si="187"/>
        <v>5.1403217335370998E-3</v>
      </c>
      <c r="T2966" s="4">
        <f t="shared" si="187"/>
        <v>-5.5405381251932848E-3</v>
      </c>
      <c r="U2966" s="35"/>
      <c r="V2966" s="35"/>
      <c r="W2966" s="35"/>
      <c r="X2966" s="35"/>
    </row>
    <row r="2967" spans="4:24" x14ac:dyDescent="0.3">
      <c r="D2967" s="23">
        <v>43888</v>
      </c>
      <c r="E2967" s="5">
        <v>278.50161700000001</v>
      </c>
      <c r="F2967" s="28">
        <v>77.155749999999998</v>
      </c>
      <c r="G2967" s="28">
        <v>154</v>
      </c>
      <c r="H2967" s="28">
        <v>200.35570000000001</v>
      </c>
      <c r="I2967" s="28">
        <v>141.76079999999999</v>
      </c>
      <c r="J2967" s="29"/>
      <c r="K2967" s="29"/>
      <c r="L2967" s="29"/>
      <c r="M2967" s="29"/>
      <c r="N2967" s="29"/>
      <c r="P2967" s="4">
        <f t="shared" si="187"/>
        <v>-4.5951305431134959E-2</v>
      </c>
      <c r="Q2967" s="4">
        <f t="shared" si="187"/>
        <v>1.1605348684543472E-3</v>
      </c>
      <c r="R2967" s="4">
        <f t="shared" si="187"/>
        <v>1.9482417180178804E-4</v>
      </c>
      <c r="S2967" s="4">
        <f t="shared" si="187"/>
        <v>-5.1370878389334018E-2</v>
      </c>
      <c r="T2967" s="4">
        <f t="shared" si="187"/>
        <v>-4.4802077084723189E-2</v>
      </c>
      <c r="U2967" s="35"/>
      <c r="V2967" s="35"/>
      <c r="W2967" s="35"/>
      <c r="X2967" s="35"/>
    </row>
    <row r="2968" spans="4:24" x14ac:dyDescent="0.3">
      <c r="D2968" s="23">
        <v>43889</v>
      </c>
      <c r="E2968" s="5">
        <v>277.33148199999999</v>
      </c>
      <c r="F2968" s="28">
        <v>77.665989999999994</v>
      </c>
      <c r="G2968" s="28">
        <v>148.38</v>
      </c>
      <c r="H2968" s="28">
        <v>200.51159999999999</v>
      </c>
      <c r="I2968" s="28">
        <v>140.80619999999999</v>
      </c>
      <c r="J2968" s="29"/>
      <c r="K2968" s="29"/>
      <c r="L2968" s="29"/>
      <c r="M2968" s="29"/>
      <c r="N2968" s="29"/>
      <c r="P2968" s="4">
        <f t="shared" si="187"/>
        <v>-4.2103888045640775E-3</v>
      </c>
      <c r="Q2968" s="4">
        <f t="shared" si="187"/>
        <v>6.5913462452494758E-3</v>
      </c>
      <c r="R2968" s="4">
        <f t="shared" si="187"/>
        <v>-3.7176051652249409E-2</v>
      </c>
      <c r="S2968" s="4">
        <f t="shared" si="187"/>
        <v>7.7781354508017037E-4</v>
      </c>
      <c r="T2968" s="4">
        <f t="shared" si="187"/>
        <v>-6.7566533363260699E-3</v>
      </c>
      <c r="U2968" s="35"/>
      <c r="V2968" s="35"/>
      <c r="W2968" s="35"/>
      <c r="X2968" s="35"/>
    </row>
    <row r="2969" spans="4:24" x14ac:dyDescent="0.3">
      <c r="D2969" s="23">
        <v>43892</v>
      </c>
      <c r="E2969" s="5">
        <v>289.34173600000003</v>
      </c>
      <c r="F2969" s="28">
        <v>77.614879999999999</v>
      </c>
      <c r="G2969" s="28">
        <v>149.19999999999999</v>
      </c>
      <c r="H2969" s="28">
        <v>210.8587</v>
      </c>
      <c r="I2969" s="28">
        <v>146.63730000000001</v>
      </c>
      <c r="J2969" s="29"/>
      <c r="K2969" s="29"/>
      <c r="L2969" s="29"/>
      <c r="M2969" s="29"/>
      <c r="N2969" s="29"/>
      <c r="P2969" s="4">
        <f t="shared" si="187"/>
        <v>4.2394990395150933E-2</v>
      </c>
      <c r="Q2969" s="4">
        <f t="shared" si="187"/>
        <v>-6.5829102896820932E-4</v>
      </c>
      <c r="R2969" s="4">
        <f t="shared" si="187"/>
        <v>5.5111370082806463E-3</v>
      </c>
      <c r="S2969" s="4">
        <f t="shared" si="187"/>
        <v>5.0316140467022132E-2</v>
      </c>
      <c r="T2969" s="4">
        <f t="shared" si="187"/>
        <v>4.0577714077934576E-2</v>
      </c>
      <c r="U2969" s="35"/>
      <c r="V2969" s="35"/>
      <c r="W2969" s="35"/>
      <c r="X2969" s="35"/>
    </row>
    <row r="2970" spans="4:24" x14ac:dyDescent="0.3">
      <c r="D2970" s="23">
        <v>43893</v>
      </c>
      <c r="E2970" s="5">
        <v>281.05721999999997</v>
      </c>
      <c r="F2970" s="28">
        <v>78.081320000000005</v>
      </c>
      <c r="G2970" s="28">
        <v>153.88999999999999</v>
      </c>
      <c r="H2970" s="28">
        <v>204.09700000000001</v>
      </c>
      <c r="I2970" s="28">
        <v>142.85589999999999</v>
      </c>
      <c r="J2970" s="29"/>
      <c r="K2970" s="29"/>
      <c r="L2970" s="29"/>
      <c r="M2970" s="29"/>
      <c r="N2970" s="29"/>
      <c r="P2970" s="4">
        <f t="shared" si="187"/>
        <v>-2.9050188547967998E-2</v>
      </c>
      <c r="Q2970" s="4">
        <f t="shared" si="187"/>
        <v>5.9916863153246245E-3</v>
      </c>
      <c r="R2970" s="4">
        <f t="shared" si="187"/>
        <v>3.0950373706099966E-2</v>
      </c>
      <c r="S2970" s="4">
        <f t="shared" si="187"/>
        <v>-3.2592869871031556E-2</v>
      </c>
      <c r="T2970" s="4">
        <f t="shared" si="187"/>
        <v>-2.6125761034334897E-2</v>
      </c>
      <c r="U2970" s="35"/>
      <c r="V2970" s="35"/>
      <c r="W2970" s="35"/>
      <c r="X2970" s="35"/>
    </row>
    <row r="2971" spans="4:24" x14ac:dyDescent="0.3">
      <c r="D2971" s="23">
        <v>43894</v>
      </c>
      <c r="E2971" s="5">
        <v>292.87091099999998</v>
      </c>
      <c r="F2971" s="28">
        <v>78.063360000000003</v>
      </c>
      <c r="G2971" s="28">
        <v>154.16</v>
      </c>
      <c r="H2971" s="28">
        <v>212.61240000000001</v>
      </c>
      <c r="I2971" s="28">
        <v>148.56530000000001</v>
      </c>
      <c r="J2971" s="29"/>
      <c r="K2971" s="29"/>
      <c r="L2971" s="29"/>
      <c r="M2971" s="29"/>
      <c r="N2971" s="29"/>
      <c r="P2971" s="4">
        <f t="shared" si="187"/>
        <v>4.1173656645556216E-2</v>
      </c>
      <c r="Q2971" s="4">
        <f t="shared" si="187"/>
        <v>-2.300430610791066E-4</v>
      </c>
      <c r="R2971" s="4">
        <f t="shared" si="187"/>
        <v>1.7529626303507658E-3</v>
      </c>
      <c r="S2971" s="4">
        <f t="shared" si="187"/>
        <v>4.087541867021386E-2</v>
      </c>
      <c r="T2971" s="4">
        <f t="shared" si="187"/>
        <v>3.918816234032195E-2</v>
      </c>
      <c r="U2971" s="35"/>
      <c r="V2971" s="35"/>
      <c r="W2971" s="35"/>
      <c r="X2971" s="35"/>
    </row>
    <row r="2972" spans="4:24" x14ac:dyDescent="0.3">
      <c r="D2972" s="23">
        <v>43895</v>
      </c>
      <c r="E2972" s="5">
        <v>283.13531499999999</v>
      </c>
      <c r="F2972" s="28">
        <v>78.359369999999998</v>
      </c>
      <c r="G2972" s="28">
        <v>157.49</v>
      </c>
      <c r="H2972" s="28">
        <v>206.15280000000001</v>
      </c>
      <c r="I2972" s="28">
        <v>143.61410000000001</v>
      </c>
      <c r="J2972" s="29"/>
      <c r="K2972" s="29"/>
      <c r="L2972" s="29"/>
      <c r="M2972" s="29"/>
      <c r="N2972" s="29"/>
      <c r="P2972" s="4">
        <f t="shared" si="187"/>
        <v>-3.3807006898061299E-2</v>
      </c>
      <c r="Q2972" s="4">
        <f t="shared" si="187"/>
        <v>3.7847485892250868E-3</v>
      </c>
      <c r="R2972" s="4">
        <f t="shared" si="187"/>
        <v>2.1370940080378435E-2</v>
      </c>
      <c r="S2972" s="4">
        <f t="shared" si="187"/>
        <v>-3.0853148297243303E-2</v>
      </c>
      <c r="T2972" s="4">
        <f t="shared" si="187"/>
        <v>-3.3894751020399919E-2</v>
      </c>
      <c r="U2972" s="35"/>
      <c r="V2972" s="35"/>
      <c r="W2972" s="35"/>
      <c r="X2972" s="35"/>
    </row>
    <row r="2973" spans="4:24" x14ac:dyDescent="0.3">
      <c r="D2973" s="23">
        <v>43896</v>
      </c>
      <c r="E2973" s="5">
        <v>278.45477299999999</v>
      </c>
      <c r="F2973" s="28">
        <v>78.897530000000003</v>
      </c>
      <c r="G2973" s="28">
        <v>157.55000000000001</v>
      </c>
      <c r="H2973" s="28">
        <v>202.67449999999999</v>
      </c>
      <c r="I2973" s="28">
        <v>140.94659999999999</v>
      </c>
      <c r="J2973" s="29"/>
      <c r="K2973" s="29"/>
      <c r="L2973" s="29"/>
      <c r="M2973" s="29"/>
      <c r="N2973" s="29"/>
      <c r="P2973" s="4">
        <f t="shared" si="187"/>
        <v>-1.6669277037949182E-2</v>
      </c>
      <c r="Q2973" s="4">
        <f t="shared" si="187"/>
        <v>6.8443686840783911E-3</v>
      </c>
      <c r="R2973" s="4">
        <f t="shared" si="187"/>
        <v>3.8090401679431968E-4</v>
      </c>
      <c r="S2973" s="4">
        <f t="shared" si="187"/>
        <v>-1.7016397536720143E-2</v>
      </c>
      <c r="T2973" s="4">
        <f t="shared" si="187"/>
        <v>-1.8748745968808239E-2</v>
      </c>
      <c r="U2973" s="35"/>
      <c r="V2973" s="35"/>
      <c r="W2973" s="35"/>
      <c r="X2973" s="35"/>
    </row>
    <row r="2974" spans="4:24" x14ac:dyDescent="0.3">
      <c r="D2974" s="23">
        <v>43899</v>
      </c>
      <c r="E2974" s="5">
        <v>256.709045</v>
      </c>
      <c r="F2974" s="28">
        <v>78.727119999999999</v>
      </c>
      <c r="G2974" s="28">
        <v>157.81</v>
      </c>
      <c r="H2974" s="28">
        <v>188.5959</v>
      </c>
      <c r="I2974" s="28">
        <v>129.63079999999999</v>
      </c>
      <c r="J2974" s="29"/>
      <c r="K2974" s="29"/>
      <c r="L2974" s="29"/>
      <c r="M2974" s="29"/>
      <c r="N2974" s="29"/>
      <c r="P2974" s="4">
        <f t="shared" si="187"/>
        <v>-8.1312328266767181E-2</v>
      </c>
      <c r="Q2974" s="4">
        <f t="shared" si="187"/>
        <v>-2.1622261034938673E-3</v>
      </c>
      <c r="R2974" s="4">
        <f t="shared" si="187"/>
        <v>1.6489095567576758E-3</v>
      </c>
      <c r="S2974" s="4">
        <f t="shared" si="187"/>
        <v>-7.1994613034279897E-2</v>
      </c>
      <c r="T2974" s="4">
        <f t="shared" si="187"/>
        <v>-8.3690685236245191E-2</v>
      </c>
      <c r="U2974" s="35"/>
      <c r="V2974" s="35"/>
      <c r="W2974" s="35"/>
      <c r="X2974" s="35"/>
    </row>
    <row r="2975" spans="4:24" x14ac:dyDescent="0.3">
      <c r="D2975" s="23">
        <v>43900</v>
      </c>
      <c r="E2975" s="5">
        <v>269.99240099999997</v>
      </c>
      <c r="F2975" s="28">
        <v>77.668710000000004</v>
      </c>
      <c r="G2975" s="28">
        <v>154.47999999999999</v>
      </c>
      <c r="H2975" s="28">
        <v>198.86510000000001</v>
      </c>
      <c r="I2975" s="28">
        <v>136.0609</v>
      </c>
      <c r="J2975" s="29"/>
      <c r="K2975" s="29"/>
      <c r="L2975" s="29"/>
      <c r="M2975" s="29"/>
      <c r="N2975" s="29"/>
      <c r="P2975" s="4">
        <f t="shared" si="187"/>
        <v>5.0450491217857947E-2</v>
      </c>
      <c r="Q2975" s="4">
        <f t="shared" si="187"/>
        <v>-1.3535222243981829E-2</v>
      </c>
      <c r="R2975" s="4">
        <f t="shared" si="187"/>
        <v>-2.1327139639782413E-2</v>
      </c>
      <c r="S2975" s="4">
        <f t="shared" si="187"/>
        <v>5.3020074573690276E-2</v>
      </c>
      <c r="T2975" s="4">
        <f t="shared" si="187"/>
        <v>4.8412169619986421E-2</v>
      </c>
      <c r="U2975" s="35"/>
      <c r="V2975" s="35"/>
      <c r="W2975" s="35"/>
      <c r="X2975" s="35"/>
    </row>
    <row r="2976" spans="4:24" x14ac:dyDescent="0.3">
      <c r="D2976" s="23">
        <v>43901</v>
      </c>
      <c r="E2976" s="5">
        <v>256.83075000000002</v>
      </c>
      <c r="F2976" s="28">
        <v>76.197689999999994</v>
      </c>
      <c r="G2976" s="28">
        <v>153.93</v>
      </c>
      <c r="H2976" s="28">
        <v>190.20339999999999</v>
      </c>
      <c r="I2976" s="28">
        <v>129.1722</v>
      </c>
      <c r="J2976" s="29"/>
      <c r="K2976" s="29"/>
      <c r="L2976" s="29"/>
      <c r="M2976" s="29"/>
      <c r="N2976" s="29"/>
      <c r="P2976" s="4">
        <f t="shared" si="187"/>
        <v>-4.9976506520027122E-2</v>
      </c>
      <c r="Q2976" s="4">
        <f t="shared" si="187"/>
        <v>-1.9121326291927577E-2</v>
      </c>
      <c r="R2976" s="4">
        <f t="shared" si="187"/>
        <v>-3.5666844982757289E-3</v>
      </c>
      <c r="S2976" s="4">
        <f t="shared" si="187"/>
        <v>-4.4532679534712738E-2</v>
      </c>
      <c r="T2976" s="4">
        <f t="shared" si="187"/>
        <v>-5.1956181706415507E-2</v>
      </c>
      <c r="U2976" s="35"/>
      <c r="V2976" s="35"/>
      <c r="W2976" s="35"/>
      <c r="X2976" s="35"/>
    </row>
    <row r="2977" spans="4:24" x14ac:dyDescent="0.3">
      <c r="D2977" s="23">
        <v>43902</v>
      </c>
      <c r="E2977" s="5">
        <v>232.25788900000001</v>
      </c>
      <c r="F2977" s="28">
        <v>72.053669999999997</v>
      </c>
      <c r="G2977" s="28">
        <v>147.79</v>
      </c>
      <c r="H2977" s="28">
        <v>172.76339999999999</v>
      </c>
      <c r="I2977" s="28">
        <v>116.6116</v>
      </c>
      <c r="J2977" s="29"/>
      <c r="K2977" s="29"/>
      <c r="L2977" s="29"/>
      <c r="M2977" s="29"/>
      <c r="N2977" s="29"/>
      <c r="P2977" s="4">
        <f t="shared" si="187"/>
        <v>-0.10056896281357025</v>
      </c>
      <c r="Q2977" s="4">
        <f t="shared" si="187"/>
        <v>-5.591988927475898E-2</v>
      </c>
      <c r="R2977" s="4">
        <f t="shared" si="187"/>
        <v>-4.0705606395501984E-2</v>
      </c>
      <c r="S2977" s="4">
        <f t="shared" si="187"/>
        <v>-9.6170997491166449E-2</v>
      </c>
      <c r="T2977" s="4">
        <f t="shared" si="187"/>
        <v>-0.10229764352913231</v>
      </c>
      <c r="U2977" s="35"/>
      <c r="V2977" s="35"/>
      <c r="W2977" s="35"/>
      <c r="X2977" s="35"/>
    </row>
    <row r="2978" spans="4:24" x14ac:dyDescent="0.3">
      <c r="D2978" s="23">
        <v>43903</v>
      </c>
      <c r="E2978" s="5">
        <v>252.11270099999999</v>
      </c>
      <c r="F2978" s="28">
        <v>75.094380000000001</v>
      </c>
      <c r="G2978" s="28">
        <v>143.28</v>
      </c>
      <c r="H2978" s="28">
        <v>187.39750000000001</v>
      </c>
      <c r="I2978" s="28">
        <v>127.22539999999999</v>
      </c>
      <c r="J2978" s="29"/>
      <c r="K2978" s="29"/>
      <c r="L2978" s="29"/>
      <c r="M2978" s="29"/>
      <c r="N2978" s="29"/>
      <c r="P2978" s="4">
        <f t="shared" si="187"/>
        <v>8.2027868901802956E-2</v>
      </c>
      <c r="Q2978" s="4">
        <f t="shared" si="187"/>
        <v>4.1334464416955381E-2</v>
      </c>
      <c r="R2978" s="4">
        <f t="shared" si="187"/>
        <v>-3.099158947402484E-2</v>
      </c>
      <c r="S2978" s="4">
        <f t="shared" si="187"/>
        <v>8.130900088666318E-2</v>
      </c>
      <c r="T2978" s="4">
        <f t="shared" si="187"/>
        <v>8.711156211782442E-2</v>
      </c>
      <c r="U2978" s="35"/>
      <c r="V2978" s="35"/>
      <c r="W2978" s="35"/>
      <c r="X2978" s="35"/>
    </row>
    <row r="2979" spans="4:24" x14ac:dyDescent="0.3">
      <c r="D2979" s="23">
        <v>43906</v>
      </c>
      <c r="E2979" s="5">
        <v>224.52560399999999</v>
      </c>
      <c r="F2979" s="28">
        <v>75.883740000000003</v>
      </c>
      <c r="G2979" s="28">
        <v>141.63999999999999</v>
      </c>
      <c r="H2979" s="28">
        <v>164.9495</v>
      </c>
      <c r="I2979" s="28">
        <v>112.746</v>
      </c>
      <c r="J2979" s="29"/>
      <c r="K2979" s="29"/>
      <c r="L2979" s="29"/>
      <c r="M2979" s="29"/>
      <c r="N2979" s="29"/>
      <c r="P2979" s="4">
        <f t="shared" si="187"/>
        <v>-0.11588646404908427</v>
      </c>
      <c r="Q2979" s="4">
        <f t="shared" si="187"/>
        <v>1.045670978754989E-2</v>
      </c>
      <c r="R2979" s="4">
        <f t="shared" si="187"/>
        <v>-1.1512130508753436E-2</v>
      </c>
      <c r="S2979" s="4">
        <f t="shared" si="187"/>
        <v>-0.12759266281868423</v>
      </c>
      <c r="T2979" s="4">
        <f t="shared" si="187"/>
        <v>-0.12082281547103974</v>
      </c>
      <c r="U2979" s="35"/>
      <c r="V2979" s="35"/>
      <c r="W2979" s="35"/>
      <c r="X2979" s="35"/>
    </row>
    <row r="2980" spans="4:24" x14ac:dyDescent="0.3">
      <c r="D2980" s="23">
        <v>43907</v>
      </c>
      <c r="E2980" s="5">
        <v>236.64819299999999</v>
      </c>
      <c r="F2980" s="28">
        <v>74.314030000000002</v>
      </c>
      <c r="G2980" s="28">
        <v>143.56</v>
      </c>
      <c r="H2980" s="28">
        <v>177.45959999999999</v>
      </c>
      <c r="I2980" s="28">
        <v>118.39919999999999</v>
      </c>
      <c r="J2980" s="29"/>
      <c r="K2980" s="29"/>
      <c r="L2980" s="29"/>
      <c r="M2980" s="29"/>
      <c r="N2980" s="29"/>
      <c r="P2980" s="4">
        <f t="shared" si="187"/>
        <v>5.2584870897118739E-2</v>
      </c>
      <c r="Q2980" s="4">
        <f t="shared" si="187"/>
        <v>-2.0902669233128196E-2</v>
      </c>
      <c r="R2980" s="4">
        <f t="shared" si="187"/>
        <v>1.3464439035703622E-2</v>
      </c>
      <c r="S2980" s="4">
        <f t="shared" si="187"/>
        <v>7.3103610927160431E-2</v>
      </c>
      <c r="T2980" s="4">
        <f t="shared" si="187"/>
        <v>4.8924464635251026E-2</v>
      </c>
      <c r="U2980" s="35"/>
      <c r="V2980" s="35"/>
      <c r="W2980" s="35"/>
      <c r="X2980" s="35"/>
    </row>
    <row r="2981" spans="4:24" x14ac:dyDescent="0.3">
      <c r="D2981" s="23">
        <v>43908</v>
      </c>
      <c r="E2981" s="5">
        <v>224.666031</v>
      </c>
      <c r="F2981" s="28">
        <v>72.520089999999996</v>
      </c>
      <c r="G2981" s="28">
        <v>140.69999999999999</v>
      </c>
      <c r="H2981" s="28">
        <v>172.06200000000001</v>
      </c>
      <c r="I2981" s="28">
        <v>111.5761</v>
      </c>
      <c r="J2981" s="29"/>
      <c r="K2981" s="29"/>
      <c r="L2981" s="29"/>
      <c r="M2981" s="29"/>
      <c r="N2981" s="29"/>
      <c r="P2981" s="4">
        <f t="shared" ref="P2981:T2996" si="188">LN(E2981/E2980)</f>
        <v>-5.1959627710768001E-2</v>
      </c>
      <c r="Q2981" s="4">
        <f t="shared" si="188"/>
        <v>-2.4436136046245394E-2</v>
      </c>
      <c r="R2981" s="4">
        <f t="shared" si="188"/>
        <v>-2.0123102159063249E-2</v>
      </c>
      <c r="S2981" s="4">
        <f t="shared" si="188"/>
        <v>-3.088810039778412E-2</v>
      </c>
      <c r="T2981" s="4">
        <f t="shared" si="188"/>
        <v>-5.9355096364240287E-2</v>
      </c>
      <c r="U2981" s="35"/>
      <c r="V2981" s="35"/>
      <c r="W2981" s="35"/>
      <c r="X2981" s="35"/>
    </row>
    <row r="2982" spans="4:24" x14ac:dyDescent="0.3">
      <c r="D2982" s="23">
        <v>43909</v>
      </c>
      <c r="E2982" s="5">
        <v>225.14344800000001</v>
      </c>
      <c r="F2982" s="28">
        <v>72.475239999999999</v>
      </c>
      <c r="G2982" s="28">
        <v>138.04</v>
      </c>
      <c r="H2982" s="28">
        <v>173.09469999999999</v>
      </c>
      <c r="I2982" s="28">
        <v>112.3997</v>
      </c>
      <c r="J2982" s="29"/>
      <c r="K2982" s="29"/>
      <c r="L2982" s="29"/>
      <c r="M2982" s="29"/>
      <c r="N2982" s="29"/>
      <c r="P2982" s="4">
        <f t="shared" si="188"/>
        <v>2.1227528612096638E-3</v>
      </c>
      <c r="Q2982" s="4">
        <f t="shared" si="188"/>
        <v>-6.1864063387967222E-4</v>
      </c>
      <c r="R2982" s="4">
        <f t="shared" si="188"/>
        <v>-1.9086465890540645E-2</v>
      </c>
      <c r="S2982" s="4">
        <f t="shared" si="188"/>
        <v>5.9839665958247423E-3</v>
      </c>
      <c r="T2982" s="4">
        <f t="shared" si="188"/>
        <v>7.3543991108016137E-3</v>
      </c>
      <c r="U2982" s="35"/>
      <c r="V2982" s="35"/>
      <c r="W2982" s="35"/>
      <c r="X2982" s="35"/>
    </row>
    <row r="2983" spans="4:24" x14ac:dyDescent="0.3">
      <c r="D2983" s="23">
        <v>43910</v>
      </c>
      <c r="E2983" s="5">
        <v>215.44107099999999</v>
      </c>
      <c r="F2983" s="28">
        <v>73.704089999999994</v>
      </c>
      <c r="G2983" s="28">
        <v>140.11000000000001</v>
      </c>
      <c r="H2983" s="28">
        <v>166.31360000000001</v>
      </c>
      <c r="I2983" s="28">
        <v>107.8135</v>
      </c>
      <c r="J2983" s="29"/>
      <c r="K2983" s="29"/>
      <c r="L2983" s="29"/>
      <c r="M2983" s="29"/>
      <c r="N2983" s="29"/>
      <c r="P2983" s="4">
        <f t="shared" si="188"/>
        <v>-4.4050326011876889E-2</v>
      </c>
      <c r="Q2983" s="4">
        <f t="shared" si="188"/>
        <v>1.681330661754828E-2</v>
      </c>
      <c r="R2983" s="4">
        <f t="shared" si="188"/>
        <v>1.48843301533375E-2</v>
      </c>
      <c r="S2983" s="4">
        <f t="shared" si="188"/>
        <v>-3.9963680802713342E-2</v>
      </c>
      <c r="T2983" s="4">
        <f t="shared" si="188"/>
        <v>-4.1658385871901023E-2</v>
      </c>
      <c r="U2983" s="35"/>
      <c r="V2983" s="35"/>
      <c r="W2983" s="35"/>
      <c r="X2983" s="35"/>
    </row>
    <row r="2984" spans="4:24" x14ac:dyDescent="0.3">
      <c r="D2984" s="23">
        <v>43913</v>
      </c>
      <c r="E2984" s="5">
        <v>209.93261699999999</v>
      </c>
      <c r="F2984" s="28">
        <v>75.336560000000006</v>
      </c>
      <c r="G2984" s="28">
        <v>146.30000000000001</v>
      </c>
      <c r="H2984" s="28">
        <v>166.43360000000001</v>
      </c>
      <c r="I2984" s="28">
        <v>104.7436</v>
      </c>
      <c r="J2984" s="29"/>
      <c r="K2984" s="29"/>
      <c r="L2984" s="29"/>
      <c r="M2984" s="29"/>
      <c r="N2984" s="29"/>
      <c r="P2984" s="4">
        <f t="shared" si="188"/>
        <v>-2.59008119140272E-2</v>
      </c>
      <c r="Q2984" s="4">
        <f t="shared" si="188"/>
        <v>2.1907248638821489E-2</v>
      </c>
      <c r="R2984" s="4">
        <f t="shared" si="188"/>
        <v>4.3231479642938588E-2</v>
      </c>
      <c r="S2984" s="4">
        <f t="shared" si="188"/>
        <v>7.212683094090734E-4</v>
      </c>
      <c r="T2984" s="4">
        <f t="shared" si="188"/>
        <v>-2.888742346131316E-2</v>
      </c>
      <c r="U2984" s="35"/>
      <c r="V2984" s="35"/>
      <c r="W2984" s="35"/>
      <c r="X2984" s="35"/>
    </row>
    <row r="2985" spans="4:24" x14ac:dyDescent="0.3">
      <c r="D2985" s="23">
        <v>43914</v>
      </c>
      <c r="E2985" s="5">
        <v>228.95320100000001</v>
      </c>
      <c r="F2985" s="28">
        <v>75.417280000000005</v>
      </c>
      <c r="G2985" s="28">
        <v>153.4</v>
      </c>
      <c r="H2985" s="28">
        <v>179.3218</v>
      </c>
      <c r="I2985" s="28">
        <v>114.6835</v>
      </c>
      <c r="J2985" s="29"/>
      <c r="K2985" s="29"/>
      <c r="L2985" s="29"/>
      <c r="M2985" s="29"/>
      <c r="N2985" s="29"/>
      <c r="P2985" s="4">
        <f t="shared" si="188"/>
        <v>8.6731012425329213E-2</v>
      </c>
      <c r="Q2985" s="4">
        <f t="shared" si="188"/>
        <v>1.0708849302161613E-3</v>
      </c>
      <c r="R2985" s="4">
        <f t="shared" si="188"/>
        <v>4.7389580907077143E-2</v>
      </c>
      <c r="S2985" s="4">
        <f t="shared" si="188"/>
        <v>7.4585526077583425E-2</v>
      </c>
      <c r="T2985" s="4">
        <f t="shared" si="188"/>
        <v>9.06607011727944E-2</v>
      </c>
      <c r="U2985" s="35"/>
      <c r="V2985" s="35"/>
      <c r="W2985" s="35"/>
      <c r="X2985" s="35"/>
    </row>
    <row r="2986" spans="4:24" x14ac:dyDescent="0.3">
      <c r="D2986" s="23">
        <v>43915</v>
      </c>
      <c r="E2986" s="5">
        <v>232.38067599999999</v>
      </c>
      <c r="F2986" s="28">
        <v>76.430890000000005</v>
      </c>
      <c r="G2986" s="28">
        <v>151.30000000000001</v>
      </c>
      <c r="H2986" s="28">
        <v>177.994</v>
      </c>
      <c r="I2986" s="28">
        <v>116.2653</v>
      </c>
      <c r="J2986" s="29"/>
      <c r="K2986" s="29"/>
      <c r="L2986" s="29"/>
      <c r="M2986" s="29"/>
      <c r="N2986" s="29"/>
      <c r="P2986" s="4">
        <f t="shared" si="188"/>
        <v>1.4859251554825344E-2</v>
      </c>
      <c r="Q2986" s="4">
        <f t="shared" si="188"/>
        <v>1.3350507353609009E-2</v>
      </c>
      <c r="R2986" s="4">
        <f t="shared" si="188"/>
        <v>-1.3784268138845548E-2</v>
      </c>
      <c r="S2986" s="4">
        <f t="shared" si="188"/>
        <v>-7.4321152991003959E-3</v>
      </c>
      <c r="T2986" s="4">
        <f t="shared" si="188"/>
        <v>1.3698488454010005E-2</v>
      </c>
      <c r="U2986" s="35"/>
      <c r="V2986" s="35"/>
      <c r="W2986" s="35"/>
      <c r="X2986" s="35"/>
    </row>
    <row r="2987" spans="4:24" x14ac:dyDescent="0.3">
      <c r="D2987" s="23">
        <v>43916</v>
      </c>
      <c r="E2987" s="5">
        <v>245.94931</v>
      </c>
      <c r="F2987" s="28">
        <v>76.780690000000007</v>
      </c>
      <c r="G2987" s="28">
        <v>153.24</v>
      </c>
      <c r="H2987" s="28">
        <v>187.3672</v>
      </c>
      <c r="I2987" s="28">
        <v>123.3236</v>
      </c>
      <c r="J2987" s="29"/>
      <c r="K2987" s="29"/>
      <c r="L2987" s="29"/>
      <c r="M2987" s="29"/>
      <c r="N2987" s="29"/>
      <c r="P2987" s="4">
        <f t="shared" si="188"/>
        <v>5.6748586010351376E-2</v>
      </c>
      <c r="Q2987" s="4">
        <f t="shared" si="188"/>
        <v>4.5662424184112933E-3</v>
      </c>
      <c r="R2987" s="4">
        <f t="shared" si="188"/>
        <v>1.2740699038138041E-2</v>
      </c>
      <c r="S2987" s="4">
        <f t="shared" si="188"/>
        <v>5.1320485945674572E-2</v>
      </c>
      <c r="T2987" s="4">
        <f t="shared" si="188"/>
        <v>5.8937146226506601E-2</v>
      </c>
      <c r="U2987" s="35"/>
      <c r="V2987" s="35"/>
      <c r="W2987" s="35"/>
      <c r="X2987" s="35"/>
    </row>
    <row r="2988" spans="4:24" x14ac:dyDescent="0.3">
      <c r="D2988" s="23">
        <v>43917</v>
      </c>
      <c r="E2988" s="5">
        <v>238.623535</v>
      </c>
      <c r="F2988" s="28">
        <v>77.193280000000001</v>
      </c>
      <c r="G2988" s="28">
        <v>152.25</v>
      </c>
      <c r="H2988" s="28">
        <v>180.92310000000001</v>
      </c>
      <c r="I2988" s="28">
        <v>119.3918</v>
      </c>
      <c r="J2988" s="29"/>
      <c r="K2988" s="29"/>
      <c r="L2988" s="29"/>
      <c r="M2988" s="29"/>
      <c r="N2988" s="29"/>
      <c r="P2988" s="4">
        <f t="shared" si="188"/>
        <v>-3.0238315102054377E-2</v>
      </c>
      <c r="Q2988" s="4">
        <f t="shared" si="188"/>
        <v>5.3592303622663415E-3</v>
      </c>
      <c r="R2988" s="4">
        <f t="shared" si="188"/>
        <v>-6.4814132424418653E-3</v>
      </c>
      <c r="S2988" s="4">
        <f t="shared" si="188"/>
        <v>-3.4998248696475193E-2</v>
      </c>
      <c r="T2988" s="4">
        <f t="shared" si="188"/>
        <v>-3.2401273053749666E-2</v>
      </c>
      <c r="U2988" s="35"/>
      <c r="V2988" s="35"/>
      <c r="W2988" s="35"/>
      <c r="X2988" s="35"/>
    </row>
    <row r="2989" spans="4:24" x14ac:dyDescent="0.3">
      <c r="D2989" s="23">
        <v>43920</v>
      </c>
      <c r="E2989" s="5">
        <v>246.37309300000001</v>
      </c>
      <c r="F2989" s="28">
        <v>77.274029999999996</v>
      </c>
      <c r="G2989" s="28">
        <v>152.91999999999999</v>
      </c>
      <c r="H2989" s="28">
        <v>187.50389999999999</v>
      </c>
      <c r="I2989" s="28">
        <v>123.0132</v>
      </c>
      <c r="J2989" s="29"/>
      <c r="K2989" s="29"/>
      <c r="L2989" s="29"/>
      <c r="M2989" s="29"/>
      <c r="N2989" s="29"/>
      <c r="P2989" s="4">
        <f t="shared" si="188"/>
        <v>3.1959882522447212E-2</v>
      </c>
      <c r="Q2989" s="4">
        <f t="shared" si="188"/>
        <v>1.0455287575843438E-3</v>
      </c>
      <c r="R2989" s="4">
        <f t="shared" si="188"/>
        <v>4.3910022382056199E-3</v>
      </c>
      <c r="S2989" s="4">
        <f t="shared" si="188"/>
        <v>3.5727566086155384E-2</v>
      </c>
      <c r="T2989" s="4">
        <f t="shared" si="188"/>
        <v>2.9881144804292874E-2</v>
      </c>
      <c r="U2989" s="35"/>
      <c r="V2989" s="35"/>
      <c r="W2989" s="35"/>
      <c r="X2989" s="35"/>
    </row>
    <row r="2990" spans="4:24" x14ac:dyDescent="0.3">
      <c r="D2990" s="23">
        <v>43921</v>
      </c>
      <c r="E2990" s="5">
        <v>242.70074500000001</v>
      </c>
      <c r="F2990" s="28">
        <v>76.556449999999998</v>
      </c>
      <c r="G2990" s="28">
        <v>148.05000000000001</v>
      </c>
      <c r="H2990" s="28">
        <v>185.90270000000001</v>
      </c>
      <c r="I2990" s="28">
        <v>121.2543</v>
      </c>
      <c r="J2990" s="29"/>
      <c r="K2990" s="29"/>
      <c r="L2990" s="29"/>
      <c r="M2990" s="29"/>
      <c r="N2990" s="29"/>
      <c r="P2990" s="4">
        <f t="shared" si="188"/>
        <v>-1.5017842848407948E-2</v>
      </c>
      <c r="Q2990" s="4">
        <f t="shared" si="188"/>
        <v>-9.3295581588066744E-3</v>
      </c>
      <c r="R2990" s="4">
        <f t="shared" si="188"/>
        <v>-3.2364854280611588E-2</v>
      </c>
      <c r="S2990" s="4">
        <f t="shared" si="188"/>
        <v>-8.5762266346205273E-3</v>
      </c>
      <c r="T2990" s="4">
        <f t="shared" si="188"/>
        <v>-1.440167358123454E-2</v>
      </c>
      <c r="U2990" s="35"/>
      <c r="V2990" s="35"/>
      <c r="W2990" s="35"/>
      <c r="X2990" s="35"/>
    </row>
    <row r="2991" spans="4:24" x14ac:dyDescent="0.3">
      <c r="D2991" s="23">
        <v>43922</v>
      </c>
      <c r="E2991" s="5">
        <v>231.77806100000001</v>
      </c>
      <c r="F2991" s="28">
        <v>76.951999999999998</v>
      </c>
      <c r="G2991" s="28">
        <v>149.44999999999999</v>
      </c>
      <c r="H2991" s="28">
        <v>178.00370000000001</v>
      </c>
      <c r="I2991" s="28">
        <v>115.6576</v>
      </c>
      <c r="J2991" s="29"/>
      <c r="K2991" s="29"/>
      <c r="L2991" s="29"/>
      <c r="M2991" s="29"/>
      <c r="N2991" s="29"/>
      <c r="P2991" s="4">
        <f t="shared" si="188"/>
        <v>-4.6048902181488334E-2</v>
      </c>
      <c r="Q2991" s="4">
        <f t="shared" si="188"/>
        <v>5.1534736417084264E-3</v>
      </c>
      <c r="R2991" s="4">
        <f t="shared" si="188"/>
        <v>9.4118341823463784E-3</v>
      </c>
      <c r="S2991" s="4">
        <f t="shared" si="188"/>
        <v>-4.3419081966625396E-2</v>
      </c>
      <c r="T2991" s="4">
        <f t="shared" si="188"/>
        <v>-4.7255891067042088E-2</v>
      </c>
      <c r="U2991" s="35"/>
      <c r="V2991" s="35"/>
      <c r="W2991" s="35"/>
      <c r="X2991" s="35"/>
    </row>
    <row r="2992" spans="4:24" x14ac:dyDescent="0.3">
      <c r="D2992" s="23">
        <v>43923</v>
      </c>
      <c r="E2992" s="5">
        <v>237.126419</v>
      </c>
      <c r="F2992" s="28">
        <v>77.311610000000002</v>
      </c>
      <c r="G2992" s="28">
        <v>151.9</v>
      </c>
      <c r="H2992" s="28">
        <v>181.6163</v>
      </c>
      <c r="I2992" s="28">
        <v>118.0656</v>
      </c>
      <c r="J2992" s="29"/>
      <c r="K2992" s="29"/>
      <c r="L2992" s="29"/>
      <c r="M2992" s="29"/>
      <c r="N2992" s="29"/>
      <c r="P2992" s="4">
        <f t="shared" si="188"/>
        <v>2.2813132243180871E-2</v>
      </c>
      <c r="Q2992" s="4">
        <f t="shared" si="188"/>
        <v>4.662287514223931E-3</v>
      </c>
      <c r="R2992" s="4">
        <f t="shared" si="188"/>
        <v>1.6260520871780326E-2</v>
      </c>
      <c r="S2992" s="4">
        <f t="shared" si="188"/>
        <v>2.0091883255559304E-2</v>
      </c>
      <c r="T2992" s="4">
        <f t="shared" si="188"/>
        <v>2.0606300156749205E-2</v>
      </c>
      <c r="U2992" s="35"/>
      <c r="V2992" s="35"/>
      <c r="W2992" s="35"/>
      <c r="X2992" s="35"/>
    </row>
    <row r="2993" spans="4:24" x14ac:dyDescent="0.3">
      <c r="D2993" s="23">
        <v>43924</v>
      </c>
      <c r="E2993" s="5">
        <v>233.69894400000001</v>
      </c>
      <c r="F2993" s="28">
        <v>77.275660000000002</v>
      </c>
      <c r="G2993" s="28">
        <v>152.65</v>
      </c>
      <c r="H2993" s="28">
        <v>179.03870000000001</v>
      </c>
      <c r="I2993" s="28">
        <v>116.0527</v>
      </c>
      <c r="J2993" s="29"/>
      <c r="K2993" s="29"/>
      <c r="L2993" s="29"/>
      <c r="M2993" s="29"/>
      <c r="N2993" s="29"/>
      <c r="P2993" s="4">
        <f t="shared" si="188"/>
        <v>-1.4559689501833109E-2</v>
      </c>
      <c r="Q2993" s="4">
        <f t="shared" si="188"/>
        <v>-4.6510945756507053E-4</v>
      </c>
      <c r="R2993" s="4">
        <f t="shared" si="188"/>
        <v>4.9253095791596023E-3</v>
      </c>
      <c r="S2993" s="4">
        <f t="shared" si="188"/>
        <v>-1.429423625848184E-2</v>
      </c>
      <c r="T2993" s="4">
        <f t="shared" si="188"/>
        <v>-1.7196003912502453E-2</v>
      </c>
      <c r="U2993" s="35"/>
      <c r="V2993" s="35"/>
      <c r="W2993" s="35"/>
      <c r="X2993" s="35"/>
    </row>
    <row r="2994" spans="4:24" x14ac:dyDescent="0.3">
      <c r="D2994" s="23">
        <v>43927</v>
      </c>
      <c r="E2994" s="5">
        <v>249.39563000000001</v>
      </c>
      <c r="F2994" s="28">
        <v>77.518360000000001</v>
      </c>
      <c r="G2994" s="28">
        <v>156.88</v>
      </c>
      <c r="H2994" s="28">
        <v>191.839</v>
      </c>
      <c r="I2994" s="28">
        <v>124.17010000000001</v>
      </c>
      <c r="J2994" s="29"/>
      <c r="K2994" s="29"/>
      <c r="L2994" s="29"/>
      <c r="M2994" s="29"/>
      <c r="N2994" s="29"/>
      <c r="P2994" s="4">
        <f t="shared" si="188"/>
        <v>6.5006788118499942E-2</v>
      </c>
      <c r="Q2994" s="4">
        <f t="shared" si="188"/>
        <v>3.135782620996219E-3</v>
      </c>
      <c r="R2994" s="4">
        <f t="shared" si="188"/>
        <v>2.7333462707203927E-2</v>
      </c>
      <c r="S2994" s="4">
        <f t="shared" si="188"/>
        <v>6.9054494998406976E-2</v>
      </c>
      <c r="T2994" s="4">
        <f t="shared" si="188"/>
        <v>6.7608001492440728E-2</v>
      </c>
      <c r="U2994" s="35"/>
      <c r="V2994" s="35"/>
      <c r="W2994" s="35"/>
      <c r="X2994" s="35"/>
    </row>
    <row r="2995" spans="4:24" x14ac:dyDescent="0.3">
      <c r="D2995" s="23">
        <v>43928</v>
      </c>
      <c r="E2995" s="5">
        <v>249.649902</v>
      </c>
      <c r="F2995" s="28">
        <v>77.590280000000007</v>
      </c>
      <c r="G2995" s="28">
        <v>156.04</v>
      </c>
      <c r="H2995" s="28">
        <v>191.76089999999999</v>
      </c>
      <c r="I2995" s="28">
        <v>124.3113</v>
      </c>
      <c r="J2995" s="29"/>
      <c r="K2995" s="29"/>
      <c r="L2995" s="29"/>
      <c r="M2995" s="29"/>
      <c r="N2995" s="29"/>
      <c r="P2995" s="4">
        <f t="shared" si="188"/>
        <v>1.0190333574756681E-3</v>
      </c>
      <c r="Q2995" s="4">
        <f t="shared" si="188"/>
        <v>9.2735008383984605E-4</v>
      </c>
      <c r="R2995" s="4">
        <f t="shared" si="188"/>
        <v>-5.3687972496351006E-3</v>
      </c>
      <c r="S2995" s="4">
        <f t="shared" si="188"/>
        <v>-4.071951065635315E-4</v>
      </c>
      <c r="T2995" s="4">
        <f t="shared" si="188"/>
        <v>1.1365036996596395E-3</v>
      </c>
      <c r="U2995" s="35"/>
      <c r="V2995" s="35"/>
      <c r="W2995" s="35"/>
      <c r="X2995" s="35"/>
    </row>
    <row r="2996" spans="4:24" x14ac:dyDescent="0.3">
      <c r="D2996" s="23">
        <v>43929</v>
      </c>
      <c r="E2996" s="5">
        <v>258.03021200000001</v>
      </c>
      <c r="F2996" s="28">
        <v>77.788030000000006</v>
      </c>
      <c r="G2996" s="28">
        <v>154.65</v>
      </c>
      <c r="H2996" s="28">
        <v>195.83240000000001</v>
      </c>
      <c r="I2996" s="28">
        <v>128.67570000000001</v>
      </c>
      <c r="J2996" s="29"/>
      <c r="K2996" s="29"/>
      <c r="L2996" s="29"/>
      <c r="M2996" s="29"/>
      <c r="N2996" s="29"/>
      <c r="P2996" s="4">
        <f t="shared" si="188"/>
        <v>3.3017134444078895E-2</v>
      </c>
      <c r="Q2996" s="4">
        <f t="shared" si="188"/>
        <v>2.5454016943505121E-3</v>
      </c>
      <c r="R2996" s="4">
        <f t="shared" si="188"/>
        <v>-8.9478855073770701E-3</v>
      </c>
      <c r="S2996" s="4">
        <f t="shared" si="188"/>
        <v>2.1009907899576848E-2</v>
      </c>
      <c r="T2996" s="4">
        <f t="shared" si="188"/>
        <v>3.4506382110599684E-2</v>
      </c>
      <c r="U2996" s="35"/>
      <c r="V2996" s="35"/>
      <c r="W2996" s="35"/>
      <c r="X2996" s="35"/>
    </row>
    <row r="2997" spans="4:24" x14ac:dyDescent="0.3">
      <c r="D2997" s="23">
        <v>43930</v>
      </c>
      <c r="E2997" s="5">
        <v>261.95678700000002</v>
      </c>
      <c r="F2997" s="28">
        <v>78.642089999999996</v>
      </c>
      <c r="G2997" s="28">
        <v>158.69</v>
      </c>
      <c r="H2997" s="28">
        <v>196.1156</v>
      </c>
      <c r="I2997" s="28">
        <v>131.08359999999999</v>
      </c>
      <c r="J2997" s="29"/>
      <c r="K2997" s="29"/>
      <c r="L2997" s="29"/>
      <c r="M2997" s="29"/>
      <c r="N2997" s="29"/>
      <c r="P2997" s="4">
        <f t="shared" ref="P2997:T3012" si="189">LN(E2997/E2996)</f>
        <v>1.5102876202250591E-2</v>
      </c>
      <c r="Q2997" s="4">
        <f t="shared" si="189"/>
        <v>1.0919488985290743E-2</v>
      </c>
      <c r="R2997" s="4">
        <f t="shared" si="189"/>
        <v>2.5788114443672201E-2</v>
      </c>
      <c r="S2997" s="4">
        <f t="shared" si="189"/>
        <v>1.4450899062300206E-3</v>
      </c>
      <c r="T2997" s="4">
        <f t="shared" si="189"/>
        <v>1.8540002011321884E-2</v>
      </c>
      <c r="U2997" s="35"/>
      <c r="V2997" s="35"/>
      <c r="W2997" s="35"/>
      <c r="X2997" s="35"/>
    </row>
    <row r="2998" spans="4:24" x14ac:dyDescent="0.3">
      <c r="D2998" s="23">
        <v>43934</v>
      </c>
      <c r="E2998" s="5">
        <v>259.56503300000003</v>
      </c>
      <c r="F2998" s="28">
        <v>78.390370000000004</v>
      </c>
      <c r="G2998" s="28">
        <v>161.41</v>
      </c>
      <c r="H2998" s="28">
        <v>198.23429999999999</v>
      </c>
      <c r="I2998" s="28">
        <v>129.5222</v>
      </c>
      <c r="J2998" s="29"/>
      <c r="K2998" s="29"/>
      <c r="L2998" s="29"/>
      <c r="M2998" s="29"/>
      <c r="N2998" s="29"/>
      <c r="P2998" s="4">
        <f t="shared" si="189"/>
        <v>-9.1722749713151371E-3</v>
      </c>
      <c r="Q2998" s="4">
        <f t="shared" si="189"/>
        <v>-3.205964112164525E-3</v>
      </c>
      <c r="R2998" s="4">
        <f t="shared" si="189"/>
        <v>1.6995098210437234E-2</v>
      </c>
      <c r="S2998" s="4">
        <f t="shared" si="189"/>
        <v>1.0745383153191448E-2</v>
      </c>
      <c r="T2998" s="4">
        <f t="shared" si="189"/>
        <v>-1.1982992578692685E-2</v>
      </c>
      <c r="U2998" s="35"/>
      <c r="V2998" s="35"/>
      <c r="W2998" s="35"/>
      <c r="X2998" s="35"/>
    </row>
    <row r="2999" spans="4:24" x14ac:dyDescent="0.3">
      <c r="D2999" s="23">
        <v>43935</v>
      </c>
      <c r="E2999" s="5">
        <v>267.22030599999999</v>
      </c>
      <c r="F2999" s="28">
        <v>78.390370000000004</v>
      </c>
      <c r="G2999" s="28">
        <v>162.68</v>
      </c>
      <c r="H2999" s="28">
        <v>206.85570000000001</v>
      </c>
      <c r="I2999" s="28">
        <v>133.45400000000001</v>
      </c>
      <c r="J2999" s="29"/>
      <c r="K2999" s="29"/>
      <c r="L2999" s="29"/>
      <c r="M2999" s="29"/>
      <c r="N2999" s="29"/>
      <c r="P2999" s="4">
        <f t="shared" si="189"/>
        <v>2.9066154211974005E-2</v>
      </c>
      <c r="Q2999" s="4">
        <f t="shared" si="189"/>
        <v>0</v>
      </c>
      <c r="R2999" s="4">
        <f t="shared" si="189"/>
        <v>7.8373692538355518E-3</v>
      </c>
      <c r="S2999" s="4">
        <f t="shared" si="189"/>
        <v>4.2571784287078897E-2</v>
      </c>
      <c r="T2999" s="4">
        <f t="shared" si="189"/>
        <v>2.9904554155454687E-2</v>
      </c>
      <c r="U2999" s="35"/>
      <c r="V2999" s="35"/>
      <c r="W2999" s="35"/>
      <c r="X2999" s="35"/>
    </row>
    <row r="3000" spans="4:24" x14ac:dyDescent="0.3">
      <c r="D3000" s="23">
        <v>43936</v>
      </c>
      <c r="E3000" s="5">
        <v>261.54244999999997</v>
      </c>
      <c r="F3000" s="28">
        <v>78.776910000000001</v>
      </c>
      <c r="G3000" s="28">
        <v>161.85</v>
      </c>
      <c r="H3000" s="28">
        <v>204.48320000000001</v>
      </c>
      <c r="I3000" s="28">
        <v>130.32169999999999</v>
      </c>
      <c r="J3000" s="29"/>
      <c r="K3000" s="29"/>
      <c r="L3000" s="29"/>
      <c r="M3000" s="29"/>
      <c r="N3000" s="29"/>
      <c r="P3000" s="4">
        <f t="shared" si="189"/>
        <v>-2.1476831257524386E-2</v>
      </c>
      <c r="Q3000" s="4">
        <f t="shared" si="189"/>
        <v>4.9188454411409517E-3</v>
      </c>
      <c r="R3000" s="4">
        <f t="shared" si="189"/>
        <v>-5.1151006667704887E-3</v>
      </c>
      <c r="S3000" s="4">
        <f t="shared" si="189"/>
        <v>-1.1535628208912645E-2</v>
      </c>
      <c r="T3000" s="4">
        <f t="shared" si="189"/>
        <v>-2.3750840152801971E-2</v>
      </c>
      <c r="U3000" s="35"/>
      <c r="V3000" s="35"/>
      <c r="W3000" s="35"/>
      <c r="X3000" s="35"/>
    </row>
    <row r="3001" spans="4:24" x14ac:dyDescent="0.3">
      <c r="D3001" s="23">
        <v>43937</v>
      </c>
      <c r="E3001" s="5">
        <v>262.80423000000002</v>
      </c>
      <c r="F3001" s="28">
        <v>78.821860000000001</v>
      </c>
      <c r="G3001" s="28">
        <v>161.71</v>
      </c>
      <c r="H3001" s="28">
        <v>208.21299999999999</v>
      </c>
      <c r="I3001" s="28">
        <v>130.9332</v>
      </c>
      <c r="J3001" s="29"/>
      <c r="K3001" s="29"/>
      <c r="L3001" s="29"/>
      <c r="M3001" s="29"/>
      <c r="N3001" s="29"/>
      <c r="P3001" s="4">
        <f t="shared" si="189"/>
        <v>4.8127793448930842E-3</v>
      </c>
      <c r="Q3001" s="4">
        <f t="shared" si="189"/>
        <v>5.7043593955558502E-4</v>
      </c>
      <c r="R3001" s="4">
        <f t="shared" si="189"/>
        <v>-8.6537278240080722E-4</v>
      </c>
      <c r="S3001" s="4">
        <f t="shared" si="189"/>
        <v>1.8075773674162826E-2</v>
      </c>
      <c r="T3001" s="4">
        <f t="shared" si="189"/>
        <v>4.6812604602683768E-3</v>
      </c>
      <c r="U3001" s="35"/>
      <c r="V3001" s="35"/>
      <c r="W3001" s="35"/>
      <c r="X3001" s="35"/>
    </row>
    <row r="3002" spans="4:24" x14ac:dyDescent="0.3">
      <c r="D3002" s="23">
        <v>43938</v>
      </c>
      <c r="E3002" s="5">
        <v>269.90396099999998</v>
      </c>
      <c r="F3002" s="28">
        <v>78.713980000000006</v>
      </c>
      <c r="G3002" s="28">
        <v>158.57</v>
      </c>
      <c r="H3002" s="28">
        <v>210.2047</v>
      </c>
      <c r="I3002" s="28">
        <v>134.63910000000001</v>
      </c>
      <c r="J3002" s="29"/>
      <c r="K3002" s="29"/>
      <c r="L3002" s="29"/>
      <c r="M3002" s="29"/>
      <c r="N3002" s="29"/>
      <c r="P3002" s="4">
        <f t="shared" si="189"/>
        <v>2.6656813350795276E-2</v>
      </c>
      <c r="Q3002" s="4">
        <f t="shared" si="189"/>
        <v>-1.3695933174737449E-3</v>
      </c>
      <c r="R3002" s="4">
        <f t="shared" si="189"/>
        <v>-1.9608471388376424E-2</v>
      </c>
      <c r="S3002" s="4">
        <f t="shared" si="189"/>
        <v>9.5202236571958095E-3</v>
      </c>
      <c r="T3002" s="4">
        <f t="shared" si="189"/>
        <v>2.7910595886486964E-2</v>
      </c>
      <c r="U3002" s="35"/>
      <c r="V3002" s="35"/>
      <c r="W3002" s="35"/>
      <c r="X3002" s="35"/>
    </row>
    <row r="3003" spans="4:24" x14ac:dyDescent="0.3">
      <c r="D3003" s="23">
        <v>43941</v>
      </c>
      <c r="E3003" s="5">
        <v>265.14880399999998</v>
      </c>
      <c r="F3003" s="28">
        <v>78.588130000000007</v>
      </c>
      <c r="G3003" s="28">
        <v>159.69999999999999</v>
      </c>
      <c r="H3003" s="28">
        <v>207.715</v>
      </c>
      <c r="I3003" s="28">
        <v>132.45689999999999</v>
      </c>
      <c r="J3003" s="29"/>
      <c r="K3003" s="29"/>
      <c r="L3003" s="29"/>
      <c r="M3003" s="29"/>
      <c r="N3003" s="29"/>
      <c r="P3003" s="4">
        <f t="shared" si="189"/>
        <v>-1.7775002803505035E-2</v>
      </c>
      <c r="Q3003" s="4">
        <f t="shared" si="189"/>
        <v>-1.6001060233910101E-3</v>
      </c>
      <c r="R3003" s="4">
        <f t="shared" si="189"/>
        <v>7.1009190194905314E-3</v>
      </c>
      <c r="S3003" s="4">
        <f t="shared" si="189"/>
        <v>-1.1914870028561626E-2</v>
      </c>
      <c r="T3003" s="4">
        <f t="shared" si="189"/>
        <v>-1.6340555876818468E-2</v>
      </c>
      <c r="U3003" s="35"/>
      <c r="V3003" s="35"/>
      <c r="W3003" s="35"/>
      <c r="X3003" s="35"/>
    </row>
    <row r="3004" spans="4:24" x14ac:dyDescent="0.3">
      <c r="D3004" s="23">
        <v>43942</v>
      </c>
      <c r="E3004" s="5">
        <v>257.09799199999998</v>
      </c>
      <c r="F3004" s="28">
        <v>78.687020000000004</v>
      </c>
      <c r="G3004" s="28">
        <v>158.61000000000001</v>
      </c>
      <c r="H3004" s="28">
        <v>200.0504</v>
      </c>
      <c r="I3004" s="28">
        <v>128.34649999999999</v>
      </c>
      <c r="J3004" s="29"/>
      <c r="K3004" s="29"/>
      <c r="L3004" s="29"/>
      <c r="M3004" s="29"/>
      <c r="N3004" s="29"/>
      <c r="P3004" s="4">
        <f t="shared" si="189"/>
        <v>-3.0833888867862574E-2</v>
      </c>
      <c r="Q3004" s="4">
        <f t="shared" si="189"/>
        <v>1.2575414874140224E-3</v>
      </c>
      <c r="R3004" s="4">
        <f t="shared" si="189"/>
        <v>-6.8486963054980414E-3</v>
      </c>
      <c r="S3004" s="4">
        <f t="shared" si="189"/>
        <v>-3.7597613020414859E-2</v>
      </c>
      <c r="T3004" s="4">
        <f t="shared" si="189"/>
        <v>-3.1523671731893937E-2</v>
      </c>
      <c r="U3004" s="35"/>
      <c r="V3004" s="35"/>
      <c r="W3004" s="35"/>
      <c r="X3004" s="35"/>
    </row>
    <row r="3005" spans="4:24" x14ac:dyDescent="0.3">
      <c r="D3005" s="23">
        <v>43943</v>
      </c>
      <c r="E3005" s="5">
        <v>262.80423000000002</v>
      </c>
      <c r="F3005" s="28">
        <v>78.624080000000006</v>
      </c>
      <c r="G3005" s="28">
        <v>161.72999999999999</v>
      </c>
      <c r="H3005" s="28">
        <v>205.98679999999999</v>
      </c>
      <c r="I3005" s="28">
        <v>131.24350000000001</v>
      </c>
      <c r="J3005" s="29"/>
      <c r="K3005" s="29"/>
      <c r="L3005" s="29"/>
      <c r="M3005" s="29"/>
      <c r="N3005" s="29"/>
      <c r="P3005" s="4">
        <f t="shared" si="189"/>
        <v>2.1952078320572336E-2</v>
      </c>
      <c r="Q3005" s="4">
        <f t="shared" si="189"/>
        <v>-8.0019786726379615E-4</v>
      </c>
      <c r="R3005" s="4">
        <f t="shared" si="189"/>
        <v>1.9479919216218299E-2</v>
      </c>
      <c r="S3005" s="4">
        <f t="shared" si="189"/>
        <v>2.9242754265246567E-2</v>
      </c>
      <c r="T3005" s="4">
        <f t="shared" si="189"/>
        <v>2.2320738676346655E-2</v>
      </c>
      <c r="U3005" s="35"/>
      <c r="V3005" s="35"/>
      <c r="W3005" s="35"/>
      <c r="X3005" s="35"/>
    </row>
    <row r="3006" spans="4:24" x14ac:dyDescent="0.3">
      <c r="D3006" s="23">
        <v>43944</v>
      </c>
      <c r="E3006" s="5">
        <v>262.78533900000002</v>
      </c>
      <c r="F3006" s="28">
        <v>78.749939999999995</v>
      </c>
      <c r="G3006" s="28">
        <v>163.34</v>
      </c>
      <c r="H3006" s="28">
        <v>205.54740000000001</v>
      </c>
      <c r="I3006" s="28">
        <v>131.26230000000001</v>
      </c>
      <c r="J3006" s="29"/>
      <c r="K3006" s="29"/>
      <c r="L3006" s="29"/>
      <c r="M3006" s="29"/>
      <c r="N3006" s="29"/>
      <c r="P3006" s="4">
        <f t="shared" si="189"/>
        <v>-7.1884988296379201E-5</v>
      </c>
      <c r="Q3006" s="4">
        <f t="shared" si="189"/>
        <v>1.5995019614216024E-3</v>
      </c>
      <c r="R3006" s="4">
        <f t="shared" si="189"/>
        <v>9.9056397984426444E-3</v>
      </c>
      <c r="S3006" s="4">
        <f t="shared" si="189"/>
        <v>-2.1354247932414212E-3</v>
      </c>
      <c r="T3006" s="4">
        <f t="shared" si="189"/>
        <v>1.4323493067307192E-4</v>
      </c>
      <c r="U3006" s="35"/>
      <c r="V3006" s="35"/>
      <c r="W3006" s="35"/>
      <c r="X3006" s="35"/>
    </row>
    <row r="3007" spans="4:24" x14ac:dyDescent="0.3">
      <c r="D3007" s="23">
        <v>43945</v>
      </c>
      <c r="E3007" s="5">
        <v>266.44827299999997</v>
      </c>
      <c r="F3007" s="28">
        <v>78.722980000000007</v>
      </c>
      <c r="G3007" s="28">
        <v>162.63999999999999</v>
      </c>
      <c r="H3007" s="28">
        <v>208.78899999999999</v>
      </c>
      <c r="I3007" s="28">
        <v>133.21889999999999</v>
      </c>
      <c r="J3007" s="29"/>
      <c r="K3007" s="29"/>
      <c r="L3007" s="29"/>
      <c r="M3007" s="29"/>
      <c r="N3007" s="29"/>
      <c r="P3007" s="4">
        <f t="shared" si="189"/>
        <v>1.3842629822521522E-2</v>
      </c>
      <c r="Q3007" s="4">
        <f t="shared" si="189"/>
        <v>-3.4240808214378726E-4</v>
      </c>
      <c r="R3007" s="4">
        <f t="shared" si="189"/>
        <v>-4.2947486100385346E-3</v>
      </c>
      <c r="S3007" s="4">
        <f t="shared" si="189"/>
        <v>1.5647508355026429E-2</v>
      </c>
      <c r="T3007" s="4">
        <f t="shared" si="189"/>
        <v>1.4796028565940115E-2</v>
      </c>
      <c r="U3007" s="35"/>
      <c r="V3007" s="35"/>
      <c r="W3007" s="35"/>
      <c r="X3007" s="35"/>
    </row>
    <row r="3008" spans="4:24" x14ac:dyDescent="0.3">
      <c r="D3008" s="23">
        <v>43948</v>
      </c>
      <c r="E3008" s="5">
        <v>270.290009</v>
      </c>
      <c r="F3008" s="28">
        <v>78.444280000000006</v>
      </c>
      <c r="G3008" s="28">
        <v>161.56</v>
      </c>
      <c r="H3008" s="28">
        <v>210.4684</v>
      </c>
      <c r="I3008" s="28">
        <v>135.57980000000001</v>
      </c>
      <c r="J3008" s="29"/>
      <c r="K3008" s="29"/>
      <c r="L3008" s="29"/>
      <c r="M3008" s="29"/>
      <c r="N3008" s="29"/>
      <c r="P3008" s="4">
        <f t="shared" si="189"/>
        <v>1.4315362759602627E-2</v>
      </c>
      <c r="Q3008" s="4">
        <f t="shared" si="189"/>
        <v>-3.546543881001351E-3</v>
      </c>
      <c r="R3008" s="4">
        <f t="shared" si="189"/>
        <v>-6.6625786248789625E-3</v>
      </c>
      <c r="S3008" s="4">
        <f t="shared" si="189"/>
        <v>8.0113504602393436E-3</v>
      </c>
      <c r="T3008" s="4">
        <f t="shared" si="189"/>
        <v>1.7566756925426873E-2</v>
      </c>
      <c r="U3008" s="35"/>
      <c r="V3008" s="35"/>
      <c r="W3008" s="35"/>
      <c r="X3008" s="35"/>
    </row>
    <row r="3009" spans="4:24" x14ac:dyDescent="0.3">
      <c r="D3009" s="23">
        <v>43949</v>
      </c>
      <c r="E3009" s="5">
        <v>269.04711900000001</v>
      </c>
      <c r="F3009" s="28">
        <v>78.678039999999996</v>
      </c>
      <c r="G3009" s="28">
        <v>160.84</v>
      </c>
      <c r="H3009" s="28">
        <v>206.5043</v>
      </c>
      <c r="I3009" s="28">
        <v>135.15649999999999</v>
      </c>
      <c r="J3009" s="29"/>
      <c r="K3009" s="29"/>
      <c r="L3009" s="29"/>
      <c r="M3009" s="29"/>
      <c r="N3009" s="29"/>
      <c r="P3009" s="4">
        <f t="shared" si="189"/>
        <v>-4.6089621338909438E-3</v>
      </c>
      <c r="Q3009" s="4">
        <f t="shared" si="189"/>
        <v>2.9755183409997817E-3</v>
      </c>
      <c r="R3009" s="4">
        <f t="shared" si="189"/>
        <v>-4.4665086661388872E-3</v>
      </c>
      <c r="S3009" s="4">
        <f t="shared" si="189"/>
        <v>-1.9014287659802204E-2</v>
      </c>
      <c r="T3009" s="4">
        <f t="shared" si="189"/>
        <v>-3.1270305823799501E-3</v>
      </c>
      <c r="U3009" s="35"/>
      <c r="V3009" s="35"/>
      <c r="W3009" s="35"/>
      <c r="X3009" s="35"/>
    </row>
    <row r="3010" spans="4:24" x14ac:dyDescent="0.3">
      <c r="D3010" s="23">
        <v>43950</v>
      </c>
      <c r="E3010" s="5">
        <v>276.09036300000002</v>
      </c>
      <c r="F3010" s="28">
        <v>78.731989999999996</v>
      </c>
      <c r="G3010" s="28">
        <v>161.72999999999999</v>
      </c>
      <c r="H3010" s="28">
        <v>213.8271</v>
      </c>
      <c r="I3010" s="28">
        <v>138.98480000000001</v>
      </c>
      <c r="J3010" s="29"/>
      <c r="K3010" s="29"/>
      <c r="L3010" s="29"/>
      <c r="M3010" s="29"/>
      <c r="N3010" s="29"/>
      <c r="P3010" s="4">
        <f t="shared" si="189"/>
        <v>2.5841686475401221E-2</v>
      </c>
      <c r="Q3010" s="4">
        <f t="shared" si="189"/>
        <v>6.854709590291395E-4</v>
      </c>
      <c r="R3010" s="4">
        <f t="shared" si="189"/>
        <v>5.5181961026136168E-3</v>
      </c>
      <c r="S3010" s="4">
        <f t="shared" si="189"/>
        <v>3.4846509105177843E-2</v>
      </c>
      <c r="T3010" s="4">
        <f t="shared" si="189"/>
        <v>2.7931208357758655E-2</v>
      </c>
      <c r="U3010" s="35"/>
      <c r="V3010" s="35"/>
      <c r="W3010" s="35"/>
      <c r="X3010" s="35"/>
    </row>
    <row r="3011" spans="4:24" x14ac:dyDescent="0.3">
      <c r="D3011" s="23">
        <v>43951</v>
      </c>
      <c r="E3011" s="5">
        <v>273.51977499999998</v>
      </c>
      <c r="F3011" s="28">
        <v>78.669030000000006</v>
      </c>
      <c r="G3011" s="28">
        <v>158.80000000000001</v>
      </c>
      <c r="H3011" s="28">
        <v>213.73920000000001</v>
      </c>
      <c r="I3011" s="28">
        <v>137.1788</v>
      </c>
      <c r="J3011" s="29"/>
      <c r="K3011" s="29"/>
      <c r="L3011" s="29"/>
      <c r="M3011" s="29"/>
      <c r="N3011" s="29"/>
      <c r="P3011" s="4">
        <f t="shared" si="189"/>
        <v>-9.3542915849093803E-3</v>
      </c>
      <c r="Q3011" s="4">
        <f t="shared" si="189"/>
        <v>-7.9999485845528618E-4</v>
      </c>
      <c r="R3011" s="4">
        <f t="shared" si="189"/>
        <v>-1.8282729318651537E-2</v>
      </c>
      <c r="S3011" s="4">
        <f t="shared" si="189"/>
        <v>-4.1116430943372999E-4</v>
      </c>
      <c r="T3011" s="4">
        <f t="shared" si="189"/>
        <v>-1.3079390231219082E-2</v>
      </c>
      <c r="U3011" s="35"/>
      <c r="V3011" s="35"/>
      <c r="W3011" s="35"/>
      <c r="X3011" s="35"/>
    </row>
    <row r="3012" spans="4:24" x14ac:dyDescent="0.3">
      <c r="D3012" s="23">
        <v>43952</v>
      </c>
      <c r="E3012" s="5">
        <v>266.27874800000001</v>
      </c>
      <c r="F3012" s="28">
        <v>78.63664</v>
      </c>
      <c r="G3012" s="28">
        <v>159.78</v>
      </c>
      <c r="H3012" s="28">
        <v>207.715</v>
      </c>
      <c r="I3012" s="28">
        <v>133.38820000000001</v>
      </c>
      <c r="J3012" s="29"/>
      <c r="K3012" s="29"/>
      <c r="L3012" s="29"/>
      <c r="M3012" s="29"/>
      <c r="N3012" s="29"/>
      <c r="P3012" s="4">
        <f t="shared" si="189"/>
        <v>-2.6830237817943772E-2</v>
      </c>
      <c r="Q3012" s="4">
        <f t="shared" si="189"/>
        <v>-4.1180970091861933E-4</v>
      </c>
      <c r="R3012" s="4">
        <f t="shared" si="189"/>
        <v>6.1523202408603874E-3</v>
      </c>
      <c r="S3012" s="4">
        <f t="shared" si="189"/>
        <v>-2.8589632402798049E-2</v>
      </c>
      <c r="T3012" s="4">
        <f t="shared" si="189"/>
        <v>-2.8021510605097555E-2</v>
      </c>
      <c r="U3012" s="35"/>
      <c r="V3012" s="35"/>
      <c r="W3012" s="35"/>
      <c r="X3012" s="35"/>
    </row>
    <row r="3013" spans="4:24" x14ac:dyDescent="0.3">
      <c r="D3013" s="23">
        <v>43955</v>
      </c>
      <c r="E3013" s="5">
        <v>267.01327500000002</v>
      </c>
      <c r="F3013" s="28">
        <v>78.717699999999994</v>
      </c>
      <c r="G3013" s="28">
        <v>160.34</v>
      </c>
      <c r="H3013" s="28">
        <v>210.13640000000001</v>
      </c>
      <c r="I3013" s="28">
        <v>133.89609999999999</v>
      </c>
      <c r="J3013" s="29"/>
      <c r="K3013" s="29"/>
      <c r="L3013" s="29"/>
      <c r="M3013" s="29"/>
      <c r="N3013" s="29"/>
      <c r="P3013" s="4">
        <f t="shared" ref="P3013:T3028" si="190">LN(E3013/E3012)</f>
        <v>2.75469136160584E-3</v>
      </c>
      <c r="Q3013" s="4">
        <f t="shared" si="190"/>
        <v>1.0302862592840689E-3</v>
      </c>
      <c r="R3013" s="4">
        <f t="shared" si="190"/>
        <v>3.4986915609097808E-3</v>
      </c>
      <c r="S3013" s="4">
        <f t="shared" si="190"/>
        <v>1.1589895855914245E-2</v>
      </c>
      <c r="T3013" s="4">
        <f t="shared" si="190"/>
        <v>3.8004522623911897E-3</v>
      </c>
      <c r="U3013" s="35"/>
      <c r="V3013" s="35"/>
      <c r="W3013" s="35"/>
      <c r="X3013" s="35"/>
    </row>
    <row r="3014" spans="4:24" x14ac:dyDescent="0.3">
      <c r="D3014" s="23">
        <v>43956</v>
      </c>
      <c r="E3014" s="5">
        <v>269.48019399999998</v>
      </c>
      <c r="F3014" s="28">
        <v>78.645629999999997</v>
      </c>
      <c r="G3014" s="28">
        <v>161.02000000000001</v>
      </c>
      <c r="H3014" s="28">
        <v>212.5188</v>
      </c>
      <c r="I3014" s="28">
        <v>135.1377</v>
      </c>
      <c r="J3014" s="29"/>
      <c r="K3014" s="29"/>
      <c r="L3014" s="29"/>
      <c r="M3014" s="29"/>
      <c r="N3014" s="29"/>
      <c r="P3014" s="4">
        <f t="shared" si="190"/>
        <v>9.1965197317825341E-3</v>
      </c>
      <c r="Q3014" s="4">
        <f t="shared" si="190"/>
        <v>-9.1596949605595921E-4</v>
      </c>
      <c r="R3014" s="4">
        <f t="shared" si="190"/>
        <v>4.2320202570291692E-3</v>
      </c>
      <c r="S3014" s="4">
        <f t="shared" si="190"/>
        <v>1.1273611361715978E-2</v>
      </c>
      <c r="T3014" s="4">
        <f t="shared" si="190"/>
        <v>9.2301325325370165E-3</v>
      </c>
      <c r="U3014" s="35"/>
      <c r="V3014" s="35"/>
      <c r="W3014" s="35"/>
      <c r="X3014" s="35"/>
    </row>
    <row r="3015" spans="4:24" x14ac:dyDescent="0.3">
      <c r="D3015" s="23">
        <v>43957</v>
      </c>
      <c r="E3015" s="5">
        <v>267.65344199999998</v>
      </c>
      <c r="F3015" s="28">
        <v>78.294319999999999</v>
      </c>
      <c r="G3015" s="28">
        <v>158.94999999999999</v>
      </c>
      <c r="H3015" s="28">
        <v>213.8271</v>
      </c>
      <c r="I3015" s="28">
        <v>134.3946</v>
      </c>
      <c r="J3015" s="29"/>
      <c r="K3015" s="29"/>
      <c r="L3015" s="29"/>
      <c r="M3015" s="29"/>
      <c r="N3015" s="29"/>
      <c r="P3015" s="4">
        <f t="shared" si="190"/>
        <v>-6.8018791620412878E-3</v>
      </c>
      <c r="Q3015" s="4">
        <f t="shared" si="190"/>
        <v>-4.4770064829575407E-3</v>
      </c>
      <c r="R3015" s="4">
        <f t="shared" si="190"/>
        <v>-1.2938893515023087E-2</v>
      </c>
      <c r="S3015" s="4">
        <f t="shared" si="190"/>
        <v>6.1372894946014724E-3</v>
      </c>
      <c r="T3015" s="4">
        <f t="shared" si="190"/>
        <v>-5.5140098814549241E-3</v>
      </c>
      <c r="U3015" s="35"/>
      <c r="V3015" s="35"/>
      <c r="W3015" s="35"/>
      <c r="X3015" s="35"/>
    </row>
    <row r="3016" spans="4:24" x14ac:dyDescent="0.3">
      <c r="D3016" s="23">
        <v>43958</v>
      </c>
      <c r="E3016" s="5">
        <v>270.88324</v>
      </c>
      <c r="F3016" s="28">
        <v>78.546549999999996</v>
      </c>
      <c r="G3016" s="28">
        <v>161.38999999999999</v>
      </c>
      <c r="H3016" s="28">
        <v>216.5805</v>
      </c>
      <c r="I3016" s="28">
        <v>136.15360000000001</v>
      </c>
      <c r="J3016" s="29"/>
      <c r="K3016" s="29"/>
      <c r="L3016" s="29"/>
      <c r="M3016" s="29"/>
      <c r="N3016" s="29"/>
      <c r="P3016" s="4">
        <f t="shared" si="190"/>
        <v>1.1994862494079954E-2</v>
      </c>
      <c r="Q3016" s="4">
        <f t="shared" si="190"/>
        <v>3.2163838092184233E-3</v>
      </c>
      <c r="R3016" s="4">
        <f t="shared" si="190"/>
        <v>1.5234108690919419E-2</v>
      </c>
      <c r="S3016" s="4">
        <f t="shared" si="190"/>
        <v>1.2794558279305817E-2</v>
      </c>
      <c r="T3016" s="4">
        <f t="shared" si="190"/>
        <v>1.3003411484659184E-2</v>
      </c>
      <c r="U3016" s="35"/>
      <c r="V3016" s="35"/>
      <c r="W3016" s="35"/>
      <c r="X3016" s="35"/>
    </row>
    <row r="3017" spans="4:24" x14ac:dyDescent="0.3">
      <c r="D3017" s="23">
        <v>43959</v>
      </c>
      <c r="E3017" s="5">
        <v>275.36532599999998</v>
      </c>
      <c r="F3017" s="28">
        <v>78.321340000000006</v>
      </c>
      <c r="G3017" s="28">
        <v>160.41999999999999</v>
      </c>
      <c r="H3017" s="28">
        <v>219.5487</v>
      </c>
      <c r="I3017" s="28">
        <v>138.71199999999999</v>
      </c>
      <c r="J3017" s="29"/>
      <c r="K3017" s="29"/>
      <c r="L3017" s="29"/>
      <c r="M3017" s="29"/>
      <c r="N3017" s="29"/>
      <c r="P3017" s="4">
        <f t="shared" si="190"/>
        <v>1.6410794899288542E-2</v>
      </c>
      <c r="Q3017" s="4">
        <f t="shared" si="190"/>
        <v>-2.8713352965973127E-3</v>
      </c>
      <c r="R3017" s="4">
        <f t="shared" si="190"/>
        <v>-6.0284201089525298E-3</v>
      </c>
      <c r="S3017" s="4">
        <f t="shared" si="190"/>
        <v>1.3611772974413858E-2</v>
      </c>
      <c r="T3017" s="4">
        <f t="shared" si="190"/>
        <v>1.8616181047272289E-2</v>
      </c>
      <c r="U3017" s="35"/>
      <c r="V3017" s="35"/>
      <c r="W3017" s="35"/>
      <c r="X3017" s="35"/>
    </row>
    <row r="3018" spans="4:24" x14ac:dyDescent="0.3">
      <c r="D3018" s="23">
        <v>43962</v>
      </c>
      <c r="E3018" s="5">
        <v>275.42181399999998</v>
      </c>
      <c r="F3018" s="28">
        <v>78.078140000000005</v>
      </c>
      <c r="G3018" s="28">
        <v>159.41999999999999</v>
      </c>
      <c r="H3018" s="28">
        <v>221.5112</v>
      </c>
      <c r="I3018" s="28">
        <v>138.73079999999999</v>
      </c>
      <c r="J3018" s="29"/>
      <c r="K3018" s="29"/>
      <c r="L3018" s="29"/>
      <c r="M3018" s="29"/>
      <c r="N3018" s="29"/>
      <c r="P3018" s="4">
        <f t="shared" si="190"/>
        <v>2.0511735331392889E-4</v>
      </c>
      <c r="Q3018" s="4">
        <f t="shared" si="190"/>
        <v>-3.1099872713079208E-3</v>
      </c>
      <c r="R3018" s="4">
        <f t="shared" si="190"/>
        <v>-6.2531469390013994E-3</v>
      </c>
      <c r="S3018" s="4">
        <f t="shared" si="190"/>
        <v>8.8990767532067545E-3</v>
      </c>
      <c r="T3018" s="4">
        <f t="shared" si="190"/>
        <v>1.3552343062253039E-4</v>
      </c>
      <c r="U3018" s="35"/>
      <c r="V3018" s="35"/>
      <c r="W3018" s="35"/>
      <c r="X3018" s="35"/>
    </row>
    <row r="3019" spans="4:24" x14ac:dyDescent="0.3">
      <c r="D3019" s="23">
        <v>43963</v>
      </c>
      <c r="E3019" s="5">
        <v>269.93221999999997</v>
      </c>
      <c r="F3019" s="28">
        <v>78.330349999999996</v>
      </c>
      <c r="G3019" s="28">
        <v>160.04</v>
      </c>
      <c r="H3019" s="28">
        <v>216.8734</v>
      </c>
      <c r="I3019" s="28">
        <v>135.7773</v>
      </c>
      <c r="J3019" s="29"/>
      <c r="K3019" s="29"/>
      <c r="L3019" s="29"/>
      <c r="M3019" s="29"/>
      <c r="N3019" s="29"/>
      <c r="P3019" s="4">
        <f t="shared" si="190"/>
        <v>-2.0132901135576975E-2</v>
      </c>
      <c r="Q3019" s="4">
        <f t="shared" si="190"/>
        <v>3.2250195446261319E-3</v>
      </c>
      <c r="R3019" s="4">
        <f t="shared" si="190"/>
        <v>3.8815549892572193E-3</v>
      </c>
      <c r="S3019" s="4">
        <f t="shared" si="190"/>
        <v>-2.1159379388647523E-2</v>
      </c>
      <c r="T3019" s="4">
        <f t="shared" si="190"/>
        <v>-2.151932110546808E-2</v>
      </c>
      <c r="U3019" s="35"/>
      <c r="V3019" s="35"/>
      <c r="W3019" s="35"/>
      <c r="X3019" s="35"/>
    </row>
    <row r="3020" spans="4:24" x14ac:dyDescent="0.3">
      <c r="D3020" s="23">
        <v>43964</v>
      </c>
      <c r="E3020" s="5">
        <v>265.15820300000001</v>
      </c>
      <c r="F3020" s="28">
        <v>78.420439999999999</v>
      </c>
      <c r="G3020" s="28">
        <v>161.58000000000001</v>
      </c>
      <c r="H3020" s="28">
        <v>214.1591</v>
      </c>
      <c r="I3020" s="28">
        <v>133.04949999999999</v>
      </c>
      <c r="J3020" s="29"/>
      <c r="K3020" s="29"/>
      <c r="L3020" s="29"/>
      <c r="M3020" s="29"/>
      <c r="N3020" s="29"/>
      <c r="P3020" s="4">
        <f t="shared" si="190"/>
        <v>-1.784425013631722E-2</v>
      </c>
      <c r="Q3020" s="4">
        <f t="shared" si="190"/>
        <v>1.1494680176028233E-3</v>
      </c>
      <c r="R3020" s="4">
        <f t="shared" si="190"/>
        <v>9.5765920625284426E-3</v>
      </c>
      <c r="S3020" s="4">
        <f t="shared" si="190"/>
        <v>-1.2594576414475476E-2</v>
      </c>
      <c r="T3020" s="4">
        <f t="shared" si="190"/>
        <v>-2.0294804136608988E-2</v>
      </c>
      <c r="U3020" s="35"/>
      <c r="V3020" s="35"/>
      <c r="W3020" s="35"/>
      <c r="X3020" s="35"/>
    </row>
    <row r="3021" spans="4:24" x14ac:dyDescent="0.3">
      <c r="D3021" s="23">
        <v>43965</v>
      </c>
      <c r="E3021" s="5">
        <v>268.33148199999999</v>
      </c>
      <c r="F3021" s="28">
        <v>78.63664</v>
      </c>
      <c r="G3021" s="28">
        <v>163.01</v>
      </c>
      <c r="H3021" s="28">
        <v>216.59030000000001</v>
      </c>
      <c r="I3021" s="28">
        <v>134.47929999999999</v>
      </c>
      <c r="J3021" s="29"/>
      <c r="K3021" s="29"/>
      <c r="L3021" s="29"/>
      <c r="M3021" s="29"/>
      <c r="N3021" s="29"/>
      <c r="P3021" s="4">
        <f t="shared" si="190"/>
        <v>1.1896449037821891E-2</v>
      </c>
      <c r="Q3021" s="4">
        <f t="shared" si="190"/>
        <v>2.7531409161871499E-3</v>
      </c>
      <c r="R3021" s="4">
        <f t="shared" si="190"/>
        <v>8.8111725666356853E-3</v>
      </c>
      <c r="S3021" s="4">
        <f t="shared" si="190"/>
        <v>1.1288353816124025E-2</v>
      </c>
      <c r="T3021" s="4">
        <f t="shared" si="190"/>
        <v>1.068904442091639E-2</v>
      </c>
      <c r="U3021" s="35"/>
      <c r="V3021" s="35"/>
      <c r="W3021" s="35"/>
      <c r="X3021" s="35"/>
    </row>
    <row r="3022" spans="4:24" x14ac:dyDescent="0.3">
      <c r="D3022" s="23">
        <v>43966</v>
      </c>
      <c r="E3022" s="5">
        <v>269.56494099999998</v>
      </c>
      <c r="F3022" s="28">
        <v>78.681659999999994</v>
      </c>
      <c r="G3022" s="28">
        <v>163.93</v>
      </c>
      <c r="H3022" s="28">
        <v>217.99619999999999</v>
      </c>
      <c r="I3022" s="28">
        <v>135.28819999999999</v>
      </c>
      <c r="J3022" s="29"/>
      <c r="K3022" s="29"/>
      <c r="L3022" s="29"/>
      <c r="M3022" s="29"/>
      <c r="N3022" s="29"/>
      <c r="P3022" s="4">
        <f t="shared" si="190"/>
        <v>4.5862404331559921E-3</v>
      </c>
      <c r="Q3022" s="4">
        <f t="shared" si="190"/>
        <v>5.723428390587939E-4</v>
      </c>
      <c r="R3022" s="4">
        <f t="shared" si="190"/>
        <v>5.6279588201666002E-3</v>
      </c>
      <c r="S3022" s="4">
        <f t="shared" si="190"/>
        <v>6.4700808905590055E-3</v>
      </c>
      <c r="T3022" s="4">
        <f t="shared" si="190"/>
        <v>5.9970339221728005E-3</v>
      </c>
      <c r="U3022" s="35"/>
      <c r="V3022" s="35"/>
      <c r="W3022" s="35"/>
      <c r="X3022" s="35"/>
    </row>
    <row r="3023" spans="4:24" x14ac:dyDescent="0.3">
      <c r="D3023" s="23">
        <v>43969</v>
      </c>
      <c r="E3023" s="5">
        <v>277.77581800000002</v>
      </c>
      <c r="F3023" s="28">
        <v>78.537530000000004</v>
      </c>
      <c r="G3023" s="28">
        <v>162.69</v>
      </c>
      <c r="H3023" s="28">
        <v>222.05799999999999</v>
      </c>
      <c r="I3023" s="28">
        <v>139.7749</v>
      </c>
      <c r="J3023" s="29"/>
      <c r="K3023" s="29"/>
      <c r="L3023" s="29"/>
      <c r="M3023" s="29"/>
      <c r="N3023" s="29"/>
      <c r="P3023" s="4">
        <f t="shared" si="190"/>
        <v>3.0005048514257854E-2</v>
      </c>
      <c r="Q3023" s="4">
        <f t="shared" si="190"/>
        <v>-1.8334917051374172E-3</v>
      </c>
      <c r="R3023" s="4">
        <f t="shared" si="190"/>
        <v>-7.5929579172859842E-3</v>
      </c>
      <c r="S3023" s="4">
        <f t="shared" si="190"/>
        <v>1.846097756625717E-2</v>
      </c>
      <c r="T3023" s="4">
        <f t="shared" si="190"/>
        <v>3.2625953702925224E-2</v>
      </c>
      <c r="U3023" s="35"/>
      <c r="V3023" s="35"/>
      <c r="W3023" s="35"/>
      <c r="X3023" s="35"/>
    </row>
    <row r="3024" spans="4:24" x14ac:dyDescent="0.3">
      <c r="D3024" s="23">
        <v>43970</v>
      </c>
      <c r="E3024" s="5">
        <v>274.92279100000002</v>
      </c>
      <c r="F3024" s="28">
        <v>78.63664</v>
      </c>
      <c r="G3024" s="28">
        <v>164.26</v>
      </c>
      <c r="H3024" s="28">
        <v>221.50149999999999</v>
      </c>
      <c r="I3024" s="28">
        <v>138.28870000000001</v>
      </c>
      <c r="J3024" s="29"/>
      <c r="K3024" s="29"/>
      <c r="L3024" s="29"/>
      <c r="M3024" s="29"/>
      <c r="N3024" s="29"/>
      <c r="P3024" s="4">
        <f t="shared" si="190"/>
        <v>-1.032408004908085E-2</v>
      </c>
      <c r="Q3024" s="4">
        <f t="shared" si="190"/>
        <v>1.2611488660786354E-3</v>
      </c>
      <c r="R3024" s="4">
        <f t="shared" si="190"/>
        <v>9.6039887909671173E-3</v>
      </c>
      <c r="S3024" s="4">
        <f t="shared" si="190"/>
        <v>-2.5092475394708539E-3</v>
      </c>
      <c r="T3024" s="4">
        <f t="shared" si="190"/>
        <v>-1.0689742579657376E-2</v>
      </c>
      <c r="U3024" s="35"/>
      <c r="V3024" s="35"/>
      <c r="W3024" s="35"/>
      <c r="X3024" s="35"/>
    </row>
    <row r="3025" spans="4:24" x14ac:dyDescent="0.3">
      <c r="D3025" s="23">
        <v>43971</v>
      </c>
      <c r="E3025" s="5">
        <v>279.59310900000003</v>
      </c>
      <c r="F3025" s="28">
        <v>78.843779999999995</v>
      </c>
      <c r="G3025" s="28">
        <v>164.65</v>
      </c>
      <c r="H3025" s="28">
        <v>225.92439999999999</v>
      </c>
      <c r="I3025" s="28">
        <v>140.84719999999999</v>
      </c>
      <c r="J3025" s="29"/>
      <c r="K3025" s="29"/>
      <c r="L3025" s="29"/>
      <c r="M3025" s="29"/>
      <c r="N3025" s="29"/>
      <c r="P3025" s="4">
        <f t="shared" si="190"/>
        <v>1.6845065887088742E-2</v>
      </c>
      <c r="Q3025" s="4">
        <f t="shared" si="190"/>
        <v>2.6306777624641006E-3</v>
      </c>
      <c r="R3025" s="4">
        <f t="shared" si="190"/>
        <v>2.3714705103272168E-3</v>
      </c>
      <c r="S3025" s="4">
        <f t="shared" si="190"/>
        <v>1.9771068564614091E-2</v>
      </c>
      <c r="T3025" s="4">
        <f t="shared" si="190"/>
        <v>1.8332085923286858E-2</v>
      </c>
      <c r="U3025" s="35"/>
      <c r="V3025" s="35"/>
      <c r="W3025" s="35"/>
      <c r="X3025" s="35"/>
    </row>
    <row r="3026" spans="4:24" x14ac:dyDescent="0.3">
      <c r="D3026" s="23">
        <v>43972</v>
      </c>
      <c r="E3026" s="5">
        <v>277.66287199999999</v>
      </c>
      <c r="F3026" s="28">
        <v>78.924859999999995</v>
      </c>
      <c r="G3026" s="28">
        <v>162.25</v>
      </c>
      <c r="H3026" s="28">
        <v>223.464</v>
      </c>
      <c r="I3026" s="28">
        <v>140.00059999999999</v>
      </c>
      <c r="J3026" s="29"/>
      <c r="K3026" s="29"/>
      <c r="L3026" s="29"/>
      <c r="M3026" s="29"/>
      <c r="N3026" s="29"/>
      <c r="P3026" s="4">
        <f t="shared" si="190"/>
        <v>-6.9276769943507161E-3</v>
      </c>
      <c r="Q3026" s="4">
        <f t="shared" si="190"/>
        <v>1.0278342658977464E-3</v>
      </c>
      <c r="R3026" s="4">
        <f t="shared" si="190"/>
        <v>-1.4683653238173897E-2</v>
      </c>
      <c r="S3026" s="4">
        <f t="shared" si="190"/>
        <v>-1.0950102781565432E-2</v>
      </c>
      <c r="T3026" s="4">
        <f t="shared" si="190"/>
        <v>-6.0289065061548634E-3</v>
      </c>
      <c r="U3026" s="35"/>
      <c r="V3026" s="35"/>
      <c r="W3026" s="35"/>
      <c r="X3026" s="35"/>
    </row>
    <row r="3027" spans="4:24" x14ac:dyDescent="0.3">
      <c r="D3027" s="23">
        <v>43973</v>
      </c>
      <c r="E3027" s="5">
        <v>278.190155</v>
      </c>
      <c r="F3027" s="28">
        <v>78.95187</v>
      </c>
      <c r="G3027" s="28">
        <v>163.21</v>
      </c>
      <c r="H3027" s="28">
        <v>224.2353</v>
      </c>
      <c r="I3027" s="28">
        <v>140.39570000000001</v>
      </c>
      <c r="J3027" s="29"/>
      <c r="K3027" s="29"/>
      <c r="L3027" s="29"/>
      <c r="M3027" s="29"/>
      <c r="N3027" s="29"/>
      <c r="P3027" s="4">
        <f t="shared" si="190"/>
        <v>1.8972035144019898E-3</v>
      </c>
      <c r="Q3027" s="4">
        <f t="shared" si="190"/>
        <v>3.4216569172079427E-4</v>
      </c>
      <c r="R3027" s="4">
        <f t="shared" si="190"/>
        <v>5.8993595784051552E-3</v>
      </c>
      <c r="S3027" s="4">
        <f t="shared" si="190"/>
        <v>3.4456196964864792E-3</v>
      </c>
      <c r="T3027" s="4">
        <f t="shared" si="190"/>
        <v>2.8181560276683139E-3</v>
      </c>
      <c r="U3027" s="35"/>
      <c r="V3027" s="35"/>
      <c r="W3027" s="35"/>
      <c r="X3027" s="35"/>
    </row>
    <row r="3028" spans="4:24" x14ac:dyDescent="0.3">
      <c r="D3028" s="23">
        <v>43977</v>
      </c>
      <c r="E3028" s="5">
        <v>281.61764499999998</v>
      </c>
      <c r="F3028" s="28">
        <v>78.906819999999996</v>
      </c>
      <c r="G3028" s="28">
        <v>160.88999999999999</v>
      </c>
      <c r="H3028" s="28">
        <v>223.62989999999999</v>
      </c>
      <c r="I3028" s="28">
        <v>142.35220000000001</v>
      </c>
      <c r="J3028" s="29"/>
      <c r="K3028" s="29"/>
      <c r="L3028" s="29"/>
      <c r="M3028" s="29"/>
      <c r="N3028" s="29"/>
      <c r="P3028" s="4">
        <f t="shared" si="190"/>
        <v>1.2245391468736214E-2</v>
      </c>
      <c r="Q3028" s="4">
        <f t="shared" si="190"/>
        <v>-5.7076365226397467E-4</v>
      </c>
      <c r="R3028" s="4">
        <f t="shared" si="190"/>
        <v>-1.4316813499661097E-2</v>
      </c>
      <c r="S3028" s="4">
        <f t="shared" si="190"/>
        <v>-2.7034936794949039E-3</v>
      </c>
      <c r="T3028" s="4">
        <f t="shared" si="190"/>
        <v>1.3839404127316754E-2</v>
      </c>
      <c r="U3028" s="35"/>
      <c r="V3028" s="35"/>
      <c r="W3028" s="35"/>
      <c r="X3028" s="35"/>
    </row>
    <row r="3029" spans="4:24" x14ac:dyDescent="0.3">
      <c r="D3029" s="23">
        <v>43978</v>
      </c>
      <c r="E3029" s="5">
        <v>285.80773900000003</v>
      </c>
      <c r="F3029" s="28">
        <v>78.942920000000001</v>
      </c>
      <c r="G3029" s="28">
        <v>161.18</v>
      </c>
      <c r="H3029" s="28">
        <v>224.85040000000001</v>
      </c>
      <c r="I3029" s="28">
        <v>144.6002</v>
      </c>
      <c r="J3029" s="29"/>
      <c r="K3029" s="29"/>
      <c r="L3029" s="29"/>
      <c r="M3029" s="29"/>
      <c r="N3029" s="29"/>
      <c r="P3029" s="4">
        <f t="shared" ref="P3029:T3044" si="191">LN(E3029/E3028)</f>
        <v>1.4769061383661287E-2</v>
      </c>
      <c r="Q3029" s="4">
        <f t="shared" si="191"/>
        <v>4.573970236425989E-4</v>
      </c>
      <c r="R3029" s="4">
        <f t="shared" si="191"/>
        <v>1.8008512334218463E-3</v>
      </c>
      <c r="S3029" s="4">
        <f t="shared" si="191"/>
        <v>5.4428389075576473E-3</v>
      </c>
      <c r="T3029" s="4">
        <f t="shared" si="191"/>
        <v>1.5668424380180835E-2</v>
      </c>
      <c r="U3029" s="35"/>
      <c r="V3029" s="35"/>
      <c r="W3029" s="35"/>
      <c r="X3029" s="35"/>
    </row>
    <row r="3030" spans="4:24" x14ac:dyDescent="0.3">
      <c r="D3030" s="23">
        <v>43979</v>
      </c>
      <c r="E3030" s="5">
        <v>285.28045700000001</v>
      </c>
      <c r="F3030" s="28">
        <v>78.969890000000007</v>
      </c>
      <c r="G3030" s="28">
        <v>161.72</v>
      </c>
      <c r="H3030" s="28">
        <v>224.5575</v>
      </c>
      <c r="I3030" s="28">
        <v>144.10169999999999</v>
      </c>
      <c r="J3030" s="29"/>
      <c r="K3030" s="29"/>
      <c r="L3030" s="29"/>
      <c r="M3030" s="29"/>
      <c r="N3030" s="29"/>
      <c r="P3030" s="4">
        <f t="shared" si="191"/>
        <v>-1.8465874571531934E-3</v>
      </c>
      <c r="Q3030" s="4">
        <f t="shared" si="191"/>
        <v>3.4158090483280771E-4</v>
      </c>
      <c r="R3030" s="4">
        <f t="shared" si="191"/>
        <v>3.344691876204715E-3</v>
      </c>
      <c r="S3030" s="4">
        <f t="shared" si="191"/>
        <v>-1.303493069312132E-3</v>
      </c>
      <c r="T3030" s="4">
        <f t="shared" si="191"/>
        <v>-3.4533925507418623E-3</v>
      </c>
      <c r="U3030" s="35"/>
      <c r="V3030" s="35"/>
      <c r="W3030" s="35"/>
      <c r="X3030" s="35"/>
    </row>
    <row r="3031" spans="4:24" x14ac:dyDescent="0.3">
      <c r="D3031" s="23">
        <v>43980</v>
      </c>
      <c r="E3031" s="5">
        <v>286.55166600000001</v>
      </c>
      <c r="F3031" s="28">
        <v>79.195080000000004</v>
      </c>
      <c r="G3031" s="28">
        <v>162.91</v>
      </c>
      <c r="H3031" s="28">
        <v>227.84790000000001</v>
      </c>
      <c r="I3031" s="28">
        <v>144.5814</v>
      </c>
      <c r="J3031" s="29"/>
      <c r="K3031" s="29"/>
      <c r="L3031" s="29"/>
      <c r="M3031" s="29"/>
      <c r="N3031" s="29"/>
      <c r="P3031" s="4">
        <f t="shared" si="191"/>
        <v>4.4460989264242939E-3</v>
      </c>
      <c r="Q3031" s="4">
        <f t="shared" si="191"/>
        <v>2.847535104162734E-3</v>
      </c>
      <c r="R3031" s="4">
        <f t="shared" si="191"/>
        <v>7.3314563055079046E-3</v>
      </c>
      <c r="S3031" s="4">
        <f t="shared" si="191"/>
        <v>1.4546501967981164E-2</v>
      </c>
      <c r="T3031" s="4">
        <f t="shared" si="191"/>
        <v>3.3233704468009807E-3</v>
      </c>
      <c r="U3031" s="35"/>
      <c r="V3031" s="35"/>
      <c r="W3031" s="35"/>
      <c r="X3031" s="35"/>
    </row>
    <row r="3032" spans="4:24" x14ac:dyDescent="0.3">
      <c r="D3032" s="23">
        <v>43983</v>
      </c>
      <c r="E3032" s="5">
        <v>287.70983899999999</v>
      </c>
      <c r="F3032" s="28">
        <v>79.131</v>
      </c>
      <c r="G3032" s="28">
        <v>163.66</v>
      </c>
      <c r="H3032" s="28">
        <v>228.53139999999999</v>
      </c>
      <c r="I3032" s="28">
        <v>145.55969999999999</v>
      </c>
      <c r="J3032" s="29"/>
      <c r="K3032" s="29"/>
      <c r="L3032" s="29"/>
      <c r="M3032" s="29"/>
      <c r="N3032" s="29"/>
      <c r="P3032" s="4">
        <f t="shared" si="191"/>
        <v>4.033613816036793E-3</v>
      </c>
      <c r="Q3032" s="4">
        <f t="shared" si="191"/>
        <v>-8.0946870533252105E-4</v>
      </c>
      <c r="R3032" s="4">
        <f t="shared" si="191"/>
        <v>4.5932040211577986E-3</v>
      </c>
      <c r="S3032" s="4">
        <f t="shared" si="191"/>
        <v>2.9953177588291943E-3</v>
      </c>
      <c r="T3032" s="4">
        <f t="shared" si="191"/>
        <v>6.7436409904327987E-3</v>
      </c>
      <c r="U3032" s="35"/>
      <c r="V3032" s="35"/>
      <c r="W3032" s="35"/>
      <c r="X3032" s="35"/>
    </row>
    <row r="3033" spans="4:24" x14ac:dyDescent="0.3">
      <c r="D3033" s="23">
        <v>43984</v>
      </c>
      <c r="E3033" s="5">
        <v>290.09210200000001</v>
      </c>
      <c r="F3033" s="28">
        <v>79.194180000000003</v>
      </c>
      <c r="G3033" s="28">
        <v>162.6</v>
      </c>
      <c r="H3033" s="28">
        <v>230.0643</v>
      </c>
      <c r="I3033" s="28">
        <v>146.6602</v>
      </c>
      <c r="J3033" s="29"/>
      <c r="K3033" s="29"/>
      <c r="L3033" s="29"/>
      <c r="M3033" s="29"/>
      <c r="N3033" s="29"/>
      <c r="P3033" s="4">
        <f t="shared" si="191"/>
        <v>8.2459968710045742E-3</v>
      </c>
      <c r="Q3033" s="4">
        <f t="shared" si="191"/>
        <v>7.9810429842750645E-4</v>
      </c>
      <c r="R3033" s="4">
        <f t="shared" si="191"/>
        <v>-6.4979079855254432E-3</v>
      </c>
      <c r="S3033" s="4">
        <f t="shared" si="191"/>
        <v>6.6852162331270835E-3</v>
      </c>
      <c r="T3033" s="4">
        <f t="shared" si="191"/>
        <v>7.5320346270092223E-3</v>
      </c>
      <c r="U3033" s="35"/>
      <c r="V3033" s="35"/>
      <c r="W3033" s="35"/>
      <c r="X3033" s="35"/>
    </row>
    <row r="3034" spans="4:24" x14ac:dyDescent="0.3">
      <c r="D3034" s="23">
        <v>43985</v>
      </c>
      <c r="E3034" s="5">
        <v>293.952789</v>
      </c>
      <c r="F3034" s="28">
        <v>79.0137</v>
      </c>
      <c r="G3034" s="28">
        <v>159.6</v>
      </c>
      <c r="H3034" s="28">
        <v>231.0993</v>
      </c>
      <c r="I3034" s="28">
        <v>148.94589999999999</v>
      </c>
      <c r="J3034" s="29"/>
      <c r="K3034" s="29"/>
      <c r="L3034" s="29"/>
      <c r="M3034" s="29"/>
      <c r="N3034" s="29"/>
      <c r="P3034" s="4">
        <f t="shared" si="191"/>
        <v>1.3220707149463782E-2</v>
      </c>
      <c r="Q3034" s="4">
        <f t="shared" si="191"/>
        <v>-2.2815561183259993E-3</v>
      </c>
      <c r="R3034" s="4">
        <f t="shared" si="191"/>
        <v>-1.8622512098001798E-2</v>
      </c>
      <c r="S3034" s="4">
        <f t="shared" si="191"/>
        <v>4.4886532144561165E-3</v>
      </c>
      <c r="T3034" s="4">
        <f t="shared" si="191"/>
        <v>1.5464806401928599E-2</v>
      </c>
      <c r="U3034" s="35"/>
      <c r="V3034" s="35"/>
      <c r="W3034" s="35"/>
      <c r="X3034" s="35"/>
    </row>
    <row r="3035" spans="4:24" x14ac:dyDescent="0.3">
      <c r="D3035" s="23">
        <v>43986</v>
      </c>
      <c r="E3035" s="5">
        <v>293.180634</v>
      </c>
      <c r="F3035" s="28">
        <v>78.824160000000006</v>
      </c>
      <c r="G3035" s="28">
        <v>161.28</v>
      </c>
      <c r="H3035" s="28">
        <v>229.4785</v>
      </c>
      <c r="I3035" s="28">
        <v>148.47559999999999</v>
      </c>
      <c r="J3035" s="29"/>
      <c r="K3035" s="29"/>
      <c r="L3035" s="29"/>
      <c r="M3035" s="29"/>
      <c r="N3035" s="29"/>
      <c r="P3035" s="4">
        <f t="shared" si="191"/>
        <v>-2.6302554578399111E-3</v>
      </c>
      <c r="Q3035" s="4">
        <f t="shared" si="191"/>
        <v>-2.4017062966844192E-3</v>
      </c>
      <c r="R3035" s="4">
        <f t="shared" si="191"/>
        <v>1.0471299867295437E-2</v>
      </c>
      <c r="S3035" s="4">
        <f t="shared" si="191"/>
        <v>-7.0381450890055902E-3</v>
      </c>
      <c r="T3035" s="4">
        <f t="shared" si="191"/>
        <v>-3.1625177868858656E-3</v>
      </c>
      <c r="U3035" s="35"/>
      <c r="V3035" s="35"/>
      <c r="W3035" s="35"/>
      <c r="X3035" s="35"/>
    </row>
    <row r="3036" spans="4:24" x14ac:dyDescent="0.3">
      <c r="D3036" s="23">
        <v>43987</v>
      </c>
      <c r="E3036" s="5">
        <v>300.69470200000001</v>
      </c>
      <c r="F3036" s="28">
        <v>78.815150000000003</v>
      </c>
      <c r="G3036" s="28">
        <v>158.01</v>
      </c>
      <c r="H3036" s="28">
        <v>234.0284</v>
      </c>
      <c r="I3036" s="28">
        <v>152.285</v>
      </c>
      <c r="J3036" s="29"/>
      <c r="K3036" s="29"/>
      <c r="L3036" s="29"/>
      <c r="M3036" s="29"/>
      <c r="N3036" s="29"/>
      <c r="P3036" s="4">
        <f t="shared" si="191"/>
        <v>2.5306553596432673E-2</v>
      </c>
      <c r="Q3036" s="4">
        <f t="shared" si="191"/>
        <v>-1.1431158902960929E-4</v>
      </c>
      <c r="R3036" s="4">
        <f t="shared" si="191"/>
        <v>-2.0483662719596188E-2</v>
      </c>
      <c r="S3036" s="4">
        <f t="shared" si="191"/>
        <v>1.9633132319663602E-2</v>
      </c>
      <c r="T3036" s="4">
        <f t="shared" si="191"/>
        <v>2.5333130249840519E-2</v>
      </c>
      <c r="U3036" s="35"/>
      <c r="V3036" s="35"/>
      <c r="W3036" s="35"/>
      <c r="X3036" s="35"/>
    </row>
    <row r="3037" spans="4:24" x14ac:dyDescent="0.3">
      <c r="D3037" s="23">
        <v>43990</v>
      </c>
      <c r="E3037" s="5">
        <v>304.32931500000001</v>
      </c>
      <c r="F3037" s="28">
        <v>78.896360000000001</v>
      </c>
      <c r="G3037" s="28">
        <v>159.72</v>
      </c>
      <c r="H3037" s="28">
        <v>235.84450000000001</v>
      </c>
      <c r="I3037" s="28">
        <v>154.3544</v>
      </c>
      <c r="J3037" s="29"/>
      <c r="K3037" s="29"/>
      <c r="L3037" s="29"/>
      <c r="M3037" s="29"/>
      <c r="N3037" s="29"/>
      <c r="P3037" s="4">
        <f t="shared" si="191"/>
        <v>1.2014917165691502E-2</v>
      </c>
      <c r="Q3037" s="4">
        <f t="shared" si="191"/>
        <v>1.029855172620284E-3</v>
      </c>
      <c r="R3037" s="4">
        <f t="shared" si="191"/>
        <v>1.0763960031613036E-2</v>
      </c>
      <c r="S3037" s="4">
        <f t="shared" si="191"/>
        <v>7.7302140370099463E-3</v>
      </c>
      <c r="T3037" s="4">
        <f t="shared" si="191"/>
        <v>1.3497491954656583E-2</v>
      </c>
      <c r="U3037" s="35"/>
      <c r="V3037" s="35"/>
      <c r="W3037" s="35"/>
      <c r="X3037" s="35"/>
    </row>
    <row r="3038" spans="4:24" x14ac:dyDescent="0.3">
      <c r="D3038" s="23">
        <v>43991</v>
      </c>
      <c r="E3038" s="5">
        <v>302.06002799999999</v>
      </c>
      <c r="F3038" s="28">
        <v>78.950519999999997</v>
      </c>
      <c r="G3038" s="28">
        <v>161.26</v>
      </c>
      <c r="H3038" s="28">
        <v>237.5531</v>
      </c>
      <c r="I3038" s="28">
        <v>152.9435</v>
      </c>
      <c r="J3038" s="29"/>
      <c r="K3038" s="29"/>
      <c r="L3038" s="29"/>
      <c r="M3038" s="29"/>
      <c r="N3038" s="29"/>
      <c r="P3038" s="4">
        <f t="shared" si="191"/>
        <v>-7.4846222806955725E-3</v>
      </c>
      <c r="Q3038" s="4">
        <f t="shared" si="191"/>
        <v>6.8623468674702825E-4</v>
      </c>
      <c r="R3038" s="4">
        <f t="shared" si="191"/>
        <v>9.5956870618553354E-3</v>
      </c>
      <c r="S3038" s="4">
        <f t="shared" si="191"/>
        <v>7.2184878803791116E-3</v>
      </c>
      <c r="T3038" s="4">
        <f t="shared" si="191"/>
        <v>-9.1826850369655291E-3</v>
      </c>
      <c r="U3038" s="35"/>
      <c r="V3038" s="35"/>
      <c r="W3038" s="35"/>
      <c r="X3038" s="35"/>
    </row>
    <row r="3039" spans="4:24" x14ac:dyDescent="0.3">
      <c r="D3039" s="23">
        <v>43992</v>
      </c>
      <c r="E3039" s="5">
        <v>300.37454200000002</v>
      </c>
      <c r="F3039" s="28">
        <v>79.284419999999997</v>
      </c>
      <c r="G3039" s="28">
        <v>163.57</v>
      </c>
      <c r="H3039" s="28">
        <v>240.4041</v>
      </c>
      <c r="I3039" s="28">
        <v>151.80529999999999</v>
      </c>
      <c r="J3039" s="29"/>
      <c r="K3039" s="29"/>
      <c r="L3039" s="29"/>
      <c r="M3039" s="29"/>
      <c r="N3039" s="29"/>
      <c r="P3039" s="4">
        <f t="shared" si="191"/>
        <v>-5.5955965402516E-3</v>
      </c>
      <c r="Q3039" s="4">
        <f t="shared" si="191"/>
        <v>4.220313106474625E-3</v>
      </c>
      <c r="R3039" s="4">
        <f t="shared" si="191"/>
        <v>1.4223064013558323E-2</v>
      </c>
      <c r="S3039" s="4">
        <f t="shared" si="191"/>
        <v>1.1930079992088775E-2</v>
      </c>
      <c r="T3039" s="4">
        <f t="shared" si="191"/>
        <v>-7.469793432609062E-3</v>
      </c>
      <c r="U3039" s="35"/>
      <c r="V3039" s="35"/>
      <c r="W3039" s="35"/>
      <c r="X3039" s="35"/>
    </row>
    <row r="3040" spans="4:24" x14ac:dyDescent="0.3">
      <c r="D3040" s="23">
        <v>43993</v>
      </c>
      <c r="E3040" s="5">
        <v>283.05822799999999</v>
      </c>
      <c r="F3040" s="28">
        <v>79.140039999999999</v>
      </c>
      <c r="G3040" s="28">
        <v>162.38999999999999</v>
      </c>
      <c r="H3040" s="28">
        <v>228.4923</v>
      </c>
      <c r="I3040" s="28">
        <v>142.85059999999999</v>
      </c>
      <c r="J3040" s="29"/>
      <c r="K3040" s="29"/>
      <c r="L3040" s="29"/>
      <c r="M3040" s="29"/>
      <c r="N3040" s="29"/>
      <c r="P3040" s="4">
        <f t="shared" si="191"/>
        <v>-5.9377540165514102E-2</v>
      </c>
      <c r="Q3040" s="4">
        <f t="shared" si="191"/>
        <v>-1.822698842994012E-3</v>
      </c>
      <c r="R3040" s="4">
        <f t="shared" si="191"/>
        <v>-7.2401837934380911E-3</v>
      </c>
      <c r="S3040" s="4">
        <f t="shared" si="191"/>
        <v>-5.081874568827166E-2</v>
      </c>
      <c r="T3040" s="4">
        <f t="shared" si="191"/>
        <v>-6.0799449835067063E-2</v>
      </c>
      <c r="U3040" s="35"/>
      <c r="V3040" s="35"/>
      <c r="W3040" s="35"/>
      <c r="X3040" s="35"/>
    </row>
    <row r="3041" spans="4:24" x14ac:dyDescent="0.3">
      <c r="D3041" s="23">
        <v>43994</v>
      </c>
      <c r="E3041" s="5">
        <v>286.44812000000002</v>
      </c>
      <c r="F3041" s="28">
        <v>79.221260000000001</v>
      </c>
      <c r="G3041" s="28">
        <v>162.62</v>
      </c>
      <c r="H3041" s="28">
        <v>230.30840000000001</v>
      </c>
      <c r="I3041" s="28">
        <v>144.82599999999999</v>
      </c>
      <c r="J3041" s="29"/>
      <c r="K3041" s="29"/>
      <c r="L3041" s="29"/>
      <c r="M3041" s="29"/>
      <c r="N3041" s="29"/>
      <c r="P3041" s="4">
        <f t="shared" si="191"/>
        <v>1.1904808603791417E-2</v>
      </c>
      <c r="Q3041" s="4">
        <f t="shared" si="191"/>
        <v>1.0257557512027083E-3</v>
      </c>
      <c r="R3041" s="4">
        <f t="shared" si="191"/>
        <v>1.4153413026953903E-3</v>
      </c>
      <c r="S3041" s="4">
        <f t="shared" si="191"/>
        <v>7.916768589773613E-3</v>
      </c>
      <c r="T3041" s="4">
        <f t="shared" si="191"/>
        <v>1.3733692966083854E-2</v>
      </c>
      <c r="U3041" s="35"/>
      <c r="V3041" s="35"/>
      <c r="W3041" s="35"/>
      <c r="X3041" s="35"/>
    </row>
    <row r="3042" spans="4:24" x14ac:dyDescent="0.3">
      <c r="D3042" s="23">
        <v>43997</v>
      </c>
      <c r="E3042" s="5">
        <v>289.12222300000002</v>
      </c>
      <c r="F3042" s="28">
        <v>79.383719999999997</v>
      </c>
      <c r="G3042" s="28">
        <v>162.33000000000001</v>
      </c>
      <c r="H3042" s="28">
        <v>233.11060000000001</v>
      </c>
      <c r="I3042" s="28">
        <v>146.37799999999999</v>
      </c>
      <c r="J3042" s="29"/>
      <c r="K3042" s="29"/>
      <c r="L3042" s="29"/>
      <c r="M3042" s="29"/>
      <c r="N3042" s="29"/>
      <c r="P3042" s="4">
        <f t="shared" si="191"/>
        <v>9.2920779302480931E-3</v>
      </c>
      <c r="Q3042" s="4">
        <f t="shared" si="191"/>
        <v>2.0486123048322471E-3</v>
      </c>
      <c r="R3042" s="4">
        <f t="shared" si="191"/>
        <v>-1.7848904569378256E-3</v>
      </c>
      <c r="S3042" s="4">
        <f t="shared" si="191"/>
        <v>1.2093738727665419E-2</v>
      </c>
      <c r="T3042" s="4">
        <f t="shared" si="191"/>
        <v>1.0659295166959676E-2</v>
      </c>
      <c r="U3042" s="35"/>
      <c r="V3042" s="35"/>
      <c r="W3042" s="35"/>
      <c r="X3042" s="35"/>
    </row>
    <row r="3043" spans="4:24" x14ac:dyDescent="0.3">
      <c r="D3043" s="23">
        <v>43998</v>
      </c>
      <c r="E3043" s="5">
        <v>294.68719499999997</v>
      </c>
      <c r="F3043" s="28">
        <v>79.284419999999997</v>
      </c>
      <c r="G3043" s="28">
        <v>162.25</v>
      </c>
      <c r="H3043" s="28">
        <v>237.1138</v>
      </c>
      <c r="I3043" s="28">
        <v>149.19040000000001</v>
      </c>
      <c r="J3043" s="29"/>
      <c r="K3043" s="29"/>
      <c r="L3043" s="29"/>
      <c r="M3043" s="29"/>
      <c r="N3043" s="29"/>
      <c r="P3043" s="4">
        <f t="shared" si="191"/>
        <v>1.9064922169262987E-2</v>
      </c>
      <c r="Q3043" s="4">
        <f t="shared" si="191"/>
        <v>-1.2516692130410162E-3</v>
      </c>
      <c r="R3043" s="4">
        <f t="shared" si="191"/>
        <v>-4.9294473855427366E-4</v>
      </c>
      <c r="S3043" s="4">
        <f t="shared" si="191"/>
        <v>1.702717561409273E-2</v>
      </c>
      <c r="T3043" s="4">
        <f t="shared" si="191"/>
        <v>1.903102552499648E-2</v>
      </c>
      <c r="U3043" s="35"/>
      <c r="V3043" s="35"/>
      <c r="W3043" s="35"/>
      <c r="X3043" s="35"/>
    </row>
    <row r="3044" spans="4:24" x14ac:dyDescent="0.3">
      <c r="D3044" s="23">
        <v>43999</v>
      </c>
      <c r="E3044" s="5">
        <v>293.46313500000002</v>
      </c>
      <c r="F3044" s="28">
        <v>79.302490000000006</v>
      </c>
      <c r="G3044" s="28">
        <v>162.56</v>
      </c>
      <c r="H3044" s="28">
        <v>237.8656</v>
      </c>
      <c r="I3044" s="28">
        <v>148.46610000000001</v>
      </c>
      <c r="J3044" s="29"/>
      <c r="K3044" s="29"/>
      <c r="L3044" s="29"/>
      <c r="M3044" s="29"/>
      <c r="N3044" s="29"/>
      <c r="P3044" s="4">
        <f t="shared" si="191"/>
        <v>-4.1624112233487158E-3</v>
      </c>
      <c r="Q3044" s="4">
        <f t="shared" si="191"/>
        <v>2.2788766208009162E-4</v>
      </c>
      <c r="R3044" s="4">
        <f t="shared" si="191"/>
        <v>1.9088088059176246E-3</v>
      </c>
      <c r="S3044" s="4">
        <f t="shared" si="191"/>
        <v>3.1656136153374141E-3</v>
      </c>
      <c r="T3044" s="4">
        <f t="shared" si="191"/>
        <v>-4.8666931820309772E-3</v>
      </c>
      <c r="U3044" s="35"/>
      <c r="V3044" s="35"/>
      <c r="W3044" s="35"/>
      <c r="X3044" s="35"/>
    </row>
    <row r="3045" spans="4:24" x14ac:dyDescent="0.3">
      <c r="D3045" s="23">
        <v>44000</v>
      </c>
      <c r="E3045" s="5">
        <v>293.57611100000003</v>
      </c>
      <c r="F3045" s="28">
        <v>79.392740000000003</v>
      </c>
      <c r="G3045" s="28">
        <v>162.24</v>
      </c>
      <c r="H3045" s="28">
        <v>238.50989999999999</v>
      </c>
      <c r="I3045" s="28">
        <v>148.58840000000001</v>
      </c>
      <c r="J3045" s="29"/>
      <c r="K3045" s="29"/>
      <c r="L3045" s="29"/>
      <c r="M3045" s="29"/>
      <c r="N3045" s="29"/>
      <c r="P3045" s="4">
        <f t="shared" ref="P3045:T3060" si="192">LN(E3045/E3044)</f>
        <v>3.8490101697486497E-4</v>
      </c>
      <c r="Q3045" s="4">
        <f t="shared" si="192"/>
        <v>1.137400408689714E-3</v>
      </c>
      <c r="R3045" s="4">
        <f t="shared" si="192"/>
        <v>-1.9704439872987251E-3</v>
      </c>
      <c r="S3045" s="4">
        <f t="shared" si="192"/>
        <v>2.705010618162786E-3</v>
      </c>
      <c r="T3045" s="4">
        <f t="shared" si="192"/>
        <v>8.2341797151785922E-4</v>
      </c>
      <c r="U3045" s="35"/>
      <c r="V3045" s="35"/>
      <c r="W3045" s="35"/>
      <c r="X3045" s="35"/>
    </row>
    <row r="3046" spans="4:24" x14ac:dyDescent="0.3">
      <c r="D3046" s="23">
        <v>44001</v>
      </c>
      <c r="E3046" s="5">
        <v>291.898346</v>
      </c>
      <c r="F3046" s="28">
        <v>79.419820000000001</v>
      </c>
      <c r="G3046" s="28">
        <v>164.03</v>
      </c>
      <c r="H3046" s="28">
        <v>238.4709</v>
      </c>
      <c r="I3046" s="28">
        <v>147.75129999999999</v>
      </c>
      <c r="J3046" s="29"/>
      <c r="K3046" s="29"/>
      <c r="L3046" s="29"/>
      <c r="M3046" s="29"/>
      <c r="N3046" s="29"/>
      <c r="P3046" s="4">
        <f t="shared" si="192"/>
        <v>-5.7313161062374877E-3</v>
      </c>
      <c r="Q3046" s="4">
        <f t="shared" si="192"/>
        <v>3.4103096458443037E-4</v>
      </c>
      <c r="R3046" s="4">
        <f t="shared" si="192"/>
        <v>1.0972617521575993E-2</v>
      </c>
      <c r="S3046" s="4">
        <f t="shared" si="192"/>
        <v>-1.6352859522604255E-4</v>
      </c>
      <c r="T3046" s="4">
        <f t="shared" si="192"/>
        <v>-5.6496124316365781E-3</v>
      </c>
      <c r="U3046" s="35"/>
      <c r="V3046" s="35"/>
      <c r="W3046" s="35"/>
      <c r="X3046" s="35"/>
    </row>
    <row r="3047" spans="4:24" x14ac:dyDescent="0.3">
      <c r="D3047" s="23">
        <v>44004</v>
      </c>
      <c r="E3047" s="5">
        <v>293.77084400000001</v>
      </c>
      <c r="F3047" s="28">
        <v>79.392740000000003</v>
      </c>
      <c r="G3047" s="28">
        <v>165.09</v>
      </c>
      <c r="H3047" s="28">
        <v>241.33080000000001</v>
      </c>
      <c r="I3047" s="28">
        <v>148.7765</v>
      </c>
      <c r="J3047" s="29"/>
      <c r="K3047" s="29"/>
      <c r="L3047" s="29"/>
      <c r="M3047" s="29"/>
      <c r="N3047" s="29"/>
      <c r="P3047" s="4">
        <f t="shared" si="192"/>
        <v>6.394409718888423E-3</v>
      </c>
      <c r="Q3047" s="4">
        <f t="shared" si="192"/>
        <v>-3.4103096458431729E-4</v>
      </c>
      <c r="R3047" s="4">
        <f t="shared" si="192"/>
        <v>6.4414418153827934E-3</v>
      </c>
      <c r="S3047" s="4">
        <f t="shared" si="192"/>
        <v>1.1921316119301835E-2</v>
      </c>
      <c r="T3047" s="4">
        <f t="shared" si="192"/>
        <v>6.9147249253302765E-3</v>
      </c>
      <c r="U3047" s="35"/>
      <c r="V3047" s="35"/>
      <c r="W3047" s="35"/>
      <c r="X3047" s="35"/>
    </row>
    <row r="3048" spans="4:24" x14ac:dyDescent="0.3">
      <c r="D3048" s="23">
        <v>44005</v>
      </c>
      <c r="E3048" s="5">
        <v>295.12338299999999</v>
      </c>
      <c r="F3048" s="28">
        <v>79.356620000000007</v>
      </c>
      <c r="G3048" s="28">
        <v>166.48</v>
      </c>
      <c r="H3048" s="28">
        <v>243.38480000000001</v>
      </c>
      <c r="I3048" s="28">
        <v>149.3597</v>
      </c>
      <c r="J3048" s="29"/>
      <c r="K3048" s="29"/>
      <c r="L3048" s="29"/>
      <c r="M3048" s="29"/>
      <c r="N3048" s="29"/>
      <c r="P3048" s="4">
        <f t="shared" si="192"/>
        <v>4.5934951175392721E-3</v>
      </c>
      <c r="Q3048" s="4">
        <f t="shared" si="192"/>
        <v>-4.5505696052314639E-4</v>
      </c>
      <c r="R3048" s="4">
        <f t="shared" si="192"/>
        <v>8.3844023456018137E-3</v>
      </c>
      <c r="S3048" s="4">
        <f t="shared" si="192"/>
        <v>8.4751235342807457E-3</v>
      </c>
      <c r="T3048" s="4">
        <f t="shared" si="192"/>
        <v>3.9123108423599114E-3</v>
      </c>
      <c r="U3048" s="35"/>
      <c r="V3048" s="35"/>
      <c r="W3048" s="35"/>
      <c r="X3048" s="35"/>
    </row>
    <row r="3049" spans="4:24" x14ac:dyDescent="0.3">
      <c r="D3049" s="23">
        <v>44006</v>
      </c>
      <c r="E3049" s="5">
        <v>287.59515399999998</v>
      </c>
      <c r="F3049" s="28">
        <v>79.365660000000005</v>
      </c>
      <c r="G3049" s="28">
        <v>165.9</v>
      </c>
      <c r="H3049" s="28">
        <v>238.3672</v>
      </c>
      <c r="I3049" s="28">
        <v>145.3057</v>
      </c>
      <c r="J3049" s="29"/>
      <c r="K3049" s="29"/>
      <c r="L3049" s="29"/>
      <c r="M3049" s="29"/>
      <c r="N3049" s="29"/>
      <c r="P3049" s="4">
        <f t="shared" si="192"/>
        <v>-2.5839740442804134E-2</v>
      </c>
      <c r="Q3049" s="4">
        <f t="shared" si="192"/>
        <v>1.1390965414277501E-4</v>
      </c>
      <c r="R3049" s="4">
        <f t="shared" si="192"/>
        <v>-3.4899848889800847E-3</v>
      </c>
      <c r="S3049" s="4">
        <f t="shared" si="192"/>
        <v>-2.0831388126176801E-2</v>
      </c>
      <c r="T3049" s="4">
        <f t="shared" si="192"/>
        <v>-2.7517691673753956E-2</v>
      </c>
      <c r="U3049" s="35"/>
      <c r="V3049" s="35"/>
      <c r="W3049" s="35"/>
      <c r="X3049" s="35"/>
    </row>
    <row r="3050" spans="4:24" x14ac:dyDescent="0.3">
      <c r="D3050" s="23">
        <v>44007</v>
      </c>
      <c r="E3050" s="5">
        <v>290.67828400000002</v>
      </c>
      <c r="F3050" s="28">
        <v>79.446879999999993</v>
      </c>
      <c r="G3050" s="28">
        <v>165.8</v>
      </c>
      <c r="H3050" s="28">
        <v>240.63640000000001</v>
      </c>
      <c r="I3050" s="28">
        <v>147.06319999999999</v>
      </c>
      <c r="J3050" s="29"/>
      <c r="K3050" s="29"/>
      <c r="L3050" s="29"/>
      <c r="M3050" s="29"/>
      <c r="N3050" s="29"/>
      <c r="P3050" s="4">
        <f t="shared" si="192"/>
        <v>1.066332641852819E-2</v>
      </c>
      <c r="Q3050" s="4">
        <f t="shared" si="192"/>
        <v>1.0228412325757876E-3</v>
      </c>
      <c r="R3050" s="4">
        <f t="shared" si="192"/>
        <v>-6.0295449520418338E-4</v>
      </c>
      <c r="S3050" s="4">
        <f t="shared" si="192"/>
        <v>9.4747387101432844E-3</v>
      </c>
      <c r="T3050" s="4">
        <f t="shared" si="192"/>
        <v>1.2022627369458043E-2</v>
      </c>
      <c r="U3050" s="35"/>
      <c r="V3050" s="35"/>
      <c r="W3050" s="35"/>
      <c r="X3050" s="35"/>
    </row>
    <row r="3051" spans="4:24" x14ac:dyDescent="0.3">
      <c r="D3051" s="23">
        <v>44008</v>
      </c>
      <c r="E3051" s="5">
        <v>283.77426100000002</v>
      </c>
      <c r="F3051" s="28">
        <v>79.591300000000004</v>
      </c>
      <c r="G3051" s="28">
        <v>166.54</v>
      </c>
      <c r="H3051" s="28">
        <v>234.9538</v>
      </c>
      <c r="I3051" s="28">
        <v>143.64269999999999</v>
      </c>
      <c r="J3051" s="29"/>
      <c r="K3051" s="29"/>
      <c r="L3051" s="29"/>
      <c r="M3051" s="29"/>
      <c r="N3051" s="29"/>
      <c r="P3051" s="4">
        <f t="shared" si="192"/>
        <v>-2.4038035869914636E-2</v>
      </c>
      <c r="Q3051" s="4">
        <f t="shared" si="192"/>
        <v>1.8161681641107772E-3</v>
      </c>
      <c r="R3051" s="4">
        <f t="shared" si="192"/>
        <v>4.4532781064786269E-3</v>
      </c>
      <c r="S3051" s="4">
        <f t="shared" si="192"/>
        <v>-2.3898181471187E-2</v>
      </c>
      <c r="T3051" s="4">
        <f t="shared" si="192"/>
        <v>-2.3533460183553991E-2</v>
      </c>
      <c r="U3051" s="35"/>
      <c r="V3051" s="35"/>
      <c r="W3051" s="35"/>
      <c r="X3051" s="35"/>
    </row>
    <row r="3052" spans="4:24" x14ac:dyDescent="0.3">
      <c r="D3052" s="23">
        <v>44011</v>
      </c>
      <c r="E3052" s="5">
        <v>287.94506799999999</v>
      </c>
      <c r="F3052" s="28">
        <v>79.645430000000005</v>
      </c>
      <c r="G3052" s="28">
        <v>166.63</v>
      </c>
      <c r="H3052" s="28">
        <v>237.5163</v>
      </c>
      <c r="I3052" s="28">
        <v>145.74979999999999</v>
      </c>
      <c r="J3052" s="29"/>
      <c r="K3052" s="29"/>
      <c r="L3052" s="29"/>
      <c r="M3052" s="29"/>
      <c r="N3052" s="29"/>
      <c r="P3052" s="4">
        <f t="shared" si="192"/>
        <v>1.4590659370220737E-2</v>
      </c>
      <c r="Q3052" s="4">
        <f t="shared" si="192"/>
        <v>6.7986829527340201E-4</v>
      </c>
      <c r="R3052" s="4">
        <f t="shared" si="192"/>
        <v>5.4026474285881368E-4</v>
      </c>
      <c r="S3052" s="4">
        <f t="shared" si="192"/>
        <v>1.0847353626602668E-2</v>
      </c>
      <c r="T3052" s="4">
        <f t="shared" si="192"/>
        <v>1.4562486843265304E-2</v>
      </c>
      <c r="U3052" s="35"/>
      <c r="V3052" s="35"/>
      <c r="W3052" s="35"/>
      <c r="X3052" s="35"/>
    </row>
    <row r="3053" spans="4:24" x14ac:dyDescent="0.3">
      <c r="D3053" s="23">
        <v>44012</v>
      </c>
      <c r="E3053" s="5">
        <v>291.63348400000001</v>
      </c>
      <c r="F3053" s="28">
        <v>79.726640000000003</v>
      </c>
      <c r="G3053" s="28">
        <v>167.37</v>
      </c>
      <c r="H3053" s="28">
        <v>242.172</v>
      </c>
      <c r="I3053" s="28">
        <v>147.9042</v>
      </c>
      <c r="J3053" s="29"/>
      <c r="K3053" s="29"/>
      <c r="L3053" s="29"/>
      <c r="M3053" s="29"/>
      <c r="N3053" s="29"/>
      <c r="P3053" s="4">
        <f t="shared" si="192"/>
        <v>1.2728096242058463E-2</v>
      </c>
      <c r="Q3053" s="4">
        <f t="shared" si="192"/>
        <v>1.0191247064662453E-3</v>
      </c>
      <c r="R3053" s="4">
        <f t="shared" si="192"/>
        <v>4.4311449750146399E-3</v>
      </c>
      <c r="S3053" s="4">
        <f t="shared" si="192"/>
        <v>1.9411964800974544E-2</v>
      </c>
      <c r="T3053" s="4">
        <f t="shared" si="192"/>
        <v>1.4673313862506608E-2</v>
      </c>
      <c r="U3053" s="35"/>
      <c r="V3053" s="35"/>
      <c r="W3053" s="35"/>
      <c r="X3053" s="35"/>
    </row>
    <row r="3054" spans="4:24" x14ac:dyDescent="0.3">
      <c r="D3054" s="23">
        <v>44013</v>
      </c>
      <c r="E3054" s="5">
        <v>293.67626999999999</v>
      </c>
      <c r="F3054" s="28">
        <v>79.746549999999999</v>
      </c>
      <c r="G3054" s="28">
        <v>166.62</v>
      </c>
      <c r="H3054" s="28">
        <v>244.99860000000001</v>
      </c>
      <c r="I3054" s="28">
        <v>148.76400000000001</v>
      </c>
      <c r="J3054" s="29"/>
      <c r="K3054" s="29"/>
      <c r="L3054" s="29"/>
      <c r="M3054" s="29"/>
      <c r="N3054" s="29"/>
      <c r="P3054" s="4">
        <f t="shared" si="192"/>
        <v>6.9802161345362771E-3</v>
      </c>
      <c r="Q3054" s="4">
        <f t="shared" si="192"/>
        <v>2.4969714474821201E-4</v>
      </c>
      <c r="R3054" s="4">
        <f t="shared" si="192"/>
        <v>-4.4911599787834352E-3</v>
      </c>
      <c r="S3054" s="4">
        <f t="shared" si="192"/>
        <v>1.1604278743107479E-2</v>
      </c>
      <c r="T3054" s="4">
        <f t="shared" si="192"/>
        <v>5.796390764536339E-3</v>
      </c>
      <c r="U3054" s="35"/>
      <c r="V3054" s="35"/>
      <c r="W3054" s="35"/>
      <c r="X3054" s="35"/>
    </row>
    <row r="3055" spans="4:24" x14ac:dyDescent="0.3">
      <c r="D3055" s="23">
        <v>44014</v>
      </c>
      <c r="E3055" s="5">
        <v>295.29361</v>
      </c>
      <c r="F3055" s="28">
        <v>79.873140000000006</v>
      </c>
      <c r="G3055" s="28">
        <v>166.98</v>
      </c>
      <c r="H3055" s="28">
        <v>246.66130000000001</v>
      </c>
      <c r="I3055" s="28">
        <v>149.35929999999999</v>
      </c>
      <c r="J3055" s="29"/>
      <c r="K3055" s="29"/>
      <c r="L3055" s="29"/>
      <c r="M3055" s="29"/>
      <c r="N3055" s="29"/>
      <c r="P3055" s="4">
        <f t="shared" si="192"/>
        <v>5.4921112955910976E-3</v>
      </c>
      <c r="Q3055" s="4">
        <f t="shared" si="192"/>
        <v>1.5861455004731726E-3</v>
      </c>
      <c r="R3055" s="4">
        <f t="shared" si="192"/>
        <v>2.1582742190912121E-3</v>
      </c>
      <c r="S3055" s="4">
        <f t="shared" si="192"/>
        <v>6.7636442939812301E-3</v>
      </c>
      <c r="T3055" s="4">
        <f t="shared" si="192"/>
        <v>3.9936549153785387E-3</v>
      </c>
      <c r="U3055" s="35"/>
      <c r="V3055" s="35"/>
      <c r="W3055" s="35"/>
      <c r="X3055" s="35"/>
    </row>
    <row r="3056" spans="4:24" x14ac:dyDescent="0.3">
      <c r="D3056" s="23">
        <v>44018</v>
      </c>
      <c r="E3056" s="5">
        <v>299.85214200000001</v>
      </c>
      <c r="F3056" s="28">
        <v>79.845969999999994</v>
      </c>
      <c r="G3056" s="28">
        <v>167.98</v>
      </c>
      <c r="H3056" s="28">
        <v>252.72540000000001</v>
      </c>
      <c r="I3056" s="28">
        <v>151.71199999999999</v>
      </c>
      <c r="J3056" s="29"/>
      <c r="K3056" s="29"/>
      <c r="L3056" s="29"/>
      <c r="M3056" s="29"/>
      <c r="N3056" s="29"/>
      <c r="P3056" s="4">
        <f t="shared" si="192"/>
        <v>1.53193436562144E-2</v>
      </c>
      <c r="Q3056" s="4">
        <f t="shared" si="192"/>
        <v>-3.4022228476093618E-4</v>
      </c>
      <c r="R3056" s="4">
        <f t="shared" si="192"/>
        <v>5.9708799316267281E-3</v>
      </c>
      <c r="S3056" s="4">
        <f t="shared" si="192"/>
        <v>2.4287383250247728E-2</v>
      </c>
      <c r="T3056" s="4">
        <f t="shared" si="192"/>
        <v>1.5629174160318993E-2</v>
      </c>
      <c r="U3056" s="35"/>
      <c r="V3056" s="35"/>
      <c r="W3056" s="35"/>
      <c r="X3056" s="35"/>
    </row>
    <row r="3057" spans="4:24" x14ac:dyDescent="0.3">
      <c r="D3057" s="23">
        <v>44019</v>
      </c>
      <c r="E3057" s="5">
        <v>296.75952100000001</v>
      </c>
      <c r="F3057" s="28">
        <v>79.972589999999997</v>
      </c>
      <c r="G3057" s="28">
        <v>169.04</v>
      </c>
      <c r="H3057" s="28">
        <v>250.98439999999999</v>
      </c>
      <c r="I3057" s="28">
        <v>150.17189999999999</v>
      </c>
      <c r="J3057" s="29"/>
      <c r="K3057" s="29"/>
      <c r="L3057" s="29"/>
      <c r="M3057" s="29"/>
      <c r="N3057" s="29"/>
      <c r="P3057" s="4">
        <f t="shared" si="192"/>
        <v>-1.0367375939702208E-2</v>
      </c>
      <c r="Q3057" s="4">
        <f t="shared" si="192"/>
        <v>1.5845472076962779E-3</v>
      </c>
      <c r="R3057" s="4">
        <f t="shared" si="192"/>
        <v>6.2904486103201578E-3</v>
      </c>
      <c r="S3057" s="4">
        <f t="shared" si="192"/>
        <v>-6.9127379810314422E-3</v>
      </c>
      <c r="T3057" s="4">
        <f t="shared" si="192"/>
        <v>-1.0203348780196101E-2</v>
      </c>
      <c r="U3057" s="35"/>
      <c r="V3057" s="35"/>
      <c r="W3057" s="35"/>
      <c r="X3057" s="35"/>
    </row>
    <row r="3058" spans="4:24" x14ac:dyDescent="0.3">
      <c r="D3058" s="23">
        <v>44020</v>
      </c>
      <c r="E3058" s="5">
        <v>299.02929699999999</v>
      </c>
      <c r="F3058" s="28">
        <v>79.927400000000006</v>
      </c>
      <c r="G3058" s="28">
        <v>170.09</v>
      </c>
      <c r="H3058" s="28">
        <v>254.29040000000001</v>
      </c>
      <c r="I3058" s="28">
        <v>151.40029999999999</v>
      </c>
      <c r="J3058" s="29"/>
      <c r="K3058" s="29"/>
      <c r="L3058" s="29"/>
      <c r="M3058" s="29"/>
      <c r="N3058" s="29"/>
      <c r="P3058" s="4">
        <f t="shared" si="192"/>
        <v>7.6194346471431633E-3</v>
      </c>
      <c r="Q3058" s="4">
        <f t="shared" si="192"/>
        <v>-5.6522831806440368E-4</v>
      </c>
      <c r="R3058" s="4">
        <f t="shared" si="192"/>
        <v>6.1923354181991569E-3</v>
      </c>
      <c r="S3058" s="4">
        <f t="shared" si="192"/>
        <v>1.3086135221451712E-2</v>
      </c>
      <c r="T3058" s="4">
        <f t="shared" si="192"/>
        <v>8.146684567818108E-3</v>
      </c>
      <c r="U3058" s="35"/>
      <c r="V3058" s="35"/>
      <c r="W3058" s="35"/>
      <c r="X3058" s="35"/>
    </row>
    <row r="3059" spans="4:24" x14ac:dyDescent="0.3">
      <c r="D3059" s="23">
        <v>44021</v>
      </c>
      <c r="E3059" s="5">
        <v>297.32702599999999</v>
      </c>
      <c r="F3059" s="28">
        <v>80.144379999999998</v>
      </c>
      <c r="G3059" s="28">
        <v>169.63</v>
      </c>
      <c r="H3059" s="28">
        <v>256.43239999999997</v>
      </c>
      <c r="I3059" s="28">
        <v>150.4648</v>
      </c>
      <c r="J3059" s="29"/>
      <c r="K3059" s="29"/>
      <c r="L3059" s="29"/>
      <c r="M3059" s="29"/>
      <c r="N3059" s="29"/>
      <c r="P3059" s="4">
        <f t="shared" si="192"/>
        <v>-5.708921185814177E-3</v>
      </c>
      <c r="Q3059" s="4">
        <f t="shared" si="192"/>
        <v>2.7110354229213378E-3</v>
      </c>
      <c r="R3059" s="4">
        <f t="shared" si="192"/>
        <v>-2.7081142183689039E-3</v>
      </c>
      <c r="S3059" s="4">
        <f t="shared" si="192"/>
        <v>8.3881610903909238E-3</v>
      </c>
      <c r="T3059" s="4">
        <f t="shared" si="192"/>
        <v>-6.1981527174286713E-3</v>
      </c>
      <c r="U3059" s="35"/>
      <c r="V3059" s="35"/>
      <c r="W3059" s="35"/>
      <c r="X3059" s="35"/>
    </row>
    <row r="3060" spans="4:24" x14ac:dyDescent="0.3">
      <c r="D3060" s="23">
        <v>44022</v>
      </c>
      <c r="E3060" s="5">
        <v>300.36285400000003</v>
      </c>
      <c r="F3060" s="28">
        <v>80.053960000000004</v>
      </c>
      <c r="G3060" s="28">
        <v>169.19</v>
      </c>
      <c r="H3060" s="28">
        <v>258.18310000000002</v>
      </c>
      <c r="I3060" s="28">
        <v>152.0806</v>
      </c>
      <c r="J3060" s="29"/>
      <c r="K3060" s="29"/>
      <c r="L3060" s="29"/>
      <c r="M3060" s="29"/>
      <c r="N3060" s="29"/>
      <c r="P3060" s="4">
        <f t="shared" si="192"/>
        <v>1.0158626435139968E-2</v>
      </c>
      <c r="Q3060" s="4">
        <f t="shared" si="192"/>
        <v>-1.1288507683896651E-3</v>
      </c>
      <c r="R3060" s="4">
        <f t="shared" si="192"/>
        <v>-2.5972507369265659E-3</v>
      </c>
      <c r="S3060" s="4">
        <f t="shared" si="192"/>
        <v>6.8039410155630864E-3</v>
      </c>
      <c r="T3060" s="4">
        <f t="shared" si="192"/>
        <v>1.0681473674441642E-2</v>
      </c>
      <c r="U3060" s="35"/>
      <c r="V3060" s="35"/>
      <c r="W3060" s="35"/>
      <c r="X3060" s="35"/>
    </row>
    <row r="3061" spans="4:24" x14ac:dyDescent="0.3">
      <c r="D3061" s="23">
        <v>44025</v>
      </c>
      <c r="E3061" s="5">
        <v>297.76196299999998</v>
      </c>
      <c r="F3061" s="28">
        <v>80.090140000000005</v>
      </c>
      <c r="G3061" s="28">
        <v>169.4</v>
      </c>
      <c r="H3061" s="28">
        <v>252.87209999999999</v>
      </c>
      <c r="I3061" s="28">
        <v>150.4365</v>
      </c>
      <c r="J3061" s="29"/>
      <c r="K3061" s="29"/>
      <c r="L3061" s="29"/>
      <c r="M3061" s="29"/>
      <c r="N3061" s="29"/>
      <c r="P3061" s="4">
        <f t="shared" ref="P3061:T3076" si="193">LN(E3061/E3060)</f>
        <v>-8.6968716875818839E-3</v>
      </c>
      <c r="Q3061" s="4">
        <f t="shared" si="193"/>
        <v>4.5184306653263298E-4</v>
      </c>
      <c r="R3061" s="4">
        <f t="shared" si="193"/>
        <v>1.2404384472491001E-3</v>
      </c>
      <c r="S3061" s="4">
        <f t="shared" si="193"/>
        <v>-2.0785195827797483E-2</v>
      </c>
      <c r="T3061" s="4">
        <f t="shared" si="193"/>
        <v>-1.0869575221915515E-2</v>
      </c>
      <c r="U3061" s="35"/>
      <c r="V3061" s="35"/>
      <c r="W3061" s="35"/>
      <c r="X3061" s="35"/>
    </row>
    <row r="3062" spans="4:24" x14ac:dyDescent="0.3">
      <c r="D3062" s="23">
        <v>44026</v>
      </c>
      <c r="E3062" s="5">
        <v>301.62075800000002</v>
      </c>
      <c r="F3062" s="28">
        <v>80.189589999999995</v>
      </c>
      <c r="G3062" s="28">
        <v>170.19</v>
      </c>
      <c r="H3062" s="28">
        <v>254.66200000000001</v>
      </c>
      <c r="I3062" s="28">
        <v>152.41130000000001</v>
      </c>
      <c r="J3062" s="29"/>
      <c r="K3062" s="29"/>
      <c r="L3062" s="29"/>
      <c r="M3062" s="29"/>
      <c r="N3062" s="29"/>
      <c r="P3062" s="4">
        <f t="shared" si="193"/>
        <v>1.2876074595355226E-2</v>
      </c>
      <c r="Q3062" s="4">
        <f t="shared" si="193"/>
        <v>1.2409555813763396E-3</v>
      </c>
      <c r="R3062" s="4">
        <f t="shared" si="193"/>
        <v>4.6526777886315403E-3</v>
      </c>
      <c r="S3062" s="4">
        <f t="shared" si="193"/>
        <v>7.053348417691575E-3</v>
      </c>
      <c r="T3062" s="4">
        <f t="shared" si="193"/>
        <v>1.3041719242994606E-2</v>
      </c>
      <c r="U3062" s="35"/>
      <c r="V3062" s="35"/>
      <c r="W3062" s="35"/>
      <c r="X3062" s="35"/>
    </row>
    <row r="3063" spans="4:24" x14ac:dyDescent="0.3">
      <c r="D3063" s="23">
        <v>44027</v>
      </c>
      <c r="E3063" s="5">
        <v>304.39175399999999</v>
      </c>
      <c r="F3063" s="28">
        <v>80.198620000000005</v>
      </c>
      <c r="G3063" s="28">
        <v>170.34</v>
      </c>
      <c r="H3063" s="28">
        <v>255.18039999999999</v>
      </c>
      <c r="I3063" s="28">
        <v>154.30109999999999</v>
      </c>
      <c r="J3063" s="29"/>
      <c r="K3063" s="29"/>
      <c r="L3063" s="29"/>
      <c r="M3063" s="29"/>
      <c r="N3063" s="29"/>
      <c r="P3063" s="4">
        <f t="shared" si="193"/>
        <v>9.1450762391675124E-3</v>
      </c>
      <c r="Q3063" s="4">
        <f t="shared" si="193"/>
        <v>1.1260179298149208E-4</v>
      </c>
      <c r="R3063" s="4">
        <f t="shared" si="193"/>
        <v>8.8097970634941922E-4</v>
      </c>
      <c r="S3063" s="4">
        <f t="shared" si="193"/>
        <v>2.0335702901507521E-3</v>
      </c>
      <c r="T3063" s="4">
        <f t="shared" si="193"/>
        <v>1.2323100827822245E-2</v>
      </c>
      <c r="U3063" s="35"/>
      <c r="V3063" s="35"/>
      <c r="W3063" s="35"/>
      <c r="X3063" s="35"/>
    </row>
    <row r="3064" spans="4:24" x14ac:dyDescent="0.3">
      <c r="D3064" s="23">
        <v>44028</v>
      </c>
      <c r="E3064" s="5">
        <v>303.389252</v>
      </c>
      <c r="F3064" s="28">
        <v>80.252889999999994</v>
      </c>
      <c r="G3064" s="28">
        <v>168.73</v>
      </c>
      <c r="H3064" s="28">
        <v>253.43950000000001</v>
      </c>
      <c r="I3064" s="28">
        <v>153.6113</v>
      </c>
      <c r="J3064" s="29"/>
      <c r="K3064" s="29"/>
      <c r="L3064" s="29"/>
      <c r="M3064" s="29"/>
      <c r="N3064" s="29"/>
      <c r="P3064" s="4">
        <f t="shared" si="193"/>
        <v>-3.2988951588306566E-3</v>
      </c>
      <c r="Q3064" s="4">
        <f t="shared" si="193"/>
        <v>6.7646608086794203E-4</v>
      </c>
      <c r="R3064" s="4">
        <f t="shared" si="193"/>
        <v>-9.4966355026887637E-3</v>
      </c>
      <c r="S3064" s="4">
        <f t="shared" si="193"/>
        <v>-6.8456102427545216E-3</v>
      </c>
      <c r="T3064" s="4">
        <f t="shared" si="193"/>
        <v>-4.4805025973100173E-3</v>
      </c>
      <c r="U3064" s="35"/>
      <c r="V3064" s="35"/>
      <c r="W3064" s="35"/>
      <c r="X3064" s="35"/>
    </row>
    <row r="3065" spans="4:24" x14ac:dyDescent="0.3">
      <c r="D3065" s="23">
        <v>44029</v>
      </c>
      <c r="E3065" s="5">
        <v>304.26882899999998</v>
      </c>
      <c r="F3065" s="28">
        <v>80.33426</v>
      </c>
      <c r="G3065" s="28">
        <v>170.12</v>
      </c>
      <c r="H3065" s="28">
        <v>253.7328</v>
      </c>
      <c r="I3065" s="28">
        <v>154.19710000000001</v>
      </c>
      <c r="J3065" s="29"/>
      <c r="K3065" s="29"/>
      <c r="L3065" s="29"/>
      <c r="M3065" s="29"/>
      <c r="N3065" s="29"/>
      <c r="P3065" s="4">
        <f t="shared" si="193"/>
        <v>2.894975453482179E-3</v>
      </c>
      <c r="Q3065" s="4">
        <f t="shared" si="193"/>
        <v>1.0134062029728565E-3</v>
      </c>
      <c r="R3065" s="4">
        <f t="shared" si="193"/>
        <v>8.2042661751868199E-3</v>
      </c>
      <c r="S3065" s="4">
        <f t="shared" si="193"/>
        <v>1.1566090367974978E-3</v>
      </c>
      <c r="T3065" s="4">
        <f t="shared" si="193"/>
        <v>3.8062684919583705E-3</v>
      </c>
      <c r="U3065" s="35"/>
      <c r="V3065" s="35"/>
      <c r="W3065" s="35"/>
      <c r="X3065" s="35"/>
    </row>
    <row r="3066" spans="4:24" x14ac:dyDescent="0.3">
      <c r="D3066" s="23">
        <v>44032</v>
      </c>
      <c r="E3066" s="5">
        <v>306.727844</v>
      </c>
      <c r="F3066" s="28">
        <v>80.415610000000001</v>
      </c>
      <c r="G3066" s="28">
        <v>170.94</v>
      </c>
      <c r="H3066" s="28">
        <v>260.9314</v>
      </c>
      <c r="I3066" s="28">
        <v>155.3783</v>
      </c>
      <c r="J3066" s="29"/>
      <c r="K3066" s="29"/>
      <c r="L3066" s="29"/>
      <c r="M3066" s="29"/>
      <c r="N3066" s="29"/>
      <c r="P3066" s="4">
        <f t="shared" si="193"/>
        <v>8.0492362244312006E-3</v>
      </c>
      <c r="Q3066" s="4">
        <f t="shared" si="193"/>
        <v>1.0121315425593456E-3</v>
      </c>
      <c r="R3066" s="4">
        <f t="shared" si="193"/>
        <v>4.8085473524390188E-3</v>
      </c>
      <c r="S3066" s="4">
        <f t="shared" si="193"/>
        <v>2.7975792719036354E-2</v>
      </c>
      <c r="T3066" s="4">
        <f t="shared" si="193"/>
        <v>7.6311343354926627E-3</v>
      </c>
      <c r="U3066" s="35"/>
      <c r="V3066" s="35"/>
      <c r="W3066" s="35"/>
      <c r="X3066" s="35"/>
    </row>
    <row r="3067" spans="4:24" x14ac:dyDescent="0.3">
      <c r="D3067" s="23">
        <v>44033</v>
      </c>
      <c r="E3067" s="5">
        <v>307.38037100000003</v>
      </c>
      <c r="F3067" s="28">
        <v>80.460840000000005</v>
      </c>
      <c r="G3067" s="28">
        <v>173</v>
      </c>
      <c r="H3067" s="28">
        <v>258.21249999999998</v>
      </c>
      <c r="I3067" s="28">
        <v>155.82239999999999</v>
      </c>
      <c r="J3067" s="29"/>
      <c r="K3067" s="29"/>
      <c r="L3067" s="29"/>
      <c r="M3067" s="29"/>
      <c r="N3067" s="29"/>
      <c r="P3067" s="4">
        <f t="shared" si="193"/>
        <v>2.1251213699374845E-3</v>
      </c>
      <c r="Q3067" s="4">
        <f t="shared" si="193"/>
        <v>5.6229486903430282E-4</v>
      </c>
      <c r="R3067" s="4">
        <f t="shared" si="193"/>
        <v>1.197897675990697E-2</v>
      </c>
      <c r="S3067" s="4">
        <f t="shared" si="193"/>
        <v>-1.0474648202042506E-2</v>
      </c>
      <c r="T3067" s="4">
        <f t="shared" si="193"/>
        <v>2.8541086280813202E-3</v>
      </c>
      <c r="U3067" s="35"/>
      <c r="V3067" s="35"/>
      <c r="W3067" s="35"/>
      <c r="X3067" s="35"/>
    </row>
    <row r="3068" spans="4:24" x14ac:dyDescent="0.3">
      <c r="D3068" s="23">
        <v>44034</v>
      </c>
      <c r="E3068" s="5">
        <v>309.130066</v>
      </c>
      <c r="F3068" s="28">
        <v>80.569329999999994</v>
      </c>
      <c r="G3068" s="28">
        <v>175.63</v>
      </c>
      <c r="H3068" s="28">
        <v>259.12200000000001</v>
      </c>
      <c r="I3068" s="28">
        <v>156.63489999999999</v>
      </c>
      <c r="J3068" s="29"/>
      <c r="K3068" s="29"/>
      <c r="L3068" s="29"/>
      <c r="M3068" s="29"/>
      <c r="N3068" s="29"/>
      <c r="P3068" s="4">
        <f t="shared" si="193"/>
        <v>5.6761397462567944E-3</v>
      </c>
      <c r="Q3068" s="4">
        <f t="shared" si="193"/>
        <v>1.34744956693164E-3</v>
      </c>
      <c r="R3068" s="4">
        <f t="shared" si="193"/>
        <v>1.5087914935865311E-2</v>
      </c>
      <c r="S3068" s="4">
        <f t="shared" si="193"/>
        <v>3.5161039405307046E-3</v>
      </c>
      <c r="T3068" s="4">
        <f t="shared" si="193"/>
        <v>5.2007223472851933E-3</v>
      </c>
      <c r="U3068" s="35"/>
      <c r="V3068" s="35"/>
      <c r="W3068" s="35"/>
      <c r="X3068" s="35"/>
    </row>
    <row r="3069" spans="4:24" x14ac:dyDescent="0.3">
      <c r="D3069" s="23">
        <v>44035</v>
      </c>
      <c r="E3069" s="5">
        <v>305.44155899999998</v>
      </c>
      <c r="F3069" s="28">
        <v>80.641679999999994</v>
      </c>
      <c r="G3069" s="28">
        <v>177.18</v>
      </c>
      <c r="H3069" s="28">
        <v>252.35380000000001</v>
      </c>
      <c r="I3069" s="28">
        <v>154.9247</v>
      </c>
      <c r="J3069" s="29"/>
      <c r="K3069" s="29"/>
      <c r="L3069" s="29"/>
      <c r="M3069" s="29"/>
      <c r="N3069" s="29"/>
      <c r="P3069" s="4">
        <f t="shared" si="193"/>
        <v>-1.2003649823262011E-2</v>
      </c>
      <c r="Q3069" s="4">
        <f t="shared" si="193"/>
        <v>8.9758143513163531E-4</v>
      </c>
      <c r="R3069" s="4">
        <f t="shared" si="193"/>
        <v>8.7866555502420368E-3</v>
      </c>
      <c r="S3069" s="4">
        <f t="shared" si="193"/>
        <v>-2.6466922141442931E-2</v>
      </c>
      <c r="T3069" s="4">
        <f t="shared" si="193"/>
        <v>-1.0978427093304143E-2</v>
      </c>
      <c r="U3069" s="35"/>
      <c r="V3069" s="35"/>
      <c r="W3069" s="35"/>
      <c r="X3069" s="35"/>
    </row>
    <row r="3070" spans="4:24" x14ac:dyDescent="0.3">
      <c r="D3070" s="23">
        <v>44036</v>
      </c>
      <c r="E3070" s="5">
        <v>303.47442599999999</v>
      </c>
      <c r="F3070" s="28">
        <v>80.623599999999996</v>
      </c>
      <c r="G3070" s="28">
        <v>178.7</v>
      </c>
      <c r="H3070" s="28">
        <v>249.95750000000001</v>
      </c>
      <c r="I3070" s="28">
        <v>153.72470000000001</v>
      </c>
      <c r="J3070" s="29"/>
      <c r="K3070" s="29"/>
      <c r="L3070" s="29"/>
      <c r="M3070" s="29"/>
      <c r="N3070" s="29"/>
      <c r="P3070" s="4">
        <f t="shared" si="193"/>
        <v>-6.4611207187682557E-3</v>
      </c>
      <c r="Q3070" s="4">
        <f t="shared" si="193"/>
        <v>-2.2422681529155161E-4</v>
      </c>
      <c r="R3070" s="4">
        <f t="shared" si="193"/>
        <v>8.5422571814960397E-3</v>
      </c>
      <c r="S3070" s="4">
        <f t="shared" si="193"/>
        <v>-9.5411677128501762E-3</v>
      </c>
      <c r="T3070" s="4">
        <f t="shared" si="193"/>
        <v>-7.7758521246535234E-3</v>
      </c>
      <c r="U3070" s="35"/>
      <c r="V3070" s="35"/>
      <c r="W3070" s="35"/>
      <c r="X3070" s="35"/>
    </row>
    <row r="3071" spans="4:24" x14ac:dyDescent="0.3">
      <c r="D3071" s="23">
        <v>44039</v>
      </c>
      <c r="E3071" s="5">
        <v>305.6875</v>
      </c>
      <c r="F3071" s="28">
        <v>80.569329999999994</v>
      </c>
      <c r="G3071" s="28">
        <v>182.23</v>
      </c>
      <c r="H3071" s="28">
        <v>254.41749999999999</v>
      </c>
      <c r="I3071" s="28">
        <v>155.04750000000001</v>
      </c>
      <c r="J3071" s="29"/>
      <c r="K3071" s="29"/>
      <c r="L3071" s="29"/>
      <c r="M3071" s="29"/>
      <c r="N3071" s="29"/>
      <c r="P3071" s="4">
        <f t="shared" si="193"/>
        <v>7.2659949418321873E-3</v>
      </c>
      <c r="Q3071" s="4">
        <f t="shared" si="193"/>
        <v>-6.7335461984012164E-4</v>
      </c>
      <c r="R3071" s="4">
        <f t="shared" si="193"/>
        <v>1.95612033325815E-2</v>
      </c>
      <c r="S3071" s="4">
        <f t="shared" si="193"/>
        <v>1.7685714997658614E-2</v>
      </c>
      <c r="T3071" s="4">
        <f t="shared" si="193"/>
        <v>8.56818128465155E-3</v>
      </c>
      <c r="U3071" s="35"/>
      <c r="V3071" s="35"/>
      <c r="W3071" s="35"/>
      <c r="X3071" s="35"/>
    </row>
    <row r="3072" spans="4:24" x14ac:dyDescent="0.3">
      <c r="D3072" s="23">
        <v>44040</v>
      </c>
      <c r="E3072" s="5">
        <v>303.74859600000002</v>
      </c>
      <c r="F3072" s="28">
        <v>80.605500000000006</v>
      </c>
      <c r="G3072" s="28">
        <v>183.75</v>
      </c>
      <c r="H3072" s="28">
        <v>251.18010000000001</v>
      </c>
      <c r="I3072" s="28">
        <v>153.91370000000001</v>
      </c>
      <c r="J3072" s="29"/>
      <c r="K3072" s="29"/>
      <c r="L3072" s="29"/>
      <c r="M3072" s="29"/>
      <c r="N3072" s="29"/>
      <c r="P3072" s="4">
        <f t="shared" si="193"/>
        <v>-6.3629658777223479E-3</v>
      </c>
      <c r="Q3072" s="4">
        <f t="shared" si="193"/>
        <v>4.488293936119109E-4</v>
      </c>
      <c r="R3072" s="4">
        <f t="shared" si="193"/>
        <v>8.3065125949822391E-3</v>
      </c>
      <c r="S3072" s="4">
        <f t="shared" si="193"/>
        <v>-1.2806406697496208E-2</v>
      </c>
      <c r="T3072" s="4">
        <f t="shared" si="193"/>
        <v>-7.3394658591491449E-3</v>
      </c>
      <c r="U3072" s="35"/>
      <c r="V3072" s="35"/>
      <c r="W3072" s="35"/>
      <c r="X3072" s="35"/>
    </row>
    <row r="3073" spans="4:24" x14ac:dyDescent="0.3">
      <c r="D3073" s="23">
        <v>44041</v>
      </c>
      <c r="E3073" s="5">
        <v>307.48434400000002</v>
      </c>
      <c r="F3073" s="28">
        <v>80.732069999999993</v>
      </c>
      <c r="G3073" s="28">
        <v>185.13</v>
      </c>
      <c r="H3073" s="28">
        <v>254.0752</v>
      </c>
      <c r="I3073" s="28">
        <v>155.9546</v>
      </c>
      <c r="J3073" s="29"/>
      <c r="K3073" s="29"/>
      <c r="L3073" s="29"/>
      <c r="M3073" s="29"/>
      <c r="N3073" s="29"/>
      <c r="P3073" s="4">
        <f t="shared" si="193"/>
        <v>1.2223799707428311E-2</v>
      </c>
      <c r="Q3073" s="4">
        <f t="shared" si="193"/>
        <v>1.5690087059784452E-3</v>
      </c>
      <c r="R3073" s="4">
        <f t="shared" si="193"/>
        <v>7.4821429081390828E-3</v>
      </c>
      <c r="S3073" s="4">
        <f t="shared" si="193"/>
        <v>1.1460074481892376E-2</v>
      </c>
      <c r="T3073" s="4">
        <f t="shared" si="193"/>
        <v>1.3172883526035314E-2</v>
      </c>
      <c r="U3073" s="35"/>
      <c r="V3073" s="35"/>
      <c r="W3073" s="35"/>
      <c r="X3073" s="35"/>
    </row>
    <row r="3074" spans="4:24" x14ac:dyDescent="0.3">
      <c r="D3074" s="23">
        <v>44042</v>
      </c>
      <c r="E3074" s="5">
        <v>306.38729899999998</v>
      </c>
      <c r="F3074" s="28">
        <v>80.777270000000001</v>
      </c>
      <c r="G3074" s="28">
        <v>183.76</v>
      </c>
      <c r="H3074" s="28">
        <v>255.40530000000001</v>
      </c>
      <c r="I3074" s="28">
        <v>155.60499999999999</v>
      </c>
      <c r="J3074" s="29"/>
      <c r="K3074" s="29"/>
      <c r="L3074" s="29"/>
      <c r="M3074" s="29"/>
      <c r="N3074" s="29"/>
      <c r="P3074" s="4">
        <f t="shared" si="193"/>
        <v>-3.5741874718875299E-3</v>
      </c>
      <c r="Q3074" s="4">
        <f t="shared" si="193"/>
        <v>5.597199664124302E-4</v>
      </c>
      <c r="R3074" s="4">
        <f t="shared" si="193"/>
        <v>-7.4277226202423465E-3</v>
      </c>
      <c r="S3074" s="4">
        <f t="shared" si="193"/>
        <v>5.2214089524029138E-3</v>
      </c>
      <c r="T3074" s="4">
        <f t="shared" si="193"/>
        <v>-2.2441943482232984E-3</v>
      </c>
      <c r="U3074" s="35"/>
      <c r="V3074" s="35"/>
      <c r="W3074" s="35"/>
      <c r="X3074" s="35"/>
    </row>
    <row r="3075" spans="4:24" x14ac:dyDescent="0.3">
      <c r="D3075" s="23">
        <v>44043</v>
      </c>
      <c r="E3075" s="5">
        <v>308.80844100000002</v>
      </c>
      <c r="F3075" s="28">
        <v>80.885800000000003</v>
      </c>
      <c r="G3075" s="28">
        <v>185.43</v>
      </c>
      <c r="H3075" s="28">
        <v>259.96319999999997</v>
      </c>
      <c r="I3075" s="28">
        <v>156.39879999999999</v>
      </c>
      <c r="J3075" s="29"/>
      <c r="K3075" s="29"/>
      <c r="L3075" s="29"/>
      <c r="M3075" s="29"/>
      <c r="N3075" s="29"/>
      <c r="P3075" s="4">
        <f t="shared" si="193"/>
        <v>7.8711679641963374E-3</v>
      </c>
      <c r="Q3075" s="4">
        <f t="shared" si="193"/>
        <v>1.3426692478928635E-3</v>
      </c>
      <c r="R3075" s="4">
        <f t="shared" si="193"/>
        <v>9.0468939584488779E-3</v>
      </c>
      <c r="S3075" s="4">
        <f t="shared" si="193"/>
        <v>1.7688387391409759E-2</v>
      </c>
      <c r="T3075" s="4">
        <f t="shared" si="193"/>
        <v>5.0884105433964986E-3</v>
      </c>
      <c r="U3075" s="35"/>
      <c r="V3075" s="35"/>
      <c r="W3075" s="35"/>
      <c r="X3075" s="35"/>
    </row>
    <row r="3076" spans="4:24" x14ac:dyDescent="0.3">
      <c r="D3076" s="23">
        <v>44046</v>
      </c>
      <c r="E3076" s="5">
        <v>310.95529199999999</v>
      </c>
      <c r="F3076" s="28">
        <v>80.85772</v>
      </c>
      <c r="G3076" s="28">
        <v>185.64</v>
      </c>
      <c r="H3076" s="28">
        <v>263.47449999999998</v>
      </c>
      <c r="I3076" s="28">
        <v>157.7594</v>
      </c>
      <c r="J3076" s="29"/>
      <c r="K3076" s="29"/>
      <c r="L3076" s="29"/>
      <c r="M3076" s="29"/>
      <c r="N3076" s="29"/>
      <c r="P3076" s="4">
        <f t="shared" si="193"/>
        <v>6.9279935968032001E-3</v>
      </c>
      <c r="Q3076" s="4">
        <f t="shared" si="193"/>
        <v>-3.4721638656201316E-4</v>
      </c>
      <c r="R3076" s="4">
        <f t="shared" si="193"/>
        <v>1.1318620336833308E-3</v>
      </c>
      <c r="S3076" s="4">
        <f t="shared" si="193"/>
        <v>1.3416506568468232E-2</v>
      </c>
      <c r="T3076" s="4">
        <f t="shared" si="193"/>
        <v>8.6619321541521049E-3</v>
      </c>
      <c r="U3076" s="35"/>
      <c r="V3076" s="35"/>
      <c r="W3076" s="35"/>
      <c r="X3076" s="35"/>
    </row>
    <row r="3077" spans="4:24" x14ac:dyDescent="0.3">
      <c r="D3077" s="23">
        <v>44047</v>
      </c>
      <c r="E3077" s="5">
        <v>312.15646400000003</v>
      </c>
      <c r="F3077" s="28">
        <v>81.029809999999998</v>
      </c>
      <c r="G3077" s="28">
        <v>189.59</v>
      </c>
      <c r="H3077" s="28">
        <v>264.45260000000002</v>
      </c>
      <c r="I3077" s="28">
        <v>158.38300000000001</v>
      </c>
      <c r="J3077" s="29"/>
      <c r="K3077" s="29"/>
      <c r="L3077" s="29"/>
      <c r="M3077" s="29"/>
      <c r="N3077" s="29"/>
      <c r="P3077" s="4">
        <f t="shared" ref="P3077:T3092" si="194">LN(E3077/E3076)</f>
        <v>3.8554030679039454E-3</v>
      </c>
      <c r="Q3077" s="4">
        <f t="shared" si="194"/>
        <v>2.126044727737867E-3</v>
      </c>
      <c r="R3077" s="4">
        <f t="shared" si="194"/>
        <v>2.1054531440972073E-2</v>
      </c>
      <c r="S3077" s="4">
        <f t="shared" si="194"/>
        <v>3.7054400849379616E-3</v>
      </c>
      <c r="T3077" s="4">
        <f t="shared" si="194"/>
        <v>3.9450627867951889E-3</v>
      </c>
      <c r="U3077" s="35"/>
      <c r="V3077" s="35"/>
      <c r="W3077" s="35"/>
      <c r="X3077" s="35"/>
    </row>
    <row r="3078" spans="4:24" x14ac:dyDescent="0.3">
      <c r="D3078" s="23">
        <v>44048</v>
      </c>
      <c r="E3078" s="5">
        <v>314.09518400000002</v>
      </c>
      <c r="F3078" s="28">
        <v>80.921090000000007</v>
      </c>
      <c r="G3078" s="28">
        <v>191.35</v>
      </c>
      <c r="H3078" s="28">
        <v>265.1078</v>
      </c>
      <c r="I3078" s="28">
        <v>159.53579999999999</v>
      </c>
      <c r="J3078" s="29"/>
      <c r="K3078" s="29"/>
      <c r="L3078" s="29"/>
      <c r="M3078" s="29"/>
      <c r="N3078" s="29"/>
      <c r="P3078" s="4">
        <f t="shared" si="194"/>
        <v>6.1915244441627243E-3</v>
      </c>
      <c r="Q3078" s="4">
        <f t="shared" si="194"/>
        <v>-1.3426293565770382E-3</v>
      </c>
      <c r="R3078" s="4">
        <f t="shared" si="194"/>
        <v>9.2403660577641874E-3</v>
      </c>
      <c r="S3078" s="4">
        <f t="shared" si="194"/>
        <v>2.474506531552212E-3</v>
      </c>
      <c r="T3078" s="4">
        <f t="shared" si="194"/>
        <v>7.2521980616561052E-3</v>
      </c>
      <c r="U3078" s="35"/>
      <c r="V3078" s="35"/>
      <c r="W3078" s="35"/>
      <c r="X3078" s="35"/>
    </row>
    <row r="3079" spans="4:24" x14ac:dyDescent="0.3">
      <c r="D3079" s="23">
        <v>44049</v>
      </c>
      <c r="E3079" s="5">
        <v>316.19482399999998</v>
      </c>
      <c r="F3079" s="28">
        <v>81.047910000000002</v>
      </c>
      <c r="G3079" s="28">
        <v>193.89</v>
      </c>
      <c r="H3079" s="28">
        <v>268.61919999999998</v>
      </c>
      <c r="I3079" s="28">
        <v>160.31059999999999</v>
      </c>
      <c r="J3079" s="29"/>
      <c r="K3079" s="29"/>
      <c r="L3079" s="29"/>
      <c r="M3079" s="29"/>
      <c r="N3079" s="29"/>
      <c r="P3079" s="4">
        <f t="shared" si="194"/>
        <v>6.6624815244669148E-3</v>
      </c>
      <c r="Q3079" s="4">
        <f t="shared" si="194"/>
        <v>1.565978994950956E-3</v>
      </c>
      <c r="R3079" s="4">
        <f t="shared" si="194"/>
        <v>1.318677607120246E-2</v>
      </c>
      <c r="S3079" s="4">
        <f t="shared" si="194"/>
        <v>1.3158227570263513E-2</v>
      </c>
      <c r="T3079" s="4">
        <f t="shared" si="194"/>
        <v>4.8448349928948984E-3</v>
      </c>
      <c r="U3079" s="35"/>
      <c r="V3079" s="35"/>
      <c r="W3079" s="35"/>
      <c r="X3079" s="35"/>
    </row>
    <row r="3080" spans="4:24" x14ac:dyDescent="0.3">
      <c r="D3080" s="23">
        <v>44050</v>
      </c>
      <c r="E3080" s="5">
        <v>316.42184400000002</v>
      </c>
      <c r="F3080" s="28">
        <v>80.957350000000005</v>
      </c>
      <c r="G3080" s="28">
        <v>190.81</v>
      </c>
      <c r="H3080" s="28">
        <v>265.51870000000002</v>
      </c>
      <c r="I3080" s="28">
        <v>160.44290000000001</v>
      </c>
      <c r="J3080" s="29"/>
      <c r="K3080" s="29"/>
      <c r="L3080" s="29"/>
      <c r="M3080" s="29"/>
      <c r="N3080" s="29"/>
      <c r="P3080" s="4">
        <f t="shared" si="194"/>
        <v>7.1771744637382136E-4</v>
      </c>
      <c r="Q3080" s="4">
        <f t="shared" si="194"/>
        <v>-1.1179885076887052E-3</v>
      </c>
      <c r="R3080" s="4">
        <f t="shared" si="194"/>
        <v>-1.6012819400663379E-2</v>
      </c>
      <c r="S3080" s="4">
        <f t="shared" si="194"/>
        <v>-1.1609491944992334E-2</v>
      </c>
      <c r="T3080" s="4">
        <f t="shared" si="194"/>
        <v>8.2493258843729846E-4</v>
      </c>
      <c r="U3080" s="35"/>
      <c r="V3080" s="35"/>
      <c r="W3080" s="35"/>
      <c r="X3080" s="35"/>
    </row>
    <row r="3081" spans="4:24" x14ac:dyDescent="0.3">
      <c r="D3081" s="23">
        <v>44053</v>
      </c>
      <c r="E3081" s="5">
        <v>317.36758400000002</v>
      </c>
      <c r="F3081" s="28">
        <v>80.866749999999996</v>
      </c>
      <c r="G3081" s="28">
        <v>190.15</v>
      </c>
      <c r="H3081" s="28">
        <v>264.38409999999999</v>
      </c>
      <c r="I3081" s="28">
        <v>160.887</v>
      </c>
      <c r="J3081" s="29"/>
      <c r="K3081" s="29"/>
      <c r="L3081" s="29"/>
      <c r="M3081" s="29"/>
      <c r="N3081" s="29"/>
      <c r="P3081" s="4">
        <f t="shared" si="194"/>
        <v>2.984400370740963E-3</v>
      </c>
      <c r="Q3081" s="4">
        <f t="shared" si="194"/>
        <v>-1.11973444581167E-3</v>
      </c>
      <c r="R3081" s="4">
        <f t="shared" si="194"/>
        <v>-3.4649341679816644E-3</v>
      </c>
      <c r="S3081" s="4">
        <f t="shared" si="194"/>
        <v>-4.2823013347628881E-3</v>
      </c>
      <c r="T3081" s="4">
        <f t="shared" si="194"/>
        <v>2.7641391775919586E-3</v>
      </c>
      <c r="U3081" s="35"/>
      <c r="V3081" s="35"/>
      <c r="W3081" s="35"/>
      <c r="X3081" s="35"/>
    </row>
    <row r="3082" spans="4:24" x14ac:dyDescent="0.3">
      <c r="D3082" s="23">
        <v>44054</v>
      </c>
      <c r="E3082" s="5">
        <v>314.74774200000002</v>
      </c>
      <c r="F3082" s="28">
        <v>80.585989999999995</v>
      </c>
      <c r="G3082" s="28">
        <v>179.94</v>
      </c>
      <c r="H3082" s="28">
        <v>259.37639999999999</v>
      </c>
      <c r="I3082" s="28">
        <v>159.5925</v>
      </c>
      <c r="J3082" s="29"/>
      <c r="K3082" s="29"/>
      <c r="L3082" s="29"/>
      <c r="M3082" s="29"/>
      <c r="N3082" s="29"/>
      <c r="P3082" s="4">
        <f t="shared" si="194"/>
        <v>-8.2891741208960239E-3</v>
      </c>
      <c r="Q3082" s="4">
        <f t="shared" si="194"/>
        <v>-3.4779252802422563E-3</v>
      </c>
      <c r="R3082" s="4">
        <f t="shared" si="194"/>
        <v>-5.5189772385295967E-2</v>
      </c>
      <c r="S3082" s="4">
        <f t="shared" si="194"/>
        <v>-1.9122681451185349E-2</v>
      </c>
      <c r="T3082" s="4">
        <f t="shared" si="194"/>
        <v>-8.0785637787081453E-3</v>
      </c>
      <c r="U3082" s="35"/>
      <c r="V3082" s="35"/>
      <c r="W3082" s="35"/>
      <c r="X3082" s="35"/>
    </row>
    <row r="3083" spans="4:24" x14ac:dyDescent="0.3">
      <c r="D3083" s="23">
        <v>44055</v>
      </c>
      <c r="E3083" s="5">
        <v>319.13613900000001</v>
      </c>
      <c r="F3083" s="28">
        <v>80.377669999999995</v>
      </c>
      <c r="G3083" s="28">
        <v>179.1</v>
      </c>
      <c r="H3083" s="28">
        <v>265.90010000000001</v>
      </c>
      <c r="I3083" s="28">
        <v>161.72790000000001</v>
      </c>
      <c r="J3083" s="29"/>
      <c r="K3083" s="29"/>
      <c r="L3083" s="29"/>
      <c r="M3083" s="29"/>
      <c r="N3083" s="29"/>
      <c r="P3083" s="4">
        <f t="shared" si="194"/>
        <v>1.3846280819204138E-2</v>
      </c>
      <c r="Q3083" s="4">
        <f t="shared" si="194"/>
        <v>-2.5884117733135812E-3</v>
      </c>
      <c r="R3083" s="4">
        <f t="shared" si="194"/>
        <v>-4.6791529223065972E-3</v>
      </c>
      <c r="S3083" s="4">
        <f t="shared" si="194"/>
        <v>2.4840385769379702E-2</v>
      </c>
      <c r="T3083" s="4">
        <f t="shared" si="194"/>
        <v>1.329160201309265E-2</v>
      </c>
      <c r="U3083" s="35"/>
      <c r="V3083" s="35"/>
      <c r="W3083" s="35"/>
      <c r="X3083" s="35"/>
    </row>
    <row r="3084" spans="4:24" x14ac:dyDescent="0.3">
      <c r="D3084" s="23">
        <v>44056</v>
      </c>
      <c r="E3084" s="5">
        <v>318.55917399999998</v>
      </c>
      <c r="F3084" s="28">
        <v>80.114980000000003</v>
      </c>
      <c r="G3084" s="28">
        <v>183.33</v>
      </c>
      <c r="H3084" s="28">
        <v>266.50650000000002</v>
      </c>
      <c r="I3084" s="28">
        <v>161.60509999999999</v>
      </c>
      <c r="J3084" s="29"/>
      <c r="K3084" s="29"/>
      <c r="L3084" s="29"/>
      <c r="M3084" s="29"/>
      <c r="N3084" s="29"/>
      <c r="P3084" s="4">
        <f t="shared" si="194"/>
        <v>-1.8095323759574412E-3</v>
      </c>
      <c r="Q3084" s="4">
        <f t="shared" si="194"/>
        <v>-3.2735484719672099E-3</v>
      </c>
      <c r="R3084" s="4">
        <f t="shared" si="194"/>
        <v>2.3343498508267807E-2</v>
      </c>
      <c r="S3084" s="4">
        <f t="shared" si="194"/>
        <v>2.2779592222274899E-3</v>
      </c>
      <c r="T3084" s="4">
        <f t="shared" si="194"/>
        <v>-7.5958844846885055E-4</v>
      </c>
      <c r="U3084" s="35"/>
      <c r="V3084" s="35"/>
      <c r="W3084" s="35"/>
      <c r="X3084" s="35"/>
    </row>
    <row r="3085" spans="4:24" x14ac:dyDescent="0.3">
      <c r="D3085" s="23">
        <v>44057</v>
      </c>
      <c r="E3085" s="5">
        <v>318.56863399999997</v>
      </c>
      <c r="F3085" s="28">
        <v>80.024389999999997</v>
      </c>
      <c r="G3085" s="28">
        <v>182.54</v>
      </c>
      <c r="H3085" s="28">
        <v>266.19349999999997</v>
      </c>
      <c r="I3085" s="28">
        <v>161.55779999999999</v>
      </c>
      <c r="J3085" s="29"/>
      <c r="K3085" s="29"/>
      <c r="L3085" s="29"/>
      <c r="M3085" s="29"/>
      <c r="N3085" s="29"/>
      <c r="P3085" s="4">
        <f t="shared" si="194"/>
        <v>2.9695768672771741E-5</v>
      </c>
      <c r="Q3085" s="4">
        <f t="shared" si="194"/>
        <v>-1.1313896097288451E-3</v>
      </c>
      <c r="R3085" s="4">
        <f t="shared" si="194"/>
        <v>-4.3184804862026497E-3</v>
      </c>
      <c r="S3085" s="4">
        <f t="shared" si="194"/>
        <v>-1.1751456205003191E-3</v>
      </c>
      <c r="T3085" s="4">
        <f t="shared" si="194"/>
        <v>-2.9273162443942732E-4</v>
      </c>
      <c r="U3085" s="35"/>
      <c r="V3085" s="35"/>
      <c r="W3085" s="35"/>
      <c r="X3085" s="35"/>
    </row>
    <row r="3086" spans="4:24" x14ac:dyDescent="0.3">
      <c r="D3086" s="23">
        <v>44060</v>
      </c>
      <c r="E3086" s="5">
        <v>319.58056599999998</v>
      </c>
      <c r="F3086" s="28">
        <v>80.124039999999994</v>
      </c>
      <c r="G3086" s="28">
        <v>186.5</v>
      </c>
      <c r="H3086" s="28">
        <v>269.28429999999997</v>
      </c>
      <c r="I3086" s="28">
        <v>162.24760000000001</v>
      </c>
      <c r="J3086" s="29"/>
      <c r="K3086" s="29"/>
      <c r="L3086" s="29"/>
      <c r="M3086" s="29"/>
      <c r="N3086" s="29"/>
      <c r="P3086" s="4">
        <f t="shared" si="194"/>
        <v>3.1714616211435684E-3</v>
      </c>
      <c r="Q3086" s="4">
        <f t="shared" si="194"/>
        <v>1.2444706808641842E-3</v>
      </c>
      <c r="R3086" s="4">
        <f t="shared" si="194"/>
        <v>2.1461911995139089E-2</v>
      </c>
      <c r="S3086" s="4">
        <f t="shared" si="194"/>
        <v>1.1544210891751784E-2</v>
      </c>
      <c r="T3086" s="4">
        <f t="shared" si="194"/>
        <v>4.2605901166150291E-3</v>
      </c>
      <c r="U3086" s="35"/>
      <c r="V3086" s="35"/>
      <c r="W3086" s="35"/>
      <c r="X3086" s="35"/>
    </row>
    <row r="3087" spans="4:24" x14ac:dyDescent="0.3">
      <c r="D3087" s="23">
        <v>44061</v>
      </c>
      <c r="E3087" s="5">
        <v>320.271027</v>
      </c>
      <c r="F3087" s="28">
        <v>80.232740000000007</v>
      </c>
      <c r="G3087" s="28">
        <v>188.18</v>
      </c>
      <c r="H3087" s="28">
        <v>271.87619999999998</v>
      </c>
      <c r="I3087" s="28">
        <v>162.4933</v>
      </c>
      <c r="J3087" s="29"/>
      <c r="K3087" s="29"/>
      <c r="L3087" s="29"/>
      <c r="M3087" s="29"/>
      <c r="N3087" s="29"/>
      <c r="P3087" s="4">
        <f t="shared" si="194"/>
        <v>2.1581919168622982E-3</v>
      </c>
      <c r="Q3087" s="4">
        <f t="shared" si="194"/>
        <v>1.3557271061341216E-3</v>
      </c>
      <c r="R3087" s="4">
        <f t="shared" si="194"/>
        <v>8.9677124947494299E-3</v>
      </c>
      <c r="S3087" s="4">
        <f t="shared" si="194"/>
        <v>9.5791168026951E-3</v>
      </c>
      <c r="T3087" s="4">
        <f t="shared" si="194"/>
        <v>1.5132066634263852E-3</v>
      </c>
      <c r="U3087" s="35"/>
      <c r="V3087" s="35"/>
      <c r="W3087" s="35"/>
      <c r="X3087" s="35"/>
    </row>
    <row r="3088" spans="4:24" x14ac:dyDescent="0.3">
      <c r="D3088" s="23">
        <v>44062</v>
      </c>
      <c r="E3088" s="5">
        <v>318.93753099999998</v>
      </c>
      <c r="F3088" s="28">
        <v>80.096850000000003</v>
      </c>
      <c r="G3088" s="28">
        <v>182.24</v>
      </c>
      <c r="H3088" s="28">
        <v>270.04719999999998</v>
      </c>
      <c r="I3088" s="28">
        <v>161.86019999999999</v>
      </c>
      <c r="J3088" s="29"/>
      <c r="K3088" s="29"/>
      <c r="L3088" s="29"/>
      <c r="M3088" s="29"/>
      <c r="N3088" s="29"/>
      <c r="P3088" s="4">
        <f t="shared" si="194"/>
        <v>-4.1723406791593434E-3</v>
      </c>
      <c r="Q3088" s="4">
        <f t="shared" si="194"/>
        <v>-1.6951335376051999E-3</v>
      </c>
      <c r="R3088" s="4">
        <f t="shared" si="194"/>
        <v>-3.2074451879747529E-2</v>
      </c>
      <c r="S3088" s="4">
        <f t="shared" si="194"/>
        <v>-6.7500570914508957E-3</v>
      </c>
      <c r="T3088" s="4">
        <f t="shared" si="194"/>
        <v>-3.9037704480229555E-3</v>
      </c>
      <c r="U3088" s="35"/>
      <c r="V3088" s="35"/>
      <c r="W3088" s="35"/>
      <c r="X3088" s="35"/>
    </row>
    <row r="3089" spans="4:24" x14ac:dyDescent="0.3">
      <c r="D3089" s="23">
        <v>44063</v>
      </c>
      <c r="E3089" s="5">
        <v>319.93057299999998</v>
      </c>
      <c r="F3089" s="28">
        <v>80.232740000000007</v>
      </c>
      <c r="G3089" s="28">
        <v>183.5</v>
      </c>
      <c r="H3089" s="28">
        <v>273.79320000000001</v>
      </c>
      <c r="I3089" s="28">
        <v>162.32329999999999</v>
      </c>
      <c r="J3089" s="29"/>
      <c r="K3089" s="29"/>
      <c r="L3089" s="29"/>
      <c r="M3089" s="29"/>
      <c r="N3089" s="29"/>
      <c r="P3089" s="4">
        <f t="shared" si="194"/>
        <v>3.1087568577700848E-3</v>
      </c>
      <c r="Q3089" s="4">
        <f t="shared" si="194"/>
        <v>1.6951335376051485E-3</v>
      </c>
      <c r="R3089" s="4">
        <f t="shared" si="194"/>
        <v>6.8901677957529574E-3</v>
      </c>
      <c r="S3089" s="4">
        <f t="shared" si="194"/>
        <v>1.3776318364621287E-2</v>
      </c>
      <c r="T3089" s="4">
        <f t="shared" si="194"/>
        <v>2.8570258203033656E-3</v>
      </c>
      <c r="U3089" s="35"/>
      <c r="V3089" s="35"/>
      <c r="W3089" s="35"/>
      <c r="X3089" s="35"/>
    </row>
    <row r="3090" spans="4:24" x14ac:dyDescent="0.3">
      <c r="D3090" s="23">
        <v>44064</v>
      </c>
      <c r="E3090" s="5">
        <v>321.06545999999997</v>
      </c>
      <c r="F3090" s="28">
        <v>80.404809999999998</v>
      </c>
      <c r="G3090" s="28">
        <v>182.03</v>
      </c>
      <c r="H3090" s="28">
        <v>275.69069999999999</v>
      </c>
      <c r="I3090" s="28">
        <v>162.7295</v>
      </c>
      <c r="J3090" s="29"/>
      <c r="K3090" s="29"/>
      <c r="L3090" s="29"/>
      <c r="M3090" s="29"/>
      <c r="N3090" s="29"/>
      <c r="P3090" s="4">
        <f t="shared" si="194"/>
        <v>3.5410146940543963E-3</v>
      </c>
      <c r="Q3090" s="4">
        <f t="shared" si="194"/>
        <v>2.1423392701305131E-3</v>
      </c>
      <c r="R3090" s="4">
        <f t="shared" si="194"/>
        <v>-8.0431588368174746E-3</v>
      </c>
      <c r="S3090" s="4">
        <f t="shared" si="194"/>
        <v>6.9065082435854604E-3</v>
      </c>
      <c r="T3090" s="4">
        <f t="shared" si="194"/>
        <v>2.4992875707696418E-3</v>
      </c>
      <c r="U3090" s="35"/>
      <c r="V3090" s="35"/>
      <c r="W3090" s="35"/>
      <c r="X3090" s="35"/>
    </row>
    <row r="3091" spans="4:24" x14ac:dyDescent="0.3">
      <c r="D3091" s="23">
        <v>44067</v>
      </c>
      <c r="E3091" s="5">
        <v>324.318848</v>
      </c>
      <c r="F3091" s="28">
        <v>80.314260000000004</v>
      </c>
      <c r="G3091" s="28">
        <v>181</v>
      </c>
      <c r="H3091" s="28">
        <v>277.41210000000001</v>
      </c>
      <c r="I3091" s="28">
        <v>164.2886</v>
      </c>
      <c r="J3091" s="29"/>
      <c r="K3091" s="29"/>
      <c r="L3091" s="29"/>
      <c r="M3091" s="29"/>
      <c r="N3091" s="29"/>
      <c r="P3091" s="4">
        <f t="shared" si="194"/>
        <v>1.0082103076284163E-2</v>
      </c>
      <c r="Q3091" s="4">
        <f t="shared" si="194"/>
        <v>-1.1268110197621077E-3</v>
      </c>
      <c r="R3091" s="4">
        <f t="shared" si="194"/>
        <v>-5.67447739198167E-3</v>
      </c>
      <c r="S3091" s="4">
        <f t="shared" si="194"/>
        <v>6.2245411086477411E-3</v>
      </c>
      <c r="T3091" s="4">
        <f t="shared" si="194"/>
        <v>9.5353242715071011E-3</v>
      </c>
      <c r="U3091" s="35"/>
      <c r="V3091" s="35"/>
      <c r="W3091" s="35"/>
      <c r="X3091" s="35"/>
    </row>
    <row r="3092" spans="4:24" x14ac:dyDescent="0.3">
      <c r="D3092" s="23">
        <v>44068</v>
      </c>
      <c r="E3092" s="5">
        <v>325.45379600000001</v>
      </c>
      <c r="F3092" s="28">
        <v>80.160269999999997</v>
      </c>
      <c r="G3092" s="28">
        <v>181.22</v>
      </c>
      <c r="H3092" s="28">
        <v>279.59320000000002</v>
      </c>
      <c r="I3092" s="28">
        <v>164.83670000000001</v>
      </c>
      <c r="J3092" s="29"/>
      <c r="K3092" s="29"/>
      <c r="L3092" s="29"/>
      <c r="M3092" s="29"/>
      <c r="N3092" s="29"/>
      <c r="P3092" s="4">
        <f t="shared" si="194"/>
        <v>3.4933731504072814E-3</v>
      </c>
      <c r="Q3092" s="4">
        <f t="shared" si="194"/>
        <v>-1.9191836519541637E-3</v>
      </c>
      <c r="R3092" s="4">
        <f t="shared" si="194"/>
        <v>1.214731528088725E-3</v>
      </c>
      <c r="S3092" s="4">
        <f t="shared" si="194"/>
        <v>7.8315633543967651E-3</v>
      </c>
      <c r="T3092" s="4">
        <f t="shared" si="194"/>
        <v>3.3306494923544638E-3</v>
      </c>
      <c r="U3092" s="35"/>
      <c r="V3092" s="35"/>
      <c r="W3092" s="35"/>
      <c r="X3092" s="35"/>
    </row>
    <row r="3093" spans="4:24" x14ac:dyDescent="0.3">
      <c r="D3093" s="23">
        <v>44069</v>
      </c>
      <c r="E3093" s="5">
        <v>328.71664399999997</v>
      </c>
      <c r="F3093" s="28">
        <v>80.114980000000003</v>
      </c>
      <c r="G3093" s="28">
        <v>183.36</v>
      </c>
      <c r="H3093" s="28">
        <v>285.55950000000001</v>
      </c>
      <c r="I3093" s="28">
        <v>166.3295</v>
      </c>
      <c r="J3093" s="29"/>
      <c r="K3093" s="29"/>
      <c r="L3093" s="29"/>
      <c r="M3093" s="29"/>
      <c r="N3093" s="29"/>
      <c r="P3093" s="4">
        <f t="shared" ref="P3093:T3108" si="195">LN(E3093/E3092)</f>
        <v>9.9756114259452917E-3</v>
      </c>
      <c r="Q3093" s="4">
        <f t="shared" si="195"/>
        <v>-5.6515277568379993E-4</v>
      </c>
      <c r="R3093" s="4">
        <f t="shared" si="195"/>
        <v>1.1739670732460253E-2</v>
      </c>
      <c r="S3093" s="4">
        <f t="shared" si="195"/>
        <v>2.1114724081104961E-2</v>
      </c>
      <c r="T3093" s="4">
        <f t="shared" si="195"/>
        <v>9.0154738681976244E-3</v>
      </c>
      <c r="U3093" s="35"/>
      <c r="V3093" s="35"/>
      <c r="W3093" s="35"/>
      <c r="X3093" s="35"/>
    </row>
    <row r="3094" spans="4:24" x14ac:dyDescent="0.3">
      <c r="D3094" s="23">
        <v>44070</v>
      </c>
      <c r="E3094" s="5">
        <v>329.43545499999999</v>
      </c>
      <c r="F3094" s="28">
        <v>79.825130000000001</v>
      </c>
      <c r="G3094" s="28">
        <v>181.24</v>
      </c>
      <c r="H3094" s="28">
        <v>284.6694</v>
      </c>
      <c r="I3094" s="28">
        <v>166.72640000000001</v>
      </c>
      <c r="J3094" s="29"/>
      <c r="K3094" s="29"/>
      <c r="L3094" s="29"/>
      <c r="M3094" s="29"/>
      <c r="N3094" s="29"/>
      <c r="P3094" s="4">
        <f t="shared" si="195"/>
        <v>2.1843318190361304E-3</v>
      </c>
      <c r="Q3094" s="4">
        <f t="shared" si="195"/>
        <v>-3.6244856566712523E-3</v>
      </c>
      <c r="R3094" s="4">
        <f t="shared" si="195"/>
        <v>-1.1629313727437267E-2</v>
      </c>
      <c r="S3094" s="4">
        <f t="shared" si="195"/>
        <v>-3.1219067393176022E-3</v>
      </c>
      <c r="T3094" s="4">
        <f t="shared" si="195"/>
        <v>2.3833848184842865E-3</v>
      </c>
      <c r="U3094" s="35"/>
      <c r="V3094" s="35"/>
      <c r="W3094" s="35"/>
      <c r="X3094" s="35"/>
    </row>
    <row r="3095" spans="4:24" x14ac:dyDescent="0.3">
      <c r="D3095" s="23">
        <v>44071</v>
      </c>
      <c r="E3095" s="5">
        <v>331.56332400000002</v>
      </c>
      <c r="F3095" s="28">
        <v>79.888540000000006</v>
      </c>
      <c r="G3095" s="28">
        <v>184.39</v>
      </c>
      <c r="H3095" s="28">
        <v>286.11700000000002</v>
      </c>
      <c r="I3095" s="28">
        <v>167.8886</v>
      </c>
      <c r="J3095" s="29"/>
      <c r="K3095" s="29"/>
      <c r="L3095" s="29"/>
      <c r="M3095" s="29"/>
      <c r="N3095" s="29"/>
      <c r="P3095" s="4">
        <f t="shared" si="195"/>
        <v>6.438366962443931E-3</v>
      </c>
      <c r="Q3095" s="4">
        <f t="shared" si="195"/>
        <v>7.9404603665698546E-4</v>
      </c>
      <c r="R3095" s="4">
        <f t="shared" si="195"/>
        <v>1.7230959918135613E-2</v>
      </c>
      <c r="S3095" s="4">
        <f t="shared" si="195"/>
        <v>5.0723111261731079E-3</v>
      </c>
      <c r="T3095" s="4">
        <f t="shared" si="195"/>
        <v>6.946518676137799E-3</v>
      </c>
      <c r="U3095" s="35"/>
      <c r="V3095" s="35"/>
      <c r="W3095" s="35"/>
      <c r="X3095" s="35"/>
    </row>
    <row r="3096" spans="4:24" x14ac:dyDescent="0.3">
      <c r="D3096" s="23">
        <v>44074</v>
      </c>
      <c r="E3096" s="5">
        <v>330.362213</v>
      </c>
      <c r="F3096" s="28">
        <v>80.124039999999994</v>
      </c>
      <c r="G3096" s="28">
        <v>184.83</v>
      </c>
      <c r="H3096" s="28">
        <v>288.41550000000001</v>
      </c>
      <c r="I3096" s="28">
        <v>167.51070000000001</v>
      </c>
      <c r="J3096" s="29"/>
      <c r="K3096" s="29"/>
      <c r="L3096" s="29"/>
      <c r="M3096" s="29"/>
      <c r="N3096" s="29"/>
      <c r="P3096" s="4">
        <f t="shared" si="195"/>
        <v>-3.6291463348979043E-3</v>
      </c>
      <c r="Q3096" s="4">
        <f t="shared" si="195"/>
        <v>2.9435206911496989E-3</v>
      </c>
      <c r="R3096" s="4">
        <f t="shared" si="195"/>
        <v>2.3834039775158661E-3</v>
      </c>
      <c r="S3096" s="4">
        <f t="shared" si="195"/>
        <v>8.0013306914127856E-3</v>
      </c>
      <c r="T3096" s="4">
        <f t="shared" si="195"/>
        <v>-2.253434398423587E-3</v>
      </c>
      <c r="U3096" s="35"/>
      <c r="V3096" s="35"/>
      <c r="W3096" s="35"/>
      <c r="X3096" s="35"/>
    </row>
    <row r="3097" spans="4:24" x14ac:dyDescent="0.3">
      <c r="D3097" s="23">
        <v>44075</v>
      </c>
      <c r="E3097" s="5">
        <v>333.47384599999998</v>
      </c>
      <c r="F3097" s="28">
        <v>80.344539999999995</v>
      </c>
      <c r="G3097" s="28">
        <v>185.05</v>
      </c>
      <c r="H3097" s="28">
        <v>293.34500000000003</v>
      </c>
      <c r="I3097" s="28">
        <v>168.99420000000001</v>
      </c>
      <c r="J3097" s="29"/>
      <c r="K3097" s="29"/>
      <c r="L3097" s="29"/>
      <c r="M3097" s="29"/>
      <c r="N3097" s="29"/>
      <c r="P3097" s="4">
        <f t="shared" si="195"/>
        <v>9.374771818889658E-3</v>
      </c>
      <c r="Q3097" s="4">
        <f t="shared" si="195"/>
        <v>2.748203277917605E-3</v>
      </c>
      <c r="R3097" s="4">
        <f t="shared" si="195"/>
        <v>1.1895751375758461E-3</v>
      </c>
      <c r="S3097" s="4">
        <f t="shared" si="195"/>
        <v>1.6947241975016875E-2</v>
      </c>
      <c r="T3097" s="4">
        <f t="shared" si="195"/>
        <v>8.817164985660101E-3</v>
      </c>
      <c r="U3097" s="35"/>
      <c r="V3097" s="35"/>
      <c r="W3097" s="35"/>
      <c r="X3097" s="35"/>
    </row>
    <row r="3098" spans="4:24" x14ac:dyDescent="0.3">
      <c r="D3098" s="23">
        <v>44076</v>
      </c>
      <c r="E3098" s="5">
        <v>338.29714999999999</v>
      </c>
      <c r="F3098" s="28">
        <v>80.516940000000005</v>
      </c>
      <c r="G3098" s="28">
        <v>182.62</v>
      </c>
      <c r="H3098" s="28">
        <v>296.12270000000001</v>
      </c>
      <c r="I3098" s="28">
        <v>171.2525</v>
      </c>
      <c r="J3098" s="29"/>
      <c r="K3098" s="29"/>
      <c r="L3098" s="29"/>
      <c r="M3098" s="29"/>
      <c r="N3098" s="29"/>
      <c r="P3098" s="4">
        <f t="shared" si="195"/>
        <v>1.4360211784013872E-2</v>
      </c>
      <c r="Q3098" s="4">
        <f t="shared" si="195"/>
        <v>2.1434599011088459E-3</v>
      </c>
      <c r="R3098" s="4">
        <f t="shared" si="195"/>
        <v>-1.3218567643971002E-2</v>
      </c>
      <c r="S3098" s="4">
        <f t="shared" si="195"/>
        <v>9.4245047179937307E-3</v>
      </c>
      <c r="T3098" s="4">
        <f t="shared" si="195"/>
        <v>1.3274680768405081E-2</v>
      </c>
      <c r="U3098" s="35"/>
      <c r="V3098" s="35"/>
      <c r="W3098" s="35"/>
      <c r="X3098" s="35"/>
    </row>
    <row r="3099" spans="4:24" x14ac:dyDescent="0.3">
      <c r="D3099" s="23">
        <v>44077</v>
      </c>
      <c r="E3099" s="5">
        <v>326.65490699999998</v>
      </c>
      <c r="F3099" s="28">
        <v>80.525970000000001</v>
      </c>
      <c r="G3099" s="28">
        <v>181.14</v>
      </c>
      <c r="H3099" s="28">
        <v>281.10930000000002</v>
      </c>
      <c r="I3099" s="28">
        <v>165.2996</v>
      </c>
      <c r="J3099" s="29"/>
      <c r="K3099" s="29"/>
      <c r="L3099" s="29"/>
      <c r="M3099" s="29"/>
      <c r="N3099" s="29"/>
      <c r="P3099" s="4">
        <f t="shared" si="195"/>
        <v>-3.5020367906921673E-2</v>
      </c>
      <c r="Q3099" s="4">
        <f t="shared" si="195"/>
        <v>1.1214402434066656E-4</v>
      </c>
      <c r="R3099" s="4">
        <f t="shared" si="195"/>
        <v>-8.1372782413917048E-3</v>
      </c>
      <c r="S3099" s="4">
        <f t="shared" si="195"/>
        <v>-5.203033378164975E-2</v>
      </c>
      <c r="T3099" s="4">
        <f t="shared" si="195"/>
        <v>-3.5379490594582556E-2</v>
      </c>
      <c r="U3099" s="35"/>
      <c r="V3099" s="35"/>
      <c r="W3099" s="35"/>
      <c r="X3099" s="35"/>
    </row>
    <row r="3100" spans="4:24" x14ac:dyDescent="0.3">
      <c r="D3100" s="23">
        <v>44078</v>
      </c>
      <c r="E3100" s="5">
        <v>323.98788500000001</v>
      </c>
      <c r="F3100" s="28">
        <v>80.054190000000006</v>
      </c>
      <c r="G3100" s="28">
        <v>181.64</v>
      </c>
      <c r="H3100" s="28">
        <v>277.36320000000001</v>
      </c>
      <c r="I3100" s="28">
        <v>163.89179999999999</v>
      </c>
      <c r="J3100" s="29"/>
      <c r="K3100" s="29"/>
      <c r="L3100" s="29"/>
      <c r="M3100" s="29"/>
      <c r="N3100" s="29"/>
      <c r="P3100" s="4">
        <f t="shared" si="195"/>
        <v>-8.1981602510137232E-3</v>
      </c>
      <c r="Q3100" s="4">
        <f t="shared" si="195"/>
        <v>-5.8759607341885636E-3</v>
      </c>
      <c r="R3100" s="4">
        <f t="shared" si="195"/>
        <v>2.7564932829480188E-3</v>
      </c>
      <c r="S3100" s="4">
        <f t="shared" si="195"/>
        <v>-1.3415723014454447E-2</v>
      </c>
      <c r="T3100" s="4">
        <f t="shared" si="195"/>
        <v>-8.5531309895304011E-3</v>
      </c>
      <c r="U3100" s="35"/>
      <c r="V3100" s="35"/>
      <c r="W3100" s="35"/>
      <c r="X3100" s="35"/>
    </row>
    <row r="3101" spans="4:24" x14ac:dyDescent="0.3">
      <c r="D3101" s="23">
        <v>44082</v>
      </c>
      <c r="E3101" s="5">
        <v>315.13562000000002</v>
      </c>
      <c r="F3101" s="28">
        <v>80.1721</v>
      </c>
      <c r="G3101" s="28">
        <v>181.29</v>
      </c>
      <c r="H3101" s="28">
        <v>264.03199999999998</v>
      </c>
      <c r="I3101" s="28">
        <v>159.2901</v>
      </c>
      <c r="J3101" s="29"/>
      <c r="K3101" s="29"/>
      <c r="L3101" s="29"/>
      <c r="M3101" s="29"/>
      <c r="N3101" s="29"/>
      <c r="P3101" s="4">
        <f t="shared" si="195"/>
        <v>-2.7703037265366038E-2</v>
      </c>
      <c r="Q3101" s="4">
        <f t="shared" si="195"/>
        <v>1.4717936898431744E-3</v>
      </c>
      <c r="R3101" s="4">
        <f t="shared" si="195"/>
        <v>-1.9287471881734822E-3</v>
      </c>
      <c r="S3101" s="4">
        <f t="shared" si="195"/>
        <v>-4.9257530740458369E-2</v>
      </c>
      <c r="T3101" s="4">
        <f t="shared" si="195"/>
        <v>-2.8479385899660748E-2</v>
      </c>
      <c r="U3101" s="35"/>
      <c r="V3101" s="35"/>
      <c r="W3101" s="35"/>
      <c r="X3101" s="35"/>
    </row>
    <row r="3102" spans="4:24" x14ac:dyDescent="0.3">
      <c r="D3102" s="23">
        <v>44083</v>
      </c>
      <c r="E3102" s="5">
        <v>321.35858200000001</v>
      </c>
      <c r="F3102" s="28">
        <v>80.117679999999993</v>
      </c>
      <c r="G3102" s="28">
        <v>183.05</v>
      </c>
      <c r="H3102" s="28">
        <v>271.78820000000002</v>
      </c>
      <c r="I3102" s="28">
        <v>162.4083</v>
      </c>
      <c r="J3102" s="29"/>
      <c r="K3102" s="29"/>
      <c r="L3102" s="29"/>
      <c r="M3102" s="29"/>
      <c r="N3102" s="29"/>
      <c r="P3102" s="4">
        <f t="shared" si="195"/>
        <v>1.9554491691846188E-2</v>
      </c>
      <c r="Q3102" s="4">
        <f t="shared" si="195"/>
        <v>-6.790202356126454E-4</v>
      </c>
      <c r="R3102" s="4">
        <f t="shared" si="195"/>
        <v>9.6613805246683667E-3</v>
      </c>
      <c r="S3102" s="4">
        <f t="shared" si="195"/>
        <v>2.8952778577481564E-2</v>
      </c>
      <c r="T3102" s="4">
        <f t="shared" si="195"/>
        <v>1.9386466703824073E-2</v>
      </c>
      <c r="U3102" s="35"/>
      <c r="V3102" s="35"/>
      <c r="W3102" s="35"/>
      <c r="X3102" s="35"/>
    </row>
    <row r="3103" spans="4:24" x14ac:dyDescent="0.3">
      <c r="D3103" s="23">
        <v>44084</v>
      </c>
      <c r="E3103" s="5">
        <v>315.77868699999999</v>
      </c>
      <c r="F3103" s="28">
        <v>80.135829999999999</v>
      </c>
      <c r="G3103" s="28">
        <v>182.46</v>
      </c>
      <c r="H3103" s="28">
        <v>266.36959999999999</v>
      </c>
      <c r="I3103" s="28">
        <v>159.74369999999999</v>
      </c>
      <c r="J3103" s="29"/>
      <c r="K3103" s="29"/>
      <c r="L3103" s="29"/>
      <c r="M3103" s="29"/>
      <c r="N3103" s="29"/>
      <c r="P3103" s="4">
        <f t="shared" si="195"/>
        <v>-1.7515966917377324E-2</v>
      </c>
      <c r="Q3103" s="4">
        <f t="shared" si="195"/>
        <v>2.2651610036643715E-4</v>
      </c>
      <c r="R3103" s="4">
        <f t="shared" si="195"/>
        <v>-3.2283686489169654E-3</v>
      </c>
      <c r="S3103" s="4">
        <f t="shared" si="195"/>
        <v>-2.0138268458805061E-2</v>
      </c>
      <c r="T3103" s="4">
        <f t="shared" si="195"/>
        <v>-1.654287893569148E-2</v>
      </c>
      <c r="U3103" s="35"/>
      <c r="V3103" s="35"/>
      <c r="W3103" s="35"/>
      <c r="X3103" s="35"/>
    </row>
    <row r="3104" spans="4:24" x14ac:dyDescent="0.3">
      <c r="D3104" s="23">
        <v>44085</v>
      </c>
      <c r="E3104" s="5">
        <v>315.93948399999999</v>
      </c>
      <c r="F3104" s="28">
        <v>80.217500000000001</v>
      </c>
      <c r="G3104" s="28">
        <v>182.45</v>
      </c>
      <c r="H3104" s="28">
        <v>264.52109999999999</v>
      </c>
      <c r="I3104" s="28">
        <v>159.8004</v>
      </c>
      <c r="J3104" s="29"/>
      <c r="K3104" s="29"/>
      <c r="L3104" s="29"/>
      <c r="M3104" s="29"/>
      <c r="N3104" s="29"/>
      <c r="P3104" s="4">
        <f t="shared" si="195"/>
        <v>5.0907829109345646E-4</v>
      </c>
      <c r="Q3104" s="4">
        <f t="shared" si="195"/>
        <v>1.0186256445279243E-3</v>
      </c>
      <c r="R3104" s="4">
        <f t="shared" si="195"/>
        <v>-5.4808034871781848E-5</v>
      </c>
      <c r="S3104" s="4">
        <f t="shared" si="195"/>
        <v>-6.9637967670642112E-3</v>
      </c>
      <c r="T3104" s="4">
        <f t="shared" si="195"/>
        <v>3.5488059767076533E-4</v>
      </c>
      <c r="U3104" s="35"/>
      <c r="V3104" s="35"/>
      <c r="W3104" s="35"/>
      <c r="X3104" s="35"/>
    </row>
    <row r="3105" spans="4:24" x14ac:dyDescent="0.3">
      <c r="D3105" s="23">
        <v>44088</v>
      </c>
      <c r="E3105" s="5">
        <v>320.10076900000001</v>
      </c>
      <c r="F3105" s="28">
        <v>80.217500000000001</v>
      </c>
      <c r="G3105" s="28">
        <v>183.89</v>
      </c>
      <c r="H3105" s="28">
        <v>269.12779999999998</v>
      </c>
      <c r="I3105" s="28">
        <v>162.29490000000001</v>
      </c>
      <c r="J3105" s="29"/>
      <c r="K3105" s="29"/>
      <c r="L3105" s="29"/>
      <c r="M3105" s="29"/>
      <c r="N3105" s="29"/>
      <c r="P3105" s="4">
        <f t="shared" si="195"/>
        <v>1.308516042907012E-2</v>
      </c>
      <c r="Q3105" s="4">
        <f t="shared" si="195"/>
        <v>0</v>
      </c>
      <c r="R3105" s="4">
        <f t="shared" si="195"/>
        <v>7.8615898703051062E-3</v>
      </c>
      <c r="S3105" s="4">
        <f t="shared" si="195"/>
        <v>1.7265338444180128E-2</v>
      </c>
      <c r="T3105" s="4">
        <f t="shared" si="195"/>
        <v>1.5489514278667658E-2</v>
      </c>
      <c r="U3105" s="35"/>
      <c r="V3105" s="35"/>
      <c r="W3105" s="35"/>
      <c r="X3105" s="35"/>
    </row>
    <row r="3106" spans="4:24" x14ac:dyDescent="0.3">
      <c r="D3106" s="23">
        <v>44089</v>
      </c>
      <c r="E3106" s="5">
        <v>321.71801799999997</v>
      </c>
      <c r="F3106" s="28">
        <v>80.26285</v>
      </c>
      <c r="G3106" s="28">
        <v>183.45</v>
      </c>
      <c r="H3106" s="28">
        <v>272.94220000000001</v>
      </c>
      <c r="I3106" s="28">
        <v>163.2209</v>
      </c>
      <c r="J3106" s="29"/>
      <c r="K3106" s="29"/>
      <c r="L3106" s="29"/>
      <c r="M3106" s="29"/>
      <c r="N3106" s="29"/>
      <c r="P3106" s="4">
        <f t="shared" si="195"/>
        <v>5.0395920331231404E-3</v>
      </c>
      <c r="Q3106" s="4">
        <f t="shared" si="195"/>
        <v>5.6517824403009805E-4</v>
      </c>
      <c r="R3106" s="4">
        <f t="shared" si="195"/>
        <v>-2.3956019514707683E-3</v>
      </c>
      <c r="S3106" s="4">
        <f t="shared" si="195"/>
        <v>1.4073691439328722E-2</v>
      </c>
      <c r="T3106" s="4">
        <f t="shared" si="195"/>
        <v>5.6894473194175109E-3</v>
      </c>
      <c r="U3106" s="35"/>
      <c r="V3106" s="35"/>
      <c r="W3106" s="35"/>
      <c r="X3106" s="35"/>
    </row>
    <row r="3107" spans="4:24" x14ac:dyDescent="0.3">
      <c r="D3107" s="23">
        <v>44090</v>
      </c>
      <c r="E3107" s="5">
        <v>320.441284</v>
      </c>
      <c r="F3107" s="28">
        <v>80.244720000000001</v>
      </c>
      <c r="G3107" s="28">
        <v>183.97</v>
      </c>
      <c r="H3107" s="28">
        <v>268.58980000000003</v>
      </c>
      <c r="I3107" s="28">
        <v>162.6823</v>
      </c>
      <c r="J3107" s="29"/>
      <c r="K3107" s="29"/>
      <c r="L3107" s="29"/>
      <c r="M3107" s="29"/>
      <c r="N3107" s="29"/>
      <c r="P3107" s="4">
        <f t="shared" si="195"/>
        <v>-3.9763830510366723E-3</v>
      </c>
      <c r="Q3107" s="4">
        <f t="shared" si="195"/>
        <v>-2.2590834908417536E-4</v>
      </c>
      <c r="R3107" s="4">
        <f t="shared" si="195"/>
        <v>2.8305500364010161E-3</v>
      </c>
      <c r="S3107" s="4">
        <f t="shared" si="195"/>
        <v>-1.6074742472517296E-2</v>
      </c>
      <c r="T3107" s="4">
        <f t="shared" si="195"/>
        <v>-3.3052789315627892E-3</v>
      </c>
      <c r="U3107" s="35"/>
      <c r="V3107" s="35"/>
      <c r="W3107" s="35"/>
      <c r="X3107" s="35"/>
    </row>
    <row r="3108" spans="4:24" x14ac:dyDescent="0.3">
      <c r="D3108" s="23">
        <v>44091</v>
      </c>
      <c r="E3108" s="5">
        <v>317.62289399999997</v>
      </c>
      <c r="F3108" s="28">
        <v>80.244720000000001</v>
      </c>
      <c r="G3108" s="28">
        <v>182.96</v>
      </c>
      <c r="H3108" s="28">
        <v>264.3938</v>
      </c>
      <c r="I3108" s="28">
        <v>161.34049999999999</v>
      </c>
      <c r="J3108" s="29"/>
      <c r="K3108" s="29"/>
      <c r="L3108" s="29"/>
      <c r="M3108" s="29"/>
      <c r="N3108" s="29"/>
      <c r="P3108" s="4">
        <f t="shared" si="195"/>
        <v>-8.8342471713784738E-3</v>
      </c>
      <c r="Q3108" s="4">
        <f t="shared" si="195"/>
        <v>0</v>
      </c>
      <c r="R3108" s="4">
        <f t="shared" si="195"/>
        <v>-5.5051511231661463E-3</v>
      </c>
      <c r="S3108" s="4">
        <f t="shared" si="195"/>
        <v>-1.5745650301158109E-2</v>
      </c>
      <c r="T3108" s="4">
        <f t="shared" si="195"/>
        <v>-8.2821805749550437E-3</v>
      </c>
      <c r="U3108" s="35"/>
      <c r="V3108" s="35"/>
      <c r="W3108" s="35"/>
      <c r="X3108" s="35"/>
    </row>
    <row r="3109" spans="4:24" x14ac:dyDescent="0.3">
      <c r="D3109" s="23">
        <v>44092</v>
      </c>
      <c r="E3109" s="5">
        <v>313.96615600000001</v>
      </c>
      <c r="F3109" s="28">
        <v>80.153989999999993</v>
      </c>
      <c r="G3109" s="28">
        <v>183.2</v>
      </c>
      <c r="H3109" s="28">
        <v>261.01949999999999</v>
      </c>
      <c r="I3109" s="28">
        <v>159.77199999999999</v>
      </c>
      <c r="J3109" s="29"/>
      <c r="K3109" s="29"/>
      <c r="L3109" s="29"/>
      <c r="M3109" s="29"/>
      <c r="N3109" s="29"/>
      <c r="P3109" s="4">
        <f t="shared" ref="P3109:T3124" si="196">LN(E3109/E3108)</f>
        <v>-1.1579614498187155E-2</v>
      </c>
      <c r="Q3109" s="4">
        <f t="shared" si="196"/>
        <v>-1.1313059771710934E-3</v>
      </c>
      <c r="R3109" s="4">
        <f t="shared" si="196"/>
        <v>1.3109025255041431E-3</v>
      </c>
      <c r="S3109" s="4">
        <f t="shared" si="196"/>
        <v>-1.2844541207857363E-2</v>
      </c>
      <c r="T3109" s="4">
        <f t="shared" si="196"/>
        <v>-9.7692395937722647E-3</v>
      </c>
      <c r="U3109" s="35"/>
      <c r="V3109" s="35"/>
      <c r="W3109" s="35"/>
      <c r="X3109" s="35"/>
    </row>
    <row r="3110" spans="4:24" x14ac:dyDescent="0.3">
      <c r="D3110" s="23">
        <v>44095</v>
      </c>
      <c r="E3110" s="5">
        <v>310.47186299999998</v>
      </c>
      <c r="F3110" s="28">
        <v>80.19932</v>
      </c>
      <c r="G3110" s="28">
        <v>179.52</v>
      </c>
      <c r="H3110" s="28">
        <v>261.64550000000003</v>
      </c>
      <c r="I3110" s="28">
        <v>157.84440000000001</v>
      </c>
      <c r="J3110" s="29"/>
      <c r="K3110" s="29"/>
      <c r="L3110" s="29"/>
      <c r="M3110" s="29"/>
      <c r="N3110" s="29"/>
      <c r="P3110" s="4">
        <f t="shared" si="196"/>
        <v>-1.1191917749756603E-2</v>
      </c>
      <c r="Q3110" s="4">
        <f t="shared" si="196"/>
        <v>5.6537655764625537E-4</v>
      </c>
      <c r="R3110" s="4">
        <f t="shared" si="196"/>
        <v>-2.0291829905698309E-2</v>
      </c>
      <c r="S3110" s="4">
        <f t="shared" si="196"/>
        <v>2.3954169471211259E-3</v>
      </c>
      <c r="T3110" s="4">
        <f t="shared" si="196"/>
        <v>-1.2138061299464507E-2</v>
      </c>
      <c r="U3110" s="35"/>
      <c r="V3110" s="35"/>
      <c r="W3110" s="35"/>
      <c r="X3110" s="35"/>
    </row>
    <row r="3111" spans="4:24" x14ac:dyDescent="0.3">
      <c r="D3111" s="23">
        <v>44096</v>
      </c>
      <c r="E3111" s="5">
        <v>313.63388099999997</v>
      </c>
      <c r="F3111" s="28">
        <v>80.226569999999995</v>
      </c>
      <c r="G3111" s="28">
        <v>178.65</v>
      </c>
      <c r="H3111" s="28">
        <v>266.50650000000002</v>
      </c>
      <c r="I3111" s="28">
        <v>159.41290000000001</v>
      </c>
      <c r="J3111" s="29"/>
      <c r="K3111" s="29"/>
      <c r="L3111" s="29"/>
      <c r="M3111" s="29"/>
      <c r="N3111" s="29"/>
      <c r="P3111" s="4">
        <f t="shared" si="196"/>
        <v>1.0133042633577923E-2</v>
      </c>
      <c r="Q3111" s="4">
        <f t="shared" si="196"/>
        <v>3.3972073038918555E-4</v>
      </c>
      <c r="R3111" s="4">
        <f t="shared" si="196"/>
        <v>-4.8580378649127256E-3</v>
      </c>
      <c r="S3111" s="4">
        <f t="shared" si="196"/>
        <v>1.8408099429722567E-2</v>
      </c>
      <c r="T3111" s="4">
        <f t="shared" si="196"/>
        <v>9.8879539071050626E-3</v>
      </c>
      <c r="U3111" s="35"/>
      <c r="V3111" s="35"/>
      <c r="W3111" s="35"/>
      <c r="X3111" s="35"/>
    </row>
    <row r="3112" spans="4:24" x14ac:dyDescent="0.3">
      <c r="D3112" s="23">
        <v>44097</v>
      </c>
      <c r="E3112" s="5">
        <v>306.36035199999998</v>
      </c>
      <c r="F3112" s="28">
        <v>80.04513</v>
      </c>
      <c r="G3112" s="28">
        <v>174.79</v>
      </c>
      <c r="H3112" s="28">
        <v>258.3689</v>
      </c>
      <c r="I3112" s="28">
        <v>155.56720000000001</v>
      </c>
      <c r="J3112" s="29"/>
      <c r="K3112" s="29"/>
      <c r="L3112" s="29"/>
      <c r="M3112" s="29"/>
      <c r="N3112" s="29"/>
      <c r="P3112" s="4">
        <f t="shared" si="196"/>
        <v>-2.3464291527737338E-2</v>
      </c>
      <c r="Q3112" s="4">
        <f t="shared" si="196"/>
        <v>-2.2641561487299886E-3</v>
      </c>
      <c r="R3112" s="4">
        <f t="shared" si="196"/>
        <v>-2.1843331122423676E-2</v>
      </c>
      <c r="S3112" s="4">
        <f t="shared" si="196"/>
        <v>-3.1010224924438574E-2</v>
      </c>
      <c r="T3112" s="4">
        <f t="shared" si="196"/>
        <v>-2.4419898955056873E-2</v>
      </c>
      <c r="U3112" s="35"/>
      <c r="V3112" s="35"/>
      <c r="W3112" s="35"/>
      <c r="X3112" s="35"/>
    </row>
    <row r="3113" spans="4:24" x14ac:dyDescent="0.3">
      <c r="D3113" s="23">
        <v>44098</v>
      </c>
      <c r="E3113" s="5">
        <v>307.17700200000002</v>
      </c>
      <c r="F3113" s="28">
        <v>80.054190000000006</v>
      </c>
      <c r="G3113" s="28">
        <v>175.44</v>
      </c>
      <c r="H3113" s="28">
        <v>259.572</v>
      </c>
      <c r="I3113" s="28">
        <v>155.898</v>
      </c>
      <c r="J3113" s="29"/>
      <c r="K3113" s="29"/>
      <c r="L3113" s="29"/>
      <c r="M3113" s="29"/>
      <c r="N3113" s="29"/>
      <c r="P3113" s="4">
        <f t="shared" si="196"/>
        <v>2.6621051740772415E-3</v>
      </c>
      <c r="Q3113" s="4">
        <f t="shared" si="196"/>
        <v>1.1317974379506671E-4</v>
      </c>
      <c r="R3113" s="4">
        <f t="shared" si="196"/>
        <v>3.7118507626376709E-3</v>
      </c>
      <c r="S3113" s="4">
        <f t="shared" si="196"/>
        <v>4.6457121414389081E-3</v>
      </c>
      <c r="T3113" s="4">
        <f t="shared" si="196"/>
        <v>2.1241546367407713E-3</v>
      </c>
      <c r="U3113" s="35"/>
      <c r="V3113" s="35"/>
      <c r="W3113" s="35"/>
      <c r="X3113" s="35"/>
    </row>
    <row r="3114" spans="4:24" x14ac:dyDescent="0.3">
      <c r="D3114" s="23">
        <v>44099</v>
      </c>
      <c r="E3114" s="5">
        <v>312.14309700000001</v>
      </c>
      <c r="F3114" s="28">
        <v>80.04513</v>
      </c>
      <c r="G3114" s="28">
        <v>174.94</v>
      </c>
      <c r="H3114" s="28">
        <v>265.60680000000002</v>
      </c>
      <c r="I3114" s="28">
        <v>158.40649999999999</v>
      </c>
      <c r="J3114" s="29"/>
      <c r="K3114" s="29"/>
      <c r="L3114" s="29"/>
      <c r="M3114" s="29"/>
      <c r="N3114" s="29"/>
      <c r="P3114" s="4">
        <f t="shared" si="196"/>
        <v>1.603759170526288E-2</v>
      </c>
      <c r="Q3114" s="4">
        <f t="shared" si="196"/>
        <v>-1.1317974379503763E-4</v>
      </c>
      <c r="R3114" s="4">
        <f t="shared" si="196"/>
        <v>-2.8540461179239369E-3</v>
      </c>
      <c r="S3114" s="4">
        <f t="shared" si="196"/>
        <v>2.2982898914816561E-2</v>
      </c>
      <c r="T3114" s="4">
        <f t="shared" si="196"/>
        <v>1.5962566646861208E-2</v>
      </c>
      <c r="U3114" s="35"/>
      <c r="V3114" s="35"/>
      <c r="W3114" s="35"/>
      <c r="X3114" s="35"/>
    </row>
    <row r="3115" spans="4:24" x14ac:dyDescent="0.3">
      <c r="D3115" s="23">
        <v>44102</v>
      </c>
      <c r="E3115" s="5">
        <v>317.32757600000002</v>
      </c>
      <c r="F3115" s="28">
        <v>80.117679999999993</v>
      </c>
      <c r="G3115" s="28">
        <v>176.7</v>
      </c>
      <c r="H3115" s="28">
        <v>271.12310000000002</v>
      </c>
      <c r="I3115" s="28">
        <v>161.28129999999999</v>
      </c>
      <c r="J3115" s="29"/>
      <c r="K3115" s="29"/>
      <c r="L3115" s="29"/>
      <c r="M3115" s="29"/>
      <c r="N3115" s="29"/>
      <c r="P3115" s="4">
        <f t="shared" si="196"/>
        <v>1.6472876206394652E-2</v>
      </c>
      <c r="Q3115" s="4">
        <f t="shared" si="196"/>
        <v>9.0595319802540774E-4</v>
      </c>
      <c r="R3115" s="4">
        <f t="shared" si="196"/>
        <v>1.001032133394183E-2</v>
      </c>
      <c r="S3115" s="4">
        <f t="shared" si="196"/>
        <v>2.0555941600589062E-2</v>
      </c>
      <c r="T3115" s="4">
        <f t="shared" si="196"/>
        <v>1.798553147445725E-2</v>
      </c>
      <c r="U3115" s="35"/>
      <c r="V3115" s="35"/>
      <c r="W3115" s="35"/>
      <c r="X3115" s="35"/>
    </row>
    <row r="3116" spans="4:24" x14ac:dyDescent="0.3">
      <c r="D3116" s="23">
        <v>44103</v>
      </c>
      <c r="E3116" s="5">
        <v>315.59939600000001</v>
      </c>
      <c r="F3116" s="28">
        <v>80.1721</v>
      </c>
      <c r="G3116" s="28">
        <v>178.19</v>
      </c>
      <c r="H3116" s="28">
        <v>269.90050000000002</v>
      </c>
      <c r="I3116" s="28">
        <v>160.37989999999999</v>
      </c>
      <c r="J3116" s="29"/>
      <c r="K3116" s="29"/>
      <c r="L3116" s="29"/>
      <c r="M3116" s="29"/>
      <c r="N3116" s="29"/>
      <c r="P3116" s="4">
        <f t="shared" si="196"/>
        <v>-5.4609279465970299E-3</v>
      </c>
      <c r="Q3116" s="4">
        <f t="shared" si="196"/>
        <v>6.7902023561260626E-4</v>
      </c>
      <c r="R3116" s="4">
        <f t="shared" si="196"/>
        <v>8.397017413672726E-3</v>
      </c>
      <c r="S3116" s="4">
        <f t="shared" si="196"/>
        <v>-4.5195887245501271E-3</v>
      </c>
      <c r="T3116" s="4">
        <f t="shared" si="196"/>
        <v>-5.6046695068448235E-3</v>
      </c>
      <c r="U3116" s="35"/>
      <c r="V3116" s="35"/>
      <c r="W3116" s="35"/>
      <c r="X3116" s="35"/>
    </row>
    <row r="3117" spans="4:24" x14ac:dyDescent="0.3">
      <c r="D3117" s="23">
        <v>44104</v>
      </c>
      <c r="E3117" s="5">
        <v>317.99230999999997</v>
      </c>
      <c r="F3117" s="28">
        <v>80.04513</v>
      </c>
      <c r="G3117" s="28">
        <v>177.12</v>
      </c>
      <c r="H3117" s="28">
        <v>271.74900000000002</v>
      </c>
      <c r="I3117" s="28">
        <v>161.5849</v>
      </c>
      <c r="J3117" s="29"/>
      <c r="K3117" s="29"/>
      <c r="L3117" s="29"/>
      <c r="M3117" s="29"/>
      <c r="N3117" s="29"/>
      <c r="P3117" s="4">
        <f t="shared" si="196"/>
        <v>7.5535249429087648E-3</v>
      </c>
      <c r="Q3117" s="4">
        <f t="shared" si="196"/>
        <v>-1.5849734336380969E-3</v>
      </c>
      <c r="R3117" s="4">
        <f t="shared" si="196"/>
        <v>-6.0229277789966007E-3</v>
      </c>
      <c r="S3117" s="4">
        <f t="shared" si="196"/>
        <v>6.8254735815222421E-3</v>
      </c>
      <c r="T3117" s="4">
        <f t="shared" si="196"/>
        <v>7.4853252675451667E-3</v>
      </c>
      <c r="U3117" s="35"/>
      <c r="V3117" s="35"/>
      <c r="W3117" s="35"/>
      <c r="X3117" s="35"/>
    </row>
    <row r="3118" spans="4:24" x14ac:dyDescent="0.3">
      <c r="D3118" s="23">
        <v>44105</v>
      </c>
      <c r="E3118" s="5">
        <v>320.03381300000001</v>
      </c>
      <c r="F3118" s="28">
        <v>80.126909999999995</v>
      </c>
      <c r="G3118" s="28">
        <v>178.7</v>
      </c>
      <c r="H3118" s="28">
        <v>276.06240000000003</v>
      </c>
      <c r="I3118" s="28">
        <v>162.93209999999999</v>
      </c>
      <c r="J3118" s="29"/>
      <c r="K3118" s="29"/>
      <c r="L3118" s="29"/>
      <c r="M3118" s="29"/>
      <c r="N3118" s="29"/>
      <c r="P3118" s="4">
        <f t="shared" si="196"/>
        <v>6.3994557387124238E-3</v>
      </c>
      <c r="Q3118" s="4">
        <f t="shared" si="196"/>
        <v>1.0211520950391254E-3</v>
      </c>
      <c r="R3118" s="4">
        <f t="shared" si="196"/>
        <v>8.8809532050554418E-3</v>
      </c>
      <c r="S3118" s="4">
        <f t="shared" si="196"/>
        <v>1.574808097812503E-2</v>
      </c>
      <c r="T3118" s="4">
        <f t="shared" si="196"/>
        <v>8.3028484754336628E-3</v>
      </c>
      <c r="U3118" s="35"/>
      <c r="V3118" s="35"/>
      <c r="W3118" s="35"/>
      <c r="X3118" s="35"/>
    </row>
    <row r="3119" spans="4:24" x14ac:dyDescent="0.3">
      <c r="D3119" s="23">
        <v>44106</v>
      </c>
      <c r="E3119" s="5">
        <v>316.99523900000003</v>
      </c>
      <c r="F3119" s="28">
        <v>80.072379999999995</v>
      </c>
      <c r="G3119" s="28">
        <v>178.54</v>
      </c>
      <c r="H3119" s="28">
        <v>268.29640000000001</v>
      </c>
      <c r="I3119" s="28">
        <v>161.66079999999999</v>
      </c>
      <c r="J3119" s="29"/>
      <c r="K3119" s="29"/>
      <c r="L3119" s="29"/>
      <c r="M3119" s="29"/>
      <c r="N3119" s="29"/>
      <c r="P3119" s="4">
        <f t="shared" si="196"/>
        <v>-9.5399009995026512E-3</v>
      </c>
      <c r="Q3119" s="4">
        <f t="shared" si="196"/>
        <v>-6.8077707592875941E-4</v>
      </c>
      <c r="R3119" s="4">
        <f t="shared" si="196"/>
        <v>-8.957564141663355E-4</v>
      </c>
      <c r="S3119" s="4">
        <f t="shared" si="196"/>
        <v>-2.8534587594186311E-2</v>
      </c>
      <c r="T3119" s="4">
        <f t="shared" si="196"/>
        <v>-7.8332366513947718E-3</v>
      </c>
      <c r="U3119" s="35"/>
      <c r="V3119" s="35"/>
      <c r="W3119" s="35"/>
      <c r="X3119" s="35"/>
    </row>
    <row r="3120" spans="4:24" x14ac:dyDescent="0.3">
      <c r="D3120" s="23">
        <v>44109</v>
      </c>
      <c r="E3120" s="5">
        <v>322.61660799999999</v>
      </c>
      <c r="F3120" s="28">
        <v>79.772419999999997</v>
      </c>
      <c r="G3120" s="28">
        <v>179.41</v>
      </c>
      <c r="H3120" s="28">
        <v>274.01819999999998</v>
      </c>
      <c r="I3120" s="28">
        <v>164.5735</v>
      </c>
      <c r="J3120" s="29"/>
      <c r="K3120" s="29"/>
      <c r="L3120" s="29"/>
      <c r="M3120" s="29"/>
      <c r="N3120" s="29"/>
      <c r="P3120" s="4">
        <f t="shared" si="196"/>
        <v>1.7577891240017293E-2</v>
      </c>
      <c r="Q3120" s="4">
        <f t="shared" si="196"/>
        <v>-3.7531449519207479E-3</v>
      </c>
      <c r="R3120" s="4">
        <f t="shared" si="196"/>
        <v>4.8610236800771655E-3</v>
      </c>
      <c r="S3120" s="4">
        <f t="shared" si="196"/>
        <v>2.1102188014119883E-2</v>
      </c>
      <c r="T3120" s="4">
        <f t="shared" si="196"/>
        <v>1.7856965975735179E-2</v>
      </c>
      <c r="U3120" s="35"/>
      <c r="V3120" s="35"/>
      <c r="W3120" s="35"/>
      <c r="X3120" s="35"/>
    </row>
    <row r="3121" spans="4:24" x14ac:dyDescent="0.3">
      <c r="D3121" s="23">
        <v>44110</v>
      </c>
      <c r="E3121" s="5">
        <v>318.03027300000002</v>
      </c>
      <c r="F3121" s="28">
        <v>79.881510000000006</v>
      </c>
      <c r="G3121" s="28">
        <v>177.3</v>
      </c>
      <c r="H3121" s="28">
        <v>269.12779999999998</v>
      </c>
      <c r="I3121" s="28">
        <v>162.54310000000001</v>
      </c>
      <c r="J3121" s="29"/>
      <c r="K3121" s="29"/>
      <c r="L3121" s="29"/>
      <c r="M3121" s="29"/>
      <c r="N3121" s="29"/>
      <c r="P3121" s="4">
        <f t="shared" si="196"/>
        <v>-1.4318069714736304E-2</v>
      </c>
      <c r="Q3121" s="4">
        <f t="shared" si="196"/>
        <v>1.3665810416009637E-3</v>
      </c>
      <c r="R3121" s="4">
        <f t="shared" si="196"/>
        <v>-1.1830476351130772E-2</v>
      </c>
      <c r="S3121" s="4">
        <f t="shared" si="196"/>
        <v>-1.8008167822075986E-2</v>
      </c>
      <c r="T3121" s="4">
        <f t="shared" si="196"/>
        <v>-1.2414081555304832E-2</v>
      </c>
      <c r="U3121" s="35"/>
      <c r="V3121" s="35"/>
      <c r="W3121" s="35"/>
      <c r="X3121" s="35"/>
    </row>
    <row r="3122" spans="4:24" x14ac:dyDescent="0.3">
      <c r="D3122" s="23">
        <v>44111</v>
      </c>
      <c r="E3122" s="5">
        <v>323.56607100000002</v>
      </c>
      <c r="F3122" s="28">
        <v>79.772419999999997</v>
      </c>
      <c r="G3122" s="28">
        <v>177.22</v>
      </c>
      <c r="H3122" s="28">
        <v>273.78339999999997</v>
      </c>
      <c r="I3122" s="28">
        <v>165.38</v>
      </c>
      <c r="J3122" s="29"/>
      <c r="K3122" s="29"/>
      <c r="L3122" s="29"/>
      <c r="M3122" s="29"/>
      <c r="N3122" s="29"/>
      <c r="P3122" s="4">
        <f t="shared" si="196"/>
        <v>1.7256754746516719E-2</v>
      </c>
      <c r="Q3122" s="4">
        <f t="shared" si="196"/>
        <v>-1.3665810416008969E-3</v>
      </c>
      <c r="R3122" s="4">
        <f t="shared" si="196"/>
        <v>-4.5131446100597474E-4</v>
      </c>
      <c r="S3122" s="4">
        <f t="shared" si="196"/>
        <v>1.7150923102896738E-2</v>
      </c>
      <c r="T3122" s="4">
        <f t="shared" si="196"/>
        <v>1.7302658922459982E-2</v>
      </c>
      <c r="U3122" s="35"/>
      <c r="V3122" s="35"/>
      <c r="W3122" s="35"/>
      <c r="X3122" s="35"/>
    </row>
    <row r="3123" spans="4:24" x14ac:dyDescent="0.3">
      <c r="D3123" s="23">
        <v>44112</v>
      </c>
      <c r="E3123" s="5">
        <v>326.43368500000003</v>
      </c>
      <c r="F3123" s="28">
        <v>79.908779999999993</v>
      </c>
      <c r="G3123" s="28">
        <v>177.85</v>
      </c>
      <c r="H3123" s="28">
        <v>275.2407</v>
      </c>
      <c r="I3123" s="28">
        <v>166.83160000000001</v>
      </c>
      <c r="J3123" s="29"/>
      <c r="K3123" s="29"/>
      <c r="L3123" s="29"/>
      <c r="M3123" s="29"/>
      <c r="N3123" s="29"/>
      <c r="P3123" s="4">
        <f t="shared" si="196"/>
        <v>8.8234882493229607E-3</v>
      </c>
      <c r="Q3123" s="4">
        <f t="shared" si="196"/>
        <v>1.7079034118741684E-3</v>
      </c>
      <c r="R3123" s="4">
        <f t="shared" si="196"/>
        <v>3.5485997753079319E-3</v>
      </c>
      <c r="S3123" s="4">
        <f t="shared" si="196"/>
        <v>5.3087047454182038E-3</v>
      </c>
      <c r="T3123" s="4">
        <f t="shared" si="196"/>
        <v>8.7390641287829491E-3</v>
      </c>
      <c r="U3123" s="35"/>
      <c r="V3123" s="35"/>
      <c r="W3123" s="35"/>
      <c r="X3123" s="35"/>
    </row>
    <row r="3124" spans="4:24" x14ac:dyDescent="0.3">
      <c r="D3124" s="23">
        <v>44113</v>
      </c>
      <c r="E3124" s="5">
        <v>329.348816</v>
      </c>
      <c r="F3124" s="28">
        <v>79.926959999999994</v>
      </c>
      <c r="G3124" s="28">
        <v>181.08</v>
      </c>
      <c r="H3124" s="28">
        <v>279.44650000000001</v>
      </c>
      <c r="I3124" s="28">
        <v>168.23570000000001</v>
      </c>
      <c r="J3124" s="29"/>
      <c r="K3124" s="29"/>
      <c r="L3124" s="29"/>
      <c r="M3124" s="29"/>
      <c r="N3124" s="29"/>
      <c r="P3124" s="4">
        <f t="shared" si="196"/>
        <v>8.8906007622996507E-3</v>
      </c>
      <c r="Q3124" s="4">
        <f t="shared" si="196"/>
        <v>2.2748354127051826E-4</v>
      </c>
      <c r="R3124" s="4">
        <f t="shared" si="196"/>
        <v>1.7998424173293667E-2</v>
      </c>
      <c r="S3124" s="4">
        <f t="shared" si="196"/>
        <v>1.5164873469337063E-2</v>
      </c>
      <c r="T3124" s="4">
        <f t="shared" si="196"/>
        <v>8.381051919380959E-3</v>
      </c>
      <c r="U3124" s="35"/>
      <c r="V3124" s="35"/>
      <c r="W3124" s="35"/>
      <c r="X3124" s="35"/>
    </row>
    <row r="3125" spans="4:24" x14ac:dyDescent="0.3">
      <c r="D3125" s="23">
        <v>44116</v>
      </c>
      <c r="E3125" s="5">
        <v>334.64721700000001</v>
      </c>
      <c r="F3125" s="28">
        <v>80.045109999999994</v>
      </c>
      <c r="G3125" s="28">
        <v>180.56</v>
      </c>
      <c r="H3125" s="28">
        <v>288.07319999999999</v>
      </c>
      <c r="I3125" s="28">
        <v>170.73099999999999</v>
      </c>
      <c r="J3125" s="29"/>
      <c r="K3125" s="29"/>
      <c r="L3125" s="29"/>
      <c r="M3125" s="29"/>
      <c r="N3125" s="29"/>
      <c r="P3125" s="4">
        <f t="shared" ref="P3125:T3140" si="197">LN(E3125/E3124)</f>
        <v>1.5959473240398234E-2</v>
      </c>
      <c r="Q3125" s="4">
        <f t="shared" si="197"/>
        <v>1.4771331205858773E-3</v>
      </c>
      <c r="R3125" s="4">
        <f t="shared" si="197"/>
        <v>-2.8757900584776607E-3</v>
      </c>
      <c r="S3125" s="4">
        <f t="shared" si="197"/>
        <v>3.0403753472360344E-2</v>
      </c>
      <c r="T3125" s="4">
        <f t="shared" si="197"/>
        <v>1.472324612523355E-2</v>
      </c>
      <c r="U3125" s="35"/>
      <c r="V3125" s="35"/>
      <c r="W3125" s="35"/>
      <c r="X3125" s="35"/>
    </row>
    <row r="3126" spans="4:24" x14ac:dyDescent="0.3">
      <c r="D3126" s="23">
        <v>44117</v>
      </c>
      <c r="E3126" s="5">
        <v>332.46331800000002</v>
      </c>
      <c r="F3126" s="28">
        <v>80.108739999999997</v>
      </c>
      <c r="G3126" s="28">
        <v>177.72</v>
      </c>
      <c r="H3126" s="28">
        <v>288.0634</v>
      </c>
      <c r="I3126" s="28">
        <v>169.8297</v>
      </c>
      <c r="J3126" s="29"/>
      <c r="K3126" s="29"/>
      <c r="L3126" s="29"/>
      <c r="M3126" s="29"/>
      <c r="N3126" s="29"/>
      <c r="P3126" s="4">
        <f t="shared" si="197"/>
        <v>-6.5473611553693882E-3</v>
      </c>
      <c r="Q3126" s="4">
        <f t="shared" si="197"/>
        <v>7.9461097373599121E-4</v>
      </c>
      <c r="R3126" s="4">
        <f t="shared" si="197"/>
        <v>-1.5853854441572581E-2</v>
      </c>
      <c r="S3126" s="4">
        <f t="shared" si="197"/>
        <v>-3.4019709912333069E-5</v>
      </c>
      <c r="T3126" s="4">
        <f t="shared" si="197"/>
        <v>-5.2930482246546541E-3</v>
      </c>
      <c r="U3126" s="35"/>
      <c r="V3126" s="35"/>
      <c r="W3126" s="35"/>
      <c r="X3126" s="35"/>
    </row>
    <row r="3127" spans="4:24" x14ac:dyDescent="0.3">
      <c r="D3127" s="23">
        <v>44118</v>
      </c>
      <c r="E3127" s="5">
        <v>330.37429800000001</v>
      </c>
      <c r="F3127" s="28">
        <v>80.154179999999997</v>
      </c>
      <c r="G3127" s="28">
        <v>178.27</v>
      </c>
      <c r="H3127" s="28">
        <v>285.65730000000002</v>
      </c>
      <c r="I3127" s="28">
        <v>168.70070000000001</v>
      </c>
      <c r="J3127" s="29"/>
      <c r="K3127" s="29"/>
      <c r="L3127" s="29"/>
      <c r="M3127" s="29"/>
      <c r="N3127" s="29"/>
      <c r="P3127" s="4">
        <f t="shared" si="197"/>
        <v>-6.3032841414197363E-3</v>
      </c>
      <c r="Q3127" s="4">
        <f t="shared" si="197"/>
        <v>5.6706818043336616E-4</v>
      </c>
      <c r="R3127" s="4">
        <f t="shared" si="197"/>
        <v>3.0899768960624351E-3</v>
      </c>
      <c r="S3127" s="4">
        <f t="shared" si="197"/>
        <v>-8.3877542038523108E-3</v>
      </c>
      <c r="T3127" s="4">
        <f t="shared" si="197"/>
        <v>-6.6700313218558717E-3</v>
      </c>
      <c r="U3127" s="35"/>
      <c r="V3127" s="35"/>
      <c r="W3127" s="35"/>
      <c r="X3127" s="35"/>
    </row>
    <row r="3128" spans="4:24" x14ac:dyDescent="0.3">
      <c r="D3128" s="23">
        <v>44119</v>
      </c>
      <c r="E3128" s="5">
        <v>329.966003</v>
      </c>
      <c r="F3128" s="28">
        <v>80.108739999999997</v>
      </c>
      <c r="G3128" s="28">
        <v>178.92</v>
      </c>
      <c r="H3128" s="28">
        <v>283.74029999999999</v>
      </c>
      <c r="I3128" s="28">
        <v>168.7576</v>
      </c>
      <c r="J3128" s="29"/>
      <c r="K3128" s="29"/>
      <c r="L3128" s="29"/>
      <c r="M3128" s="29"/>
      <c r="N3128" s="29"/>
      <c r="P3128" s="4">
        <f t="shared" si="197"/>
        <v>-1.2366201227248701E-3</v>
      </c>
      <c r="Q3128" s="4">
        <f t="shared" si="197"/>
        <v>-5.67068180433346E-4</v>
      </c>
      <c r="R3128" s="4">
        <f t="shared" si="197"/>
        <v>3.6395236008770035E-3</v>
      </c>
      <c r="S3128" s="4">
        <f t="shared" si="197"/>
        <v>-6.7334574047079425E-3</v>
      </c>
      <c r="T3128" s="4">
        <f t="shared" si="197"/>
        <v>3.3722685463196181E-4</v>
      </c>
      <c r="U3128" s="35"/>
      <c r="V3128" s="35"/>
      <c r="W3128" s="35"/>
      <c r="X3128" s="35"/>
    </row>
    <row r="3129" spans="4:24" x14ac:dyDescent="0.3">
      <c r="D3129" s="23">
        <v>44120</v>
      </c>
      <c r="E3129" s="5">
        <v>329.76663200000002</v>
      </c>
      <c r="F3129" s="28">
        <v>80.045109999999994</v>
      </c>
      <c r="G3129" s="28">
        <v>178.3</v>
      </c>
      <c r="H3129" s="28">
        <v>282.18509999999998</v>
      </c>
      <c r="I3129" s="28">
        <v>168.45400000000001</v>
      </c>
      <c r="J3129" s="29"/>
      <c r="K3129" s="29"/>
      <c r="L3129" s="29"/>
      <c r="M3129" s="29"/>
      <c r="N3129" s="29"/>
      <c r="P3129" s="4">
        <f t="shared" si="197"/>
        <v>-6.0439940512911519E-4</v>
      </c>
      <c r="Q3129" s="4">
        <f t="shared" si="197"/>
        <v>-7.9461097373603967E-4</v>
      </c>
      <c r="R3129" s="4">
        <f t="shared" si="197"/>
        <v>-3.471253695552479E-3</v>
      </c>
      <c r="S3129" s="4">
        <f t="shared" si="197"/>
        <v>-5.4961445975165637E-3</v>
      </c>
      <c r="T3129" s="4">
        <f t="shared" si="197"/>
        <v>-1.800650286237012E-3</v>
      </c>
      <c r="U3129" s="35"/>
      <c r="V3129" s="35"/>
      <c r="W3129" s="35"/>
      <c r="X3129" s="35"/>
    </row>
    <row r="3130" spans="4:24" x14ac:dyDescent="0.3">
      <c r="D3130" s="23">
        <v>44123</v>
      </c>
      <c r="E3130" s="5">
        <v>324.75305200000003</v>
      </c>
      <c r="F3130" s="28">
        <v>79.972359999999995</v>
      </c>
      <c r="G3130" s="28">
        <v>178.39</v>
      </c>
      <c r="H3130" s="28">
        <v>277.57830000000001</v>
      </c>
      <c r="I3130" s="28">
        <v>166.04409999999999</v>
      </c>
      <c r="J3130" s="29"/>
      <c r="K3130" s="29"/>
      <c r="L3130" s="29"/>
      <c r="M3130" s="29"/>
      <c r="N3130" s="29"/>
      <c r="P3130" s="4">
        <f t="shared" si="197"/>
        <v>-1.5320175031217581E-2</v>
      </c>
      <c r="Q3130" s="4">
        <f t="shared" si="197"/>
        <v>-9.0927578110519807E-4</v>
      </c>
      <c r="R3130" s="4">
        <f t="shared" si="197"/>
        <v>5.0463989408140665E-4</v>
      </c>
      <c r="S3130" s="4">
        <f t="shared" si="197"/>
        <v>-1.6460183043353054E-2</v>
      </c>
      <c r="T3130" s="4">
        <f t="shared" si="197"/>
        <v>-1.4409299764230096E-2</v>
      </c>
      <c r="U3130" s="35"/>
      <c r="V3130" s="35"/>
      <c r="W3130" s="35"/>
      <c r="X3130" s="35"/>
    </row>
    <row r="3131" spans="4:24" x14ac:dyDescent="0.3">
      <c r="D3131" s="23">
        <v>44124</v>
      </c>
      <c r="E3131" s="5">
        <v>326.05386399999998</v>
      </c>
      <c r="F3131" s="28">
        <v>79.836020000000005</v>
      </c>
      <c r="G3131" s="28">
        <v>179.25</v>
      </c>
      <c r="H3131" s="28">
        <v>278.17500000000001</v>
      </c>
      <c r="I3131" s="28">
        <v>166.62280000000001</v>
      </c>
      <c r="J3131" s="29"/>
      <c r="K3131" s="29"/>
      <c r="L3131" s="29"/>
      <c r="M3131" s="29"/>
      <c r="N3131" s="29"/>
      <c r="P3131" s="4">
        <f t="shared" si="197"/>
        <v>3.9975412070878272E-3</v>
      </c>
      <c r="Q3131" s="4">
        <f t="shared" si="197"/>
        <v>-1.7062939137332347E-3</v>
      </c>
      <c r="R3131" s="4">
        <f t="shared" si="197"/>
        <v>4.8093147165535538E-3</v>
      </c>
      <c r="S3131" s="4">
        <f t="shared" si="197"/>
        <v>2.1473564953691871E-3</v>
      </c>
      <c r="T3131" s="4">
        <f t="shared" si="197"/>
        <v>3.4791593858110284E-3</v>
      </c>
      <c r="U3131" s="35"/>
      <c r="V3131" s="35"/>
      <c r="W3131" s="35"/>
      <c r="X3131" s="35"/>
    </row>
    <row r="3132" spans="4:24" x14ac:dyDescent="0.3">
      <c r="D3132" s="23">
        <v>44125</v>
      </c>
      <c r="E3132" s="5">
        <v>325.43673699999999</v>
      </c>
      <c r="F3132" s="28">
        <v>79.745189999999994</v>
      </c>
      <c r="G3132" s="28">
        <v>180.6</v>
      </c>
      <c r="H3132" s="28">
        <v>277.95979999999997</v>
      </c>
      <c r="I3132" s="28">
        <v>166.05359999999999</v>
      </c>
      <c r="J3132" s="29"/>
      <c r="K3132" s="29"/>
      <c r="L3132" s="29"/>
      <c r="M3132" s="29"/>
      <c r="N3132" s="29"/>
      <c r="P3132" s="4">
        <f t="shared" si="197"/>
        <v>-1.8945083279280736E-3</v>
      </c>
      <c r="Q3132" s="4">
        <f t="shared" si="197"/>
        <v>-1.1383546948732803E-3</v>
      </c>
      <c r="R3132" s="4">
        <f t="shared" si="197"/>
        <v>7.5031615031553147E-3</v>
      </c>
      <c r="S3132" s="4">
        <f t="shared" si="197"/>
        <v>-7.7391312588621279E-4</v>
      </c>
      <c r="T3132" s="4">
        <f t="shared" si="197"/>
        <v>-3.4219473063380776E-3</v>
      </c>
      <c r="U3132" s="35"/>
      <c r="V3132" s="35"/>
      <c r="W3132" s="35"/>
      <c r="X3132" s="35"/>
    </row>
    <row r="3133" spans="4:24" x14ac:dyDescent="0.3">
      <c r="D3133" s="23">
        <v>44126</v>
      </c>
      <c r="E3133" s="5">
        <v>327.22189300000002</v>
      </c>
      <c r="F3133" s="28">
        <v>79.608840000000001</v>
      </c>
      <c r="G3133" s="28">
        <v>178.83</v>
      </c>
      <c r="H3133" s="28">
        <v>277.95010000000002</v>
      </c>
      <c r="I3133" s="28">
        <v>167.23009999999999</v>
      </c>
      <c r="J3133" s="29"/>
      <c r="K3133" s="29"/>
      <c r="L3133" s="29"/>
      <c r="M3133" s="29"/>
      <c r="N3133" s="29"/>
      <c r="P3133" s="4">
        <f t="shared" si="197"/>
        <v>5.4704262527391157E-3</v>
      </c>
      <c r="Q3133" s="4">
        <f t="shared" si="197"/>
        <v>-1.7112844058604902E-3</v>
      </c>
      <c r="R3133" s="4">
        <f t="shared" si="197"/>
        <v>-9.8490070829400853E-3</v>
      </c>
      <c r="S3133" s="4">
        <f t="shared" si="197"/>
        <v>-3.4897741525835582E-5</v>
      </c>
      <c r="T3133" s="4">
        <f t="shared" si="197"/>
        <v>7.0600805671390283E-3</v>
      </c>
      <c r="U3133" s="35"/>
      <c r="V3133" s="35"/>
      <c r="W3133" s="35"/>
      <c r="X3133" s="35"/>
    </row>
    <row r="3134" spans="4:24" x14ac:dyDescent="0.3">
      <c r="D3134" s="23">
        <v>44127</v>
      </c>
      <c r="E3134" s="5">
        <v>328.33279399999998</v>
      </c>
      <c r="F3134" s="28">
        <v>79.708820000000003</v>
      </c>
      <c r="G3134" s="28">
        <v>178.64</v>
      </c>
      <c r="H3134" s="28">
        <v>278.49770000000001</v>
      </c>
      <c r="I3134" s="28">
        <v>167.78030000000001</v>
      </c>
      <c r="J3134" s="29"/>
      <c r="K3134" s="29"/>
      <c r="L3134" s="29"/>
      <c r="M3134" s="29"/>
      <c r="N3134" s="29"/>
      <c r="P3134" s="4">
        <f t="shared" si="197"/>
        <v>3.3891972261288271E-3</v>
      </c>
      <c r="Q3134" s="4">
        <f t="shared" si="197"/>
        <v>1.2551027064386681E-3</v>
      </c>
      <c r="R3134" s="4">
        <f t="shared" si="197"/>
        <v>-1.0630263680426152E-3</v>
      </c>
      <c r="S3134" s="4">
        <f t="shared" si="197"/>
        <v>1.968199629057049E-3</v>
      </c>
      <c r="T3134" s="4">
        <f t="shared" si="197"/>
        <v>3.284677100653291E-3</v>
      </c>
      <c r="U3134" s="35"/>
      <c r="V3134" s="35"/>
      <c r="W3134" s="35"/>
      <c r="X3134" s="35"/>
    </row>
    <row r="3135" spans="4:24" x14ac:dyDescent="0.3">
      <c r="D3135" s="23">
        <v>44130</v>
      </c>
      <c r="E3135" s="5">
        <v>322.26522799999998</v>
      </c>
      <c r="F3135" s="28">
        <v>79.82696</v>
      </c>
      <c r="G3135" s="28">
        <v>178.55</v>
      </c>
      <c r="H3135" s="28">
        <v>274.32139999999998</v>
      </c>
      <c r="I3135" s="28">
        <v>164.73480000000001</v>
      </c>
      <c r="J3135" s="29"/>
      <c r="K3135" s="29"/>
      <c r="L3135" s="29"/>
      <c r="M3135" s="29"/>
      <c r="N3135" s="29"/>
      <c r="P3135" s="4">
        <f t="shared" si="197"/>
        <v>-1.8652813923615341E-2</v>
      </c>
      <c r="Q3135" s="4">
        <f t="shared" si="197"/>
        <v>1.4810473436743744E-3</v>
      </c>
      <c r="R3135" s="4">
        <f t="shared" si="197"/>
        <v>-5.0393349144487527E-4</v>
      </c>
      <c r="S3135" s="4">
        <f t="shared" si="197"/>
        <v>-1.5109389135041812E-2</v>
      </c>
      <c r="T3135" s="4">
        <f t="shared" si="197"/>
        <v>-1.8318477347546144E-2</v>
      </c>
      <c r="U3135" s="35"/>
      <c r="V3135" s="35"/>
      <c r="W3135" s="35"/>
      <c r="X3135" s="35"/>
    </row>
    <row r="3136" spans="4:24" x14ac:dyDescent="0.3">
      <c r="D3136" s="23">
        <v>44131</v>
      </c>
      <c r="E3136" s="5">
        <v>321.15423600000003</v>
      </c>
      <c r="F3136" s="28">
        <v>80.017849999999996</v>
      </c>
      <c r="G3136" s="28">
        <v>179.02</v>
      </c>
      <c r="H3136" s="28">
        <v>276.4633</v>
      </c>
      <c r="I3136" s="28">
        <v>164.07069999999999</v>
      </c>
      <c r="J3136" s="29"/>
      <c r="K3136" s="29"/>
      <c r="L3136" s="29"/>
      <c r="M3136" s="29"/>
      <c r="N3136" s="29"/>
      <c r="P3136" s="4">
        <f t="shared" si="197"/>
        <v>-3.4534022245226621E-3</v>
      </c>
      <c r="Q3136" s="4">
        <f t="shared" si="197"/>
        <v>2.3884427745493111E-3</v>
      </c>
      <c r="R3136" s="4">
        <f t="shared" si="197"/>
        <v>2.6288574023354515E-3</v>
      </c>
      <c r="S3136" s="4">
        <f t="shared" si="197"/>
        <v>7.7776699219629167E-3</v>
      </c>
      <c r="T3136" s="4">
        <f t="shared" si="197"/>
        <v>-4.0394756354736197E-3</v>
      </c>
      <c r="U3136" s="35"/>
      <c r="V3136" s="35"/>
      <c r="W3136" s="35"/>
      <c r="X3136" s="35"/>
    </row>
    <row r="3137" spans="4:24" x14ac:dyDescent="0.3">
      <c r="D3137" s="23">
        <v>44132</v>
      </c>
      <c r="E3137" s="5">
        <v>310.17752100000001</v>
      </c>
      <c r="F3137" s="28">
        <v>79.908779999999993</v>
      </c>
      <c r="G3137" s="28">
        <v>176.13</v>
      </c>
      <c r="H3137" s="28">
        <v>265.68490000000003</v>
      </c>
      <c r="I3137" s="28">
        <v>158.63419999999999</v>
      </c>
      <c r="J3137" s="29"/>
      <c r="K3137" s="29"/>
      <c r="L3137" s="29"/>
      <c r="M3137" s="29"/>
      <c r="N3137" s="29"/>
      <c r="P3137" s="4">
        <f t="shared" si="197"/>
        <v>-3.477671174912824E-2</v>
      </c>
      <c r="Q3137" s="4">
        <f t="shared" si="197"/>
        <v>-1.3640006909465929E-3</v>
      </c>
      <c r="R3137" s="4">
        <f t="shared" si="197"/>
        <v>-1.6275172698588768E-2</v>
      </c>
      <c r="S3137" s="4">
        <f t="shared" si="197"/>
        <v>-3.9767061453925681E-2</v>
      </c>
      <c r="T3137" s="4">
        <f t="shared" si="197"/>
        <v>-3.3696509712653602E-2</v>
      </c>
      <c r="U3137" s="35"/>
      <c r="V3137" s="35"/>
      <c r="W3137" s="35"/>
      <c r="X3137" s="35"/>
    </row>
    <row r="3138" spans="4:24" x14ac:dyDescent="0.3">
      <c r="D3138" s="23">
        <v>44133</v>
      </c>
      <c r="E3138" s="5">
        <v>313.32998700000002</v>
      </c>
      <c r="F3138" s="28">
        <v>79.736090000000004</v>
      </c>
      <c r="G3138" s="28">
        <v>175.4</v>
      </c>
      <c r="H3138" s="28">
        <v>270.33080000000001</v>
      </c>
      <c r="I3138" s="28">
        <v>160.13329999999999</v>
      </c>
      <c r="J3138" s="29"/>
      <c r="K3138" s="29"/>
      <c r="L3138" s="29"/>
      <c r="M3138" s="29"/>
      <c r="N3138" s="29"/>
      <c r="P3138" s="4">
        <f t="shared" si="197"/>
        <v>1.0112124785906946E-2</v>
      </c>
      <c r="Q3138" s="4">
        <f t="shared" si="197"/>
        <v>-2.1634277049443628E-3</v>
      </c>
      <c r="R3138" s="4">
        <f t="shared" si="197"/>
        <v>-4.1532788061215209E-3</v>
      </c>
      <c r="S3138" s="4">
        <f t="shared" si="197"/>
        <v>1.7335374118256558E-2</v>
      </c>
      <c r="T3138" s="4">
        <f t="shared" si="197"/>
        <v>9.405670601166382E-3</v>
      </c>
      <c r="U3138" s="35"/>
      <c r="V3138" s="35"/>
      <c r="W3138" s="35"/>
      <c r="X3138" s="35"/>
    </row>
    <row r="3139" spans="4:24" x14ac:dyDescent="0.3">
      <c r="D3139" s="23">
        <v>44134</v>
      </c>
      <c r="E3139" s="5">
        <v>310.06362899999999</v>
      </c>
      <c r="F3139" s="28">
        <v>79.59975</v>
      </c>
      <c r="G3139" s="28">
        <v>176.2</v>
      </c>
      <c r="H3139" s="28">
        <v>263.47449999999998</v>
      </c>
      <c r="I3139" s="28">
        <v>158.435</v>
      </c>
      <c r="J3139" s="29"/>
      <c r="K3139" s="29"/>
      <c r="L3139" s="29"/>
      <c r="M3139" s="29"/>
      <c r="N3139" s="29"/>
      <c r="P3139" s="4">
        <f t="shared" si="197"/>
        <v>-1.0479375495667364E-2</v>
      </c>
      <c r="Q3139" s="4">
        <f t="shared" si="197"/>
        <v>-1.7113542474222192E-3</v>
      </c>
      <c r="R3139" s="4">
        <f t="shared" si="197"/>
        <v>4.550633563996289E-3</v>
      </c>
      <c r="S3139" s="4">
        <f t="shared" si="197"/>
        <v>-2.5689805151717201E-2</v>
      </c>
      <c r="T3139" s="4">
        <f t="shared" si="197"/>
        <v>-1.0662178809521358E-2</v>
      </c>
      <c r="U3139" s="35"/>
      <c r="V3139" s="35"/>
      <c r="W3139" s="35"/>
      <c r="X3139" s="35"/>
    </row>
    <row r="3140" spans="4:24" x14ac:dyDescent="0.3">
      <c r="D3140" s="23">
        <v>44137</v>
      </c>
      <c r="E3140" s="5">
        <v>313.53887900000001</v>
      </c>
      <c r="F3140" s="28">
        <v>79.709919999999997</v>
      </c>
      <c r="G3140" s="28">
        <v>177.91</v>
      </c>
      <c r="H3140" s="28">
        <v>264.06130000000002</v>
      </c>
      <c r="I3140" s="28">
        <v>160.08580000000001</v>
      </c>
      <c r="J3140" s="29"/>
      <c r="K3140" s="29"/>
      <c r="L3140" s="29"/>
      <c r="M3140" s="29"/>
      <c r="N3140" s="29"/>
      <c r="P3140" s="4">
        <f t="shared" si="197"/>
        <v>1.1145837076587502E-2</v>
      </c>
      <c r="Q3140" s="4">
        <f t="shared" si="197"/>
        <v>1.3830926592519747E-3</v>
      </c>
      <c r="R3140" s="4">
        <f t="shared" si="197"/>
        <v>9.6580909446049266E-3</v>
      </c>
      <c r="S3140" s="4">
        <f t="shared" si="197"/>
        <v>2.2246840575249126E-3</v>
      </c>
      <c r="T3140" s="4">
        <f t="shared" si="197"/>
        <v>1.0365506934868117E-2</v>
      </c>
      <c r="U3140" s="35"/>
      <c r="V3140" s="35"/>
      <c r="W3140" s="35"/>
      <c r="X3140" s="35"/>
    </row>
    <row r="3141" spans="4:24" x14ac:dyDescent="0.3">
      <c r="D3141" s="23">
        <v>44138</v>
      </c>
      <c r="E3141" s="5">
        <v>319.07482900000002</v>
      </c>
      <c r="F3141" s="28">
        <v>79.691670000000002</v>
      </c>
      <c r="G3141" s="28">
        <v>178.92</v>
      </c>
      <c r="H3141" s="28">
        <v>268.62889999999999</v>
      </c>
      <c r="I3141" s="28">
        <v>163.15979999999999</v>
      </c>
      <c r="J3141" s="29"/>
      <c r="K3141" s="29"/>
      <c r="L3141" s="29"/>
      <c r="M3141" s="29"/>
      <c r="N3141" s="29"/>
      <c r="P3141" s="4">
        <f t="shared" ref="P3141:T3156" si="198">LN(E3141/E3140)</f>
        <v>1.7502280611858562E-2</v>
      </c>
      <c r="Q3141" s="4">
        <f t="shared" si="198"/>
        <v>-2.2898140576563518E-4</v>
      </c>
      <c r="R3141" s="4">
        <f t="shared" si="198"/>
        <v>5.6609741179631965E-3</v>
      </c>
      <c r="S3141" s="4">
        <f t="shared" si="198"/>
        <v>1.7149600075456906E-2</v>
      </c>
      <c r="T3141" s="4">
        <f t="shared" si="198"/>
        <v>1.9020167154794338E-2</v>
      </c>
      <c r="U3141" s="35"/>
      <c r="V3141" s="35"/>
      <c r="W3141" s="35"/>
      <c r="X3141" s="35"/>
    </row>
    <row r="3142" spans="4:24" x14ac:dyDescent="0.3">
      <c r="D3142" s="23">
        <v>44139</v>
      </c>
      <c r="E3142" s="5">
        <v>326.20584100000002</v>
      </c>
      <c r="F3142" s="28">
        <v>80.237960000000001</v>
      </c>
      <c r="G3142" s="28">
        <v>178.82</v>
      </c>
      <c r="H3142" s="28">
        <v>280.62009999999998</v>
      </c>
      <c r="I3142" s="28">
        <v>166.71770000000001</v>
      </c>
      <c r="J3142" s="29"/>
      <c r="K3142" s="29"/>
      <c r="L3142" s="29"/>
      <c r="M3142" s="29"/>
      <c r="N3142" s="29"/>
      <c r="P3142" s="4">
        <f t="shared" si="198"/>
        <v>2.2102947274664286E-2</v>
      </c>
      <c r="Q3142" s="4">
        <f t="shared" si="198"/>
        <v>6.8316562063039385E-3</v>
      </c>
      <c r="R3142" s="4">
        <f t="shared" si="198"/>
        <v>-5.5906525747531318E-4</v>
      </c>
      <c r="S3142" s="4">
        <f t="shared" si="198"/>
        <v>4.367092408164832E-2</v>
      </c>
      <c r="T3142" s="4">
        <f t="shared" si="198"/>
        <v>2.1571874226458117E-2</v>
      </c>
      <c r="U3142" s="35"/>
      <c r="V3142" s="35"/>
      <c r="W3142" s="35"/>
      <c r="X3142" s="35"/>
    </row>
    <row r="3143" spans="4:24" x14ac:dyDescent="0.3">
      <c r="D3143" s="23">
        <v>44140</v>
      </c>
      <c r="E3143" s="5">
        <v>332.56771900000001</v>
      </c>
      <c r="F3143" s="28">
        <v>80.319929999999999</v>
      </c>
      <c r="G3143" s="28">
        <v>182.93</v>
      </c>
      <c r="H3143" s="28">
        <v>287.93619999999999</v>
      </c>
      <c r="I3143" s="28">
        <v>170.1617</v>
      </c>
      <c r="J3143" s="29"/>
      <c r="K3143" s="29"/>
      <c r="L3143" s="29"/>
      <c r="M3143" s="29"/>
      <c r="N3143" s="29"/>
      <c r="P3143" s="4">
        <f t="shared" si="198"/>
        <v>1.9314909305064999E-2</v>
      </c>
      <c r="Q3143" s="4">
        <f t="shared" si="198"/>
        <v>1.0210648274169764E-3</v>
      </c>
      <c r="R3143" s="4">
        <f t="shared" si="198"/>
        <v>2.2723852696034896E-2</v>
      </c>
      <c r="S3143" s="4">
        <f t="shared" si="198"/>
        <v>2.5737130497691166E-2</v>
      </c>
      <c r="T3143" s="4">
        <f t="shared" si="198"/>
        <v>2.0447198554731674E-2</v>
      </c>
      <c r="U3143" s="35"/>
      <c r="V3143" s="35"/>
      <c r="W3143" s="35"/>
      <c r="X3143" s="35"/>
    </row>
    <row r="3144" spans="4:24" x14ac:dyDescent="0.3">
      <c r="D3144" s="23">
        <v>44141</v>
      </c>
      <c r="E3144" s="5">
        <v>332.49182100000002</v>
      </c>
      <c r="F3144" s="28">
        <v>80.137789999999995</v>
      </c>
      <c r="G3144" s="28">
        <v>183.19</v>
      </c>
      <c r="H3144" s="28">
        <v>288.15140000000002</v>
      </c>
      <c r="I3144" s="28">
        <v>170.07640000000001</v>
      </c>
      <c r="J3144" s="29"/>
      <c r="K3144" s="29"/>
      <c r="L3144" s="29"/>
      <c r="M3144" s="29"/>
      <c r="N3144" s="29"/>
      <c r="P3144" s="4">
        <f t="shared" si="198"/>
        <v>-2.2824422706418964E-4</v>
      </c>
      <c r="Q3144" s="4">
        <f t="shared" si="198"/>
        <v>-2.270256342045703E-3</v>
      </c>
      <c r="R3144" s="4">
        <f t="shared" si="198"/>
        <v>1.4202995941608558E-3</v>
      </c>
      <c r="S3144" s="4">
        <f t="shared" si="198"/>
        <v>7.4710863420736839E-4</v>
      </c>
      <c r="T3144" s="4">
        <f t="shared" si="198"/>
        <v>-5.0141357941473053E-4</v>
      </c>
      <c r="U3144" s="35"/>
      <c r="V3144" s="35"/>
      <c r="W3144" s="35"/>
      <c r="X3144" s="35"/>
    </row>
    <row r="3145" spans="4:24" x14ac:dyDescent="0.3">
      <c r="D3145" s="23">
        <v>44144</v>
      </c>
      <c r="E3145" s="5">
        <v>336.66980000000001</v>
      </c>
      <c r="F3145" s="28">
        <v>79.764560000000003</v>
      </c>
      <c r="G3145" s="28">
        <v>175.08</v>
      </c>
      <c r="H3145" s="28">
        <v>282.26330000000002</v>
      </c>
      <c r="I3145" s="28">
        <v>172.09729999999999</v>
      </c>
      <c r="J3145" s="29"/>
      <c r="K3145" s="29"/>
      <c r="L3145" s="29"/>
      <c r="M3145" s="29"/>
      <c r="N3145" s="29"/>
      <c r="P3145" s="4">
        <f t="shared" si="198"/>
        <v>1.2487366757459081E-2</v>
      </c>
      <c r="Q3145" s="4">
        <f t="shared" si="198"/>
        <v>-4.6682325531516092E-3</v>
      </c>
      <c r="R3145" s="4">
        <f t="shared" si="198"/>
        <v>-4.5280853274673134E-2</v>
      </c>
      <c r="S3145" s="4">
        <f t="shared" si="198"/>
        <v>-2.064571318555302E-2</v>
      </c>
      <c r="T3145" s="4">
        <f t="shared" si="198"/>
        <v>1.1812266681513863E-2</v>
      </c>
      <c r="U3145" s="35"/>
      <c r="V3145" s="35"/>
      <c r="W3145" s="35"/>
      <c r="X3145" s="35"/>
    </row>
    <row r="3146" spans="4:24" x14ac:dyDescent="0.3">
      <c r="D3146" s="23">
        <v>44145</v>
      </c>
      <c r="E3146" s="5">
        <v>336.175995</v>
      </c>
      <c r="F3146" s="28">
        <v>79.609759999999994</v>
      </c>
      <c r="G3146" s="28">
        <v>175.66</v>
      </c>
      <c r="H3146" s="28">
        <v>277.20670000000001</v>
      </c>
      <c r="I3146" s="28">
        <v>171.8126</v>
      </c>
      <c r="J3146" s="29"/>
      <c r="K3146" s="29"/>
      <c r="L3146" s="29"/>
      <c r="M3146" s="29"/>
      <c r="N3146" s="29"/>
      <c r="P3146" s="4">
        <f t="shared" si="198"/>
        <v>-1.4678105810478146E-3</v>
      </c>
      <c r="Q3146" s="4">
        <f t="shared" si="198"/>
        <v>-1.9425971346014278E-3</v>
      </c>
      <c r="R3146" s="4">
        <f t="shared" si="198"/>
        <v>3.3072961662766929E-3</v>
      </c>
      <c r="S3146" s="4">
        <f t="shared" si="198"/>
        <v>-1.8076885968097794E-2</v>
      </c>
      <c r="T3146" s="4">
        <f t="shared" si="198"/>
        <v>-1.6556665861361089E-3</v>
      </c>
      <c r="U3146" s="35"/>
      <c r="V3146" s="35"/>
      <c r="W3146" s="35"/>
      <c r="X3146" s="35"/>
    </row>
    <row r="3147" spans="4:24" x14ac:dyDescent="0.3">
      <c r="D3147" s="23">
        <v>44146</v>
      </c>
      <c r="E3147" s="5">
        <v>338.67334</v>
      </c>
      <c r="F3147" s="28">
        <v>79.664379999999994</v>
      </c>
      <c r="G3147" s="28">
        <v>174.9</v>
      </c>
      <c r="H3147" s="28">
        <v>283.40769999999998</v>
      </c>
      <c r="I3147" s="28">
        <v>173.2073</v>
      </c>
      <c r="J3147" s="29"/>
      <c r="K3147" s="29"/>
      <c r="L3147" s="29"/>
      <c r="M3147" s="29"/>
      <c r="N3147" s="29"/>
      <c r="P3147" s="4">
        <f t="shared" si="198"/>
        <v>7.4012265270598484E-3</v>
      </c>
      <c r="Q3147" s="4">
        <f t="shared" si="198"/>
        <v>6.8586152329721346E-4</v>
      </c>
      <c r="R3147" s="4">
        <f t="shared" si="198"/>
        <v>-4.3359264644149123E-3</v>
      </c>
      <c r="S3147" s="4">
        <f t="shared" si="198"/>
        <v>2.2123059667286699E-2</v>
      </c>
      <c r="T3147" s="4">
        <f t="shared" si="198"/>
        <v>8.0847950910215641E-3</v>
      </c>
      <c r="U3147" s="35"/>
      <c r="V3147" s="35"/>
      <c r="W3147" s="35"/>
      <c r="X3147" s="35"/>
    </row>
    <row r="3148" spans="4:24" x14ac:dyDescent="0.3">
      <c r="D3148" s="23">
        <v>44147</v>
      </c>
      <c r="E3148" s="5">
        <v>335.38790899999998</v>
      </c>
      <c r="F3148" s="28">
        <v>79.928380000000004</v>
      </c>
      <c r="G3148" s="28">
        <v>175.96</v>
      </c>
      <c r="H3148" s="28">
        <v>282.07749999999999</v>
      </c>
      <c r="I3148" s="28">
        <v>171.49950000000001</v>
      </c>
      <c r="J3148" s="29"/>
      <c r="K3148" s="29"/>
      <c r="L3148" s="29"/>
      <c r="M3148" s="29"/>
      <c r="N3148" s="29"/>
      <c r="P3148" s="4">
        <f t="shared" si="198"/>
        <v>-9.7482447544241565E-3</v>
      </c>
      <c r="Q3148" s="4">
        <f t="shared" si="198"/>
        <v>3.3084237756733619E-3</v>
      </c>
      <c r="R3148" s="4">
        <f t="shared" si="198"/>
        <v>6.0423144559626617E-3</v>
      </c>
      <c r="S3148" s="4">
        <f t="shared" si="198"/>
        <v>-4.7046410887993046E-3</v>
      </c>
      <c r="T3148" s="4">
        <f t="shared" si="198"/>
        <v>-9.9087918962959404E-3</v>
      </c>
      <c r="U3148" s="35"/>
      <c r="V3148" s="35"/>
      <c r="W3148" s="35"/>
      <c r="X3148" s="35"/>
    </row>
    <row r="3149" spans="4:24" x14ac:dyDescent="0.3">
      <c r="D3149" s="23">
        <v>44148</v>
      </c>
      <c r="E3149" s="5">
        <v>340.031158</v>
      </c>
      <c r="F3149" s="28">
        <v>79.955730000000003</v>
      </c>
      <c r="G3149" s="28">
        <v>177.16</v>
      </c>
      <c r="H3149" s="28">
        <v>284.55200000000002</v>
      </c>
      <c r="I3149" s="28">
        <v>173.92840000000001</v>
      </c>
      <c r="J3149" s="29"/>
      <c r="K3149" s="29"/>
      <c r="L3149" s="29"/>
      <c r="M3149" s="29"/>
      <c r="N3149" s="29"/>
      <c r="P3149" s="4">
        <f t="shared" si="198"/>
        <v>1.3749455341714343E-2</v>
      </c>
      <c r="Q3149" s="4">
        <f t="shared" si="198"/>
        <v>3.4212280716029112E-4</v>
      </c>
      <c r="R3149" s="4">
        <f t="shared" si="198"/>
        <v>6.7965825744782833E-3</v>
      </c>
      <c r="S3149" s="4">
        <f t="shared" si="198"/>
        <v>8.7341577898376235E-3</v>
      </c>
      <c r="T3149" s="4">
        <f t="shared" si="198"/>
        <v>1.4063369124812814E-2</v>
      </c>
      <c r="U3149" s="35"/>
      <c r="V3149" s="35"/>
      <c r="W3149" s="35"/>
      <c r="X3149" s="35"/>
    </row>
    <row r="3150" spans="4:24" x14ac:dyDescent="0.3">
      <c r="D3150" s="23">
        <v>44151</v>
      </c>
      <c r="E3150" s="5">
        <v>344.27560399999999</v>
      </c>
      <c r="F3150" s="28">
        <v>80.001239999999996</v>
      </c>
      <c r="G3150" s="28">
        <v>177.15</v>
      </c>
      <c r="H3150" s="28">
        <v>286.7724</v>
      </c>
      <c r="I3150" s="28">
        <v>176.05359999999999</v>
      </c>
      <c r="J3150" s="29"/>
      <c r="K3150" s="29"/>
      <c r="L3150" s="29"/>
      <c r="M3150" s="29"/>
      <c r="N3150" s="29"/>
      <c r="P3150" s="4">
        <f t="shared" si="198"/>
        <v>1.2405256435213322E-2</v>
      </c>
      <c r="Q3150" s="4">
        <f t="shared" si="198"/>
        <v>5.6902804833056618E-4</v>
      </c>
      <c r="R3150" s="4">
        <f t="shared" si="198"/>
        <v>-5.6447743516377464E-5</v>
      </c>
      <c r="S3150" s="4">
        <f t="shared" si="198"/>
        <v>7.772856118876327E-3</v>
      </c>
      <c r="T3150" s="4">
        <f t="shared" si="198"/>
        <v>1.2144773853480895E-2</v>
      </c>
      <c r="U3150" s="35"/>
      <c r="V3150" s="35"/>
      <c r="W3150" s="35"/>
      <c r="X3150" s="35"/>
    </row>
    <row r="3151" spans="4:24" x14ac:dyDescent="0.3">
      <c r="D3151" s="23">
        <v>44152</v>
      </c>
      <c r="E3151" s="5">
        <v>342.42398100000003</v>
      </c>
      <c r="F3151" s="28">
        <v>80.137789999999995</v>
      </c>
      <c r="G3151" s="28">
        <v>176.5</v>
      </c>
      <c r="H3151" s="28">
        <v>285.86270000000002</v>
      </c>
      <c r="I3151" s="28">
        <v>175.6551</v>
      </c>
      <c r="J3151" s="29"/>
      <c r="K3151" s="29"/>
      <c r="L3151" s="29"/>
      <c r="M3151" s="29"/>
      <c r="N3151" s="29"/>
      <c r="P3151" s="4">
        <f t="shared" si="198"/>
        <v>-5.3928312407620178E-3</v>
      </c>
      <c r="Q3151" s="4">
        <f t="shared" si="198"/>
        <v>1.7053935332916165E-3</v>
      </c>
      <c r="R3151" s="4">
        <f t="shared" si="198"/>
        <v>-3.6759549381296195E-3</v>
      </c>
      <c r="S3151" s="4">
        <f t="shared" si="198"/>
        <v>-3.1772441657031626E-3</v>
      </c>
      <c r="T3151" s="4">
        <f t="shared" si="198"/>
        <v>-2.2660808250056321E-3</v>
      </c>
      <c r="U3151" s="35"/>
      <c r="V3151" s="35"/>
      <c r="W3151" s="35"/>
      <c r="X3151" s="35"/>
    </row>
    <row r="3152" spans="4:24" x14ac:dyDescent="0.3">
      <c r="D3152" s="23">
        <v>44153</v>
      </c>
      <c r="E3152" s="5">
        <v>338.30297899999999</v>
      </c>
      <c r="F3152" s="28">
        <v>80.228880000000004</v>
      </c>
      <c r="G3152" s="28">
        <v>175.49</v>
      </c>
      <c r="H3152" s="28">
        <v>283.75</v>
      </c>
      <c r="I3152" s="28">
        <v>173.7955</v>
      </c>
      <c r="J3152" s="29"/>
      <c r="K3152" s="29"/>
      <c r="L3152" s="29"/>
      <c r="M3152" s="29"/>
      <c r="N3152" s="29"/>
      <c r="P3152" s="4">
        <f t="shared" si="198"/>
        <v>-1.2107798240766616E-2</v>
      </c>
      <c r="Q3152" s="4">
        <f t="shared" si="198"/>
        <v>1.1360217156884656E-3</v>
      </c>
      <c r="R3152" s="4">
        <f t="shared" si="198"/>
        <v>-5.7388151478360815E-3</v>
      </c>
      <c r="S3152" s="4">
        <f t="shared" si="198"/>
        <v>-7.418056823707996E-3</v>
      </c>
      <c r="T3152" s="4">
        <f t="shared" si="198"/>
        <v>-1.0643092636734675E-2</v>
      </c>
      <c r="U3152" s="35"/>
      <c r="V3152" s="35"/>
      <c r="W3152" s="35"/>
      <c r="X3152" s="35"/>
    </row>
    <row r="3153" spans="4:24" x14ac:dyDescent="0.3">
      <c r="D3153" s="23">
        <v>44154</v>
      </c>
      <c r="E3153" s="5">
        <v>339.72726399999999</v>
      </c>
      <c r="F3153" s="28">
        <v>80.392740000000003</v>
      </c>
      <c r="G3153" s="28">
        <v>175.16</v>
      </c>
      <c r="H3153" s="28">
        <v>285.97030000000001</v>
      </c>
      <c r="I3153" s="28">
        <v>174.76329999999999</v>
      </c>
      <c r="J3153" s="29"/>
      <c r="K3153" s="29"/>
      <c r="L3153" s="29"/>
      <c r="M3153" s="29"/>
      <c r="N3153" s="29"/>
      <c r="P3153" s="4">
        <f t="shared" si="198"/>
        <v>4.2012494564912517E-3</v>
      </c>
      <c r="Q3153" s="4">
        <f t="shared" si="198"/>
        <v>2.0403237975644781E-3</v>
      </c>
      <c r="R3153" s="4">
        <f t="shared" si="198"/>
        <v>-1.8822192923178139E-3</v>
      </c>
      <c r="S3153" s="4">
        <f t="shared" si="198"/>
        <v>7.7943904780089831E-3</v>
      </c>
      <c r="T3153" s="4">
        <f t="shared" si="198"/>
        <v>5.5531662781466515E-3</v>
      </c>
      <c r="U3153" s="35"/>
      <c r="V3153" s="35"/>
      <c r="W3153" s="35"/>
      <c r="X3153" s="35"/>
    </row>
    <row r="3154" spans="4:24" x14ac:dyDescent="0.3">
      <c r="D3154" s="23">
        <v>44155</v>
      </c>
      <c r="E3154" s="5">
        <v>337.40096999999997</v>
      </c>
      <c r="F3154" s="28">
        <v>80.465580000000003</v>
      </c>
      <c r="G3154" s="28">
        <v>175.69</v>
      </c>
      <c r="H3154" s="28">
        <v>284.01409999999998</v>
      </c>
      <c r="I3154" s="28">
        <v>173.84299999999999</v>
      </c>
      <c r="J3154" s="29"/>
      <c r="K3154" s="29"/>
      <c r="L3154" s="29"/>
      <c r="M3154" s="29"/>
      <c r="N3154" s="29"/>
      <c r="P3154" s="4">
        <f t="shared" si="198"/>
        <v>-6.8710859644183853E-3</v>
      </c>
      <c r="Q3154" s="4">
        <f t="shared" si="198"/>
        <v>9.0564174707942859E-4</v>
      </c>
      <c r="R3154" s="4">
        <f t="shared" si="198"/>
        <v>3.021236443765301E-3</v>
      </c>
      <c r="S3154" s="4">
        <f t="shared" si="198"/>
        <v>-6.864074457506906E-3</v>
      </c>
      <c r="T3154" s="4">
        <f t="shared" si="198"/>
        <v>-5.2798938972361308E-3</v>
      </c>
      <c r="U3154" s="35"/>
      <c r="V3154" s="35"/>
      <c r="W3154" s="35"/>
      <c r="X3154" s="35"/>
    </row>
    <row r="3155" spans="4:24" x14ac:dyDescent="0.3">
      <c r="D3155" s="23">
        <v>44158</v>
      </c>
      <c r="E3155" s="5">
        <v>339.42346199999997</v>
      </c>
      <c r="F3155" s="28">
        <v>80.401840000000007</v>
      </c>
      <c r="G3155" s="28">
        <v>172.23</v>
      </c>
      <c r="H3155" s="28">
        <v>284.024</v>
      </c>
      <c r="I3155" s="28">
        <v>175.26609999999999</v>
      </c>
      <c r="J3155" s="29"/>
      <c r="K3155" s="29"/>
      <c r="L3155" s="29"/>
      <c r="M3155" s="29"/>
      <c r="N3155" s="29"/>
      <c r="P3155" s="4">
        <f t="shared" si="198"/>
        <v>5.9764332499818197E-3</v>
      </c>
      <c r="Q3155" s="4">
        <f t="shared" si="198"/>
        <v>-7.9245385219250345E-4</v>
      </c>
      <c r="R3155" s="4">
        <f t="shared" si="198"/>
        <v>-1.98902855293078E-2</v>
      </c>
      <c r="S3155" s="4">
        <f t="shared" si="198"/>
        <v>3.4856816826170551E-5</v>
      </c>
      <c r="T3155" s="4">
        <f t="shared" si="198"/>
        <v>8.1527974066255143E-3</v>
      </c>
      <c r="U3155" s="35"/>
      <c r="V3155" s="35"/>
      <c r="W3155" s="35"/>
      <c r="X3155" s="35"/>
    </row>
    <row r="3156" spans="4:24" x14ac:dyDescent="0.3">
      <c r="D3156" s="23">
        <v>44159</v>
      </c>
      <c r="E3156" s="5">
        <v>344.89282200000002</v>
      </c>
      <c r="F3156" s="28">
        <v>80.319929999999999</v>
      </c>
      <c r="G3156" s="28">
        <v>169.59</v>
      </c>
      <c r="H3156" s="28">
        <v>288.0145</v>
      </c>
      <c r="I3156" s="28">
        <v>177.9796</v>
      </c>
      <c r="J3156" s="29"/>
      <c r="K3156" s="29"/>
      <c r="L3156" s="29"/>
      <c r="M3156" s="29"/>
      <c r="N3156" s="29"/>
      <c r="P3156" s="4">
        <f t="shared" si="198"/>
        <v>1.5985229613089187E-2</v>
      </c>
      <c r="Q3156" s="4">
        <f t="shared" si="198"/>
        <v>-1.0192770660942532E-3</v>
      </c>
      <c r="R3156" s="4">
        <f t="shared" si="198"/>
        <v>-1.5447033492345889E-2</v>
      </c>
      <c r="S3156" s="4">
        <f t="shared" si="198"/>
        <v>1.395208445784858E-2</v>
      </c>
      <c r="T3156" s="4">
        <f t="shared" si="198"/>
        <v>1.5363546528718394E-2</v>
      </c>
      <c r="U3156" s="35"/>
      <c r="V3156" s="35"/>
      <c r="W3156" s="35"/>
      <c r="X3156" s="35"/>
    </row>
    <row r="3157" spans="4:24" x14ac:dyDescent="0.3">
      <c r="D3157" s="23">
        <v>44160</v>
      </c>
      <c r="E3157" s="5">
        <v>344.36108400000001</v>
      </c>
      <c r="F3157" s="28">
        <v>80.28349</v>
      </c>
      <c r="G3157" s="28">
        <v>169.51</v>
      </c>
      <c r="H3157" s="28">
        <v>289.78480000000002</v>
      </c>
      <c r="I3157" s="28">
        <v>177.91319999999999</v>
      </c>
      <c r="J3157" s="29"/>
      <c r="K3157" s="29"/>
      <c r="L3157" s="29"/>
      <c r="M3157" s="29"/>
      <c r="N3157" s="29"/>
      <c r="P3157" s="4">
        <f t="shared" ref="P3157:T3172" si="199">LN(E3157/E3156)</f>
        <v>-1.5429382434012464E-3</v>
      </c>
      <c r="Q3157" s="4">
        <f t="shared" si="199"/>
        <v>-4.5378860083210445E-4</v>
      </c>
      <c r="R3157" s="4">
        <f t="shared" si="199"/>
        <v>-4.7183722491424496E-4</v>
      </c>
      <c r="S3157" s="4">
        <f t="shared" si="199"/>
        <v>6.1277524547517807E-3</v>
      </c>
      <c r="T3157" s="4">
        <f t="shared" si="199"/>
        <v>-3.7314607528142767E-4</v>
      </c>
      <c r="U3157" s="35"/>
      <c r="V3157" s="35"/>
      <c r="W3157" s="35"/>
      <c r="X3157" s="35"/>
    </row>
    <row r="3158" spans="4:24" x14ac:dyDescent="0.3">
      <c r="D3158" s="23">
        <v>44162</v>
      </c>
      <c r="E3158" s="5">
        <v>345.32003800000001</v>
      </c>
      <c r="F3158" s="28">
        <v>80.456450000000004</v>
      </c>
      <c r="G3158" s="28">
        <v>167.79</v>
      </c>
      <c r="H3158" s="28">
        <v>292.45490000000001</v>
      </c>
      <c r="I3158" s="28">
        <v>178.5394</v>
      </c>
      <c r="J3158" s="29"/>
      <c r="K3158" s="29"/>
      <c r="L3158" s="29"/>
      <c r="M3158" s="29"/>
      <c r="N3158" s="29"/>
      <c r="P3158" s="4">
        <f t="shared" si="199"/>
        <v>2.7808637568655162E-3</v>
      </c>
      <c r="Q3158" s="4">
        <f t="shared" si="199"/>
        <v>2.1520484174952313E-3</v>
      </c>
      <c r="R3158" s="4">
        <f t="shared" si="199"/>
        <v>-1.0198724628788668E-2</v>
      </c>
      <c r="S3158" s="4">
        <f t="shared" si="199"/>
        <v>9.1718882039851461E-3</v>
      </c>
      <c r="T3158" s="4">
        <f t="shared" si="199"/>
        <v>3.5135142467287647E-3</v>
      </c>
      <c r="U3158" s="35"/>
      <c r="V3158" s="35"/>
      <c r="W3158" s="35"/>
      <c r="X3158" s="35"/>
    </row>
    <row r="3159" spans="4:24" x14ac:dyDescent="0.3">
      <c r="D3159" s="23">
        <v>44165</v>
      </c>
      <c r="E3159" s="5">
        <v>343.79135100000002</v>
      </c>
      <c r="F3159" s="28">
        <v>80.565740000000005</v>
      </c>
      <c r="G3159" s="28">
        <v>166.67</v>
      </c>
      <c r="H3159" s="28">
        <v>293.05149999999998</v>
      </c>
      <c r="I3159" s="28">
        <v>177.1352</v>
      </c>
      <c r="J3159" s="29"/>
      <c r="K3159" s="29"/>
      <c r="L3159" s="29"/>
      <c r="M3159" s="29"/>
      <c r="N3159" s="29"/>
      <c r="P3159" s="4">
        <f t="shared" si="199"/>
        <v>-4.4366978459328922E-3</v>
      </c>
      <c r="Q3159" s="4">
        <f t="shared" si="199"/>
        <v>1.3574528676101778E-3</v>
      </c>
      <c r="R3159" s="4">
        <f t="shared" si="199"/>
        <v>-6.6973879475216462E-3</v>
      </c>
      <c r="S3159" s="4">
        <f t="shared" si="199"/>
        <v>2.0378947402590851E-3</v>
      </c>
      <c r="T3159" s="4">
        <f t="shared" si="199"/>
        <v>-7.8960223510495739E-3</v>
      </c>
      <c r="U3159" s="35"/>
      <c r="V3159" s="35"/>
      <c r="W3159" s="35"/>
      <c r="X3159" s="35"/>
    </row>
    <row r="3160" spans="4:24" x14ac:dyDescent="0.3">
      <c r="D3160" s="23">
        <v>44166</v>
      </c>
      <c r="E3160" s="5">
        <v>347.55154399999998</v>
      </c>
      <c r="F3160" s="28">
        <v>80.322270000000003</v>
      </c>
      <c r="G3160" s="28">
        <v>170.18</v>
      </c>
      <c r="H3160" s="28">
        <v>296.8073</v>
      </c>
      <c r="I3160" s="28">
        <v>179.38380000000001</v>
      </c>
      <c r="J3160" s="29"/>
      <c r="K3160" s="29"/>
      <c r="L3160" s="29"/>
      <c r="M3160" s="29"/>
      <c r="N3160" s="29"/>
      <c r="P3160" s="4">
        <f t="shared" si="199"/>
        <v>1.087804649864039E-2</v>
      </c>
      <c r="Q3160" s="4">
        <f t="shared" si="199"/>
        <v>-3.0265796171196776E-3</v>
      </c>
      <c r="R3160" s="4">
        <f t="shared" si="199"/>
        <v>2.0840890867326739E-2</v>
      </c>
      <c r="S3160" s="4">
        <f t="shared" si="199"/>
        <v>1.2734745188302681E-2</v>
      </c>
      <c r="T3160" s="4">
        <f t="shared" si="199"/>
        <v>1.2614361740914811E-2</v>
      </c>
      <c r="U3160" s="35"/>
      <c r="V3160" s="35"/>
      <c r="W3160" s="35"/>
      <c r="X3160" s="35"/>
    </row>
    <row r="3161" spans="4:24" x14ac:dyDescent="0.3">
      <c r="D3161" s="23">
        <v>44167</v>
      </c>
      <c r="E3161" s="5">
        <v>348.282715</v>
      </c>
      <c r="F3161" s="28">
        <v>80.185460000000006</v>
      </c>
      <c r="G3161" s="28">
        <v>171.46</v>
      </c>
      <c r="H3161" s="28">
        <v>297.18880000000001</v>
      </c>
      <c r="I3161" s="28">
        <v>179.53559999999999</v>
      </c>
      <c r="J3161" s="29"/>
      <c r="K3161" s="29"/>
      <c r="L3161" s="29"/>
      <c r="M3161" s="29"/>
      <c r="N3161" s="29"/>
      <c r="P3161" s="4">
        <f t="shared" si="199"/>
        <v>2.101567319083706E-3</v>
      </c>
      <c r="Q3161" s="4">
        <f t="shared" si="199"/>
        <v>-1.7047158181285988E-3</v>
      </c>
      <c r="R3161" s="4">
        <f t="shared" si="199"/>
        <v>7.4933028291986233E-3</v>
      </c>
      <c r="S3161" s="4">
        <f t="shared" si="199"/>
        <v>1.2845203948511493E-3</v>
      </c>
      <c r="T3161" s="4">
        <f t="shared" si="199"/>
        <v>8.4587241063629462E-4</v>
      </c>
      <c r="U3161" s="35"/>
      <c r="V3161" s="35"/>
      <c r="W3161" s="35"/>
      <c r="X3161" s="35"/>
    </row>
    <row r="3162" spans="4:24" x14ac:dyDescent="0.3">
      <c r="D3162" s="23">
        <v>44168</v>
      </c>
      <c r="E3162" s="5">
        <v>348.18768299999999</v>
      </c>
      <c r="F3162" s="28">
        <v>80.340490000000003</v>
      </c>
      <c r="G3162" s="28">
        <v>172.81</v>
      </c>
      <c r="H3162" s="28">
        <v>297.60939999999999</v>
      </c>
      <c r="I3162" s="28">
        <v>179.89609999999999</v>
      </c>
      <c r="J3162" s="29"/>
      <c r="K3162" s="29"/>
      <c r="L3162" s="29"/>
      <c r="M3162" s="29"/>
      <c r="N3162" s="29"/>
      <c r="P3162" s="4">
        <f t="shared" si="199"/>
        <v>-2.728960221788794E-4</v>
      </c>
      <c r="Q3162" s="4">
        <f t="shared" si="199"/>
        <v>1.9315263133310638E-3</v>
      </c>
      <c r="R3162" s="4">
        <f t="shared" si="199"/>
        <v>7.8427218152905265E-3</v>
      </c>
      <c r="S3162" s="4">
        <f t="shared" si="199"/>
        <v>1.4142614086752388E-3</v>
      </c>
      <c r="T3162" s="4">
        <f t="shared" si="199"/>
        <v>2.0059450564995887E-3</v>
      </c>
      <c r="U3162" s="35"/>
      <c r="V3162" s="35"/>
      <c r="W3162" s="35"/>
      <c r="X3162" s="35"/>
    </row>
    <row r="3163" spans="4:24" x14ac:dyDescent="0.3">
      <c r="D3163" s="23">
        <v>44169</v>
      </c>
      <c r="E3163" s="5">
        <v>351.18832400000002</v>
      </c>
      <c r="F3163" s="28">
        <v>80.130769999999998</v>
      </c>
      <c r="G3163" s="28">
        <v>172.32</v>
      </c>
      <c r="H3163" s="28">
        <v>298.82220000000001</v>
      </c>
      <c r="I3163" s="28">
        <v>181.69880000000001</v>
      </c>
      <c r="J3163" s="29"/>
      <c r="K3163" s="29"/>
      <c r="L3163" s="29"/>
      <c r="M3163" s="29"/>
      <c r="N3163" s="29"/>
      <c r="P3163" s="4">
        <f t="shared" si="199"/>
        <v>8.5809618348465372E-3</v>
      </c>
      <c r="Q3163" s="4">
        <f t="shared" si="199"/>
        <v>-2.6138028628924152E-3</v>
      </c>
      <c r="R3163" s="4">
        <f t="shared" si="199"/>
        <v>-2.8395116578219079E-3</v>
      </c>
      <c r="S3163" s="4">
        <f t="shared" si="199"/>
        <v>4.0668592059036925E-3</v>
      </c>
      <c r="T3163" s="4">
        <f t="shared" si="199"/>
        <v>9.9709090764207465E-3</v>
      </c>
      <c r="U3163" s="35"/>
      <c r="V3163" s="35"/>
      <c r="W3163" s="35"/>
      <c r="X3163" s="35"/>
    </row>
    <row r="3164" spans="4:24" x14ac:dyDescent="0.3">
      <c r="D3164" s="23">
        <v>44172</v>
      </c>
      <c r="E3164" s="5">
        <v>350.46661399999999</v>
      </c>
      <c r="F3164" s="28">
        <v>80.24015</v>
      </c>
      <c r="G3164" s="28">
        <v>174.89</v>
      </c>
      <c r="H3164" s="28">
        <v>300.51429999999999</v>
      </c>
      <c r="I3164" s="28">
        <v>181.49959999999999</v>
      </c>
      <c r="J3164" s="29"/>
      <c r="K3164" s="29"/>
      <c r="L3164" s="29"/>
      <c r="M3164" s="29"/>
      <c r="N3164" s="29"/>
      <c r="P3164" s="4">
        <f t="shared" si="199"/>
        <v>-2.0571657532293644E-3</v>
      </c>
      <c r="Q3164" s="4">
        <f t="shared" si="199"/>
        <v>1.3640879151981947E-3</v>
      </c>
      <c r="R3164" s="4">
        <f t="shared" si="199"/>
        <v>1.4803991453021359E-2</v>
      </c>
      <c r="S3164" s="4">
        <f t="shared" si="199"/>
        <v>5.6465925099114713E-3</v>
      </c>
      <c r="T3164" s="4">
        <f t="shared" si="199"/>
        <v>-1.0969212417992452E-3</v>
      </c>
      <c r="U3164" s="35"/>
      <c r="V3164" s="35"/>
      <c r="W3164" s="35"/>
      <c r="X3164" s="35"/>
    </row>
    <row r="3165" spans="4:24" x14ac:dyDescent="0.3">
      <c r="D3165" s="23">
        <v>44173</v>
      </c>
      <c r="E3165" s="5">
        <v>351.492188</v>
      </c>
      <c r="F3165" s="28">
        <v>80.267529999999994</v>
      </c>
      <c r="G3165" s="28">
        <v>175.5</v>
      </c>
      <c r="H3165" s="28">
        <v>301.53149999999999</v>
      </c>
      <c r="I3165" s="28">
        <v>182.28700000000001</v>
      </c>
      <c r="J3165" s="29"/>
      <c r="K3165" s="29"/>
      <c r="L3165" s="29"/>
      <c r="M3165" s="29"/>
      <c r="N3165" s="29"/>
      <c r="P3165" s="4">
        <f t="shared" si="199"/>
        <v>2.9220368112753332E-3</v>
      </c>
      <c r="Q3165" s="4">
        <f t="shared" si="199"/>
        <v>3.4116747890903702E-4</v>
      </c>
      <c r="R3165" s="4">
        <f t="shared" si="199"/>
        <v>3.4818380448206295E-3</v>
      </c>
      <c r="S3165" s="4">
        <f t="shared" si="199"/>
        <v>3.3791481243455657E-3</v>
      </c>
      <c r="T3165" s="4">
        <f t="shared" si="199"/>
        <v>4.328918270356091E-3</v>
      </c>
      <c r="U3165" s="35"/>
      <c r="V3165" s="35"/>
      <c r="W3165" s="35"/>
      <c r="X3165" s="35"/>
    </row>
    <row r="3166" spans="4:24" x14ac:dyDescent="0.3">
      <c r="D3166" s="23">
        <v>44174</v>
      </c>
      <c r="E3166" s="5">
        <v>348.33966099999998</v>
      </c>
      <c r="F3166" s="28">
        <v>80.130769999999998</v>
      </c>
      <c r="G3166" s="28">
        <v>172.5</v>
      </c>
      <c r="H3166" s="28">
        <v>294.7045</v>
      </c>
      <c r="I3166" s="28">
        <v>180.4939</v>
      </c>
      <c r="J3166" s="29"/>
      <c r="K3166" s="29"/>
      <c r="L3166" s="29"/>
      <c r="M3166" s="29"/>
      <c r="N3166" s="29"/>
      <c r="P3166" s="4">
        <f t="shared" si="199"/>
        <v>-9.0094451366300003E-3</v>
      </c>
      <c r="Q3166" s="4">
        <f t="shared" si="199"/>
        <v>-1.705255394107224E-3</v>
      </c>
      <c r="R3166" s="4">
        <f t="shared" si="199"/>
        <v>-1.7241806434506103E-2</v>
      </c>
      <c r="S3166" s="4">
        <f t="shared" si="199"/>
        <v>-2.290132892884392E-2</v>
      </c>
      <c r="T3166" s="4">
        <f t="shared" si="199"/>
        <v>-9.8853859280628176E-3</v>
      </c>
      <c r="U3166" s="35"/>
      <c r="V3166" s="35"/>
      <c r="W3166" s="35"/>
      <c r="X3166" s="35"/>
    </row>
    <row r="3167" spans="4:24" x14ac:dyDescent="0.3">
      <c r="D3167" s="23">
        <v>44175</v>
      </c>
      <c r="E3167" s="5">
        <v>348.22576900000001</v>
      </c>
      <c r="F3167" s="28">
        <v>80.294889999999995</v>
      </c>
      <c r="G3167" s="28">
        <v>172.17</v>
      </c>
      <c r="H3167" s="28">
        <v>295.88799999999998</v>
      </c>
      <c r="I3167" s="28">
        <v>180.7595</v>
      </c>
      <c r="J3167" s="29"/>
      <c r="K3167" s="29"/>
      <c r="L3167" s="29"/>
      <c r="M3167" s="29"/>
      <c r="N3167" s="29"/>
      <c r="P3167" s="4">
        <f t="shared" si="199"/>
        <v>-3.2701020208509034E-4</v>
      </c>
      <c r="Q3167" s="4">
        <f t="shared" si="199"/>
        <v>2.0460574356411191E-3</v>
      </c>
      <c r="R3167" s="4">
        <f t="shared" si="199"/>
        <v>-1.9148756830336218E-3</v>
      </c>
      <c r="S3167" s="4">
        <f t="shared" si="199"/>
        <v>4.0078449495896742E-3</v>
      </c>
      <c r="T3167" s="4">
        <f t="shared" si="199"/>
        <v>1.4704362525380017E-3</v>
      </c>
      <c r="U3167" s="35"/>
      <c r="V3167" s="35"/>
      <c r="W3167" s="35"/>
      <c r="X3167" s="35"/>
    </row>
    <row r="3168" spans="4:24" x14ac:dyDescent="0.3">
      <c r="D3168" s="23">
        <v>44176</v>
      </c>
      <c r="E3168" s="5">
        <v>347.81738300000001</v>
      </c>
      <c r="F3168" s="28">
        <v>80.422560000000004</v>
      </c>
      <c r="G3168" s="28">
        <v>172.49</v>
      </c>
      <c r="H3168" s="28">
        <v>295.23270000000002</v>
      </c>
      <c r="I3168" s="28">
        <v>180.43690000000001</v>
      </c>
      <c r="J3168" s="29"/>
      <c r="K3168" s="29"/>
      <c r="L3168" s="29"/>
      <c r="M3168" s="29"/>
      <c r="N3168" s="29"/>
      <c r="P3168" s="4">
        <f t="shared" si="199"/>
        <v>-1.1734503692432639E-3</v>
      </c>
      <c r="Q3168" s="4">
        <f t="shared" si="199"/>
        <v>1.5887512756662015E-3</v>
      </c>
      <c r="R3168" s="4">
        <f t="shared" si="199"/>
        <v>1.8569029881568299E-3</v>
      </c>
      <c r="S3168" s="4">
        <f t="shared" si="199"/>
        <v>-2.2171453932842118E-3</v>
      </c>
      <c r="T3168" s="4">
        <f t="shared" si="199"/>
        <v>-1.786286274059364E-3</v>
      </c>
      <c r="U3168" s="35"/>
      <c r="V3168" s="35"/>
      <c r="W3168" s="35"/>
      <c r="X3168" s="35"/>
    </row>
    <row r="3169" spans="4:24" x14ac:dyDescent="0.3">
      <c r="D3169" s="23">
        <v>44179</v>
      </c>
      <c r="E3169" s="5">
        <v>346.26019300000002</v>
      </c>
      <c r="F3169" s="28">
        <v>80.395219999999995</v>
      </c>
      <c r="G3169" s="28">
        <v>171.54</v>
      </c>
      <c r="H3169" s="28">
        <v>297.37459999999999</v>
      </c>
      <c r="I3169" s="28">
        <v>179.9246</v>
      </c>
      <c r="J3169" s="29"/>
      <c r="K3169" s="29"/>
      <c r="L3169" s="29"/>
      <c r="M3169" s="29"/>
      <c r="N3169" s="29"/>
      <c r="P3169" s="4">
        <f t="shared" si="199"/>
        <v>-4.4870852093218802E-3</v>
      </c>
      <c r="Q3169" s="4">
        <f t="shared" si="199"/>
        <v>-3.4001215864813304E-4</v>
      </c>
      <c r="R3169" s="4">
        <f t="shared" si="199"/>
        <v>-5.522788214262205E-3</v>
      </c>
      <c r="S3169" s="4">
        <f t="shared" si="199"/>
        <v>7.2287645699962025E-3</v>
      </c>
      <c r="T3169" s="4">
        <f t="shared" si="199"/>
        <v>-2.8432579236368455E-3</v>
      </c>
      <c r="U3169" s="35"/>
      <c r="V3169" s="35"/>
      <c r="W3169" s="35"/>
      <c r="X3169" s="35"/>
    </row>
    <row r="3170" spans="4:24" x14ac:dyDescent="0.3">
      <c r="D3170" s="23">
        <v>44180</v>
      </c>
      <c r="E3170" s="5">
        <v>350.94140599999997</v>
      </c>
      <c r="F3170" s="28">
        <v>80.43168</v>
      </c>
      <c r="G3170" s="28">
        <v>173.94</v>
      </c>
      <c r="H3170" s="28">
        <v>300.55340000000001</v>
      </c>
      <c r="I3170" s="28">
        <v>182.3914</v>
      </c>
      <c r="J3170" s="29"/>
      <c r="K3170" s="29"/>
      <c r="L3170" s="29"/>
      <c r="M3170" s="29"/>
      <c r="N3170" s="29"/>
      <c r="P3170" s="4">
        <f t="shared" si="199"/>
        <v>1.3428779722422268E-2</v>
      </c>
      <c r="Q3170" s="4">
        <f t="shared" si="199"/>
        <v>4.5340674507339881E-4</v>
      </c>
      <c r="R3170" s="4">
        <f t="shared" si="199"/>
        <v>1.3893936599343756E-2</v>
      </c>
      <c r="S3170" s="4">
        <f t="shared" si="199"/>
        <v>1.0632818495530024E-2</v>
      </c>
      <c r="T3170" s="4">
        <f t="shared" si="199"/>
        <v>1.3617053163006656E-2</v>
      </c>
      <c r="U3170" s="35"/>
      <c r="V3170" s="35"/>
      <c r="W3170" s="35"/>
      <c r="X3170" s="35"/>
    </row>
    <row r="3171" spans="4:24" x14ac:dyDescent="0.3">
      <c r="D3171" s="23">
        <v>44181</v>
      </c>
      <c r="E3171" s="5">
        <v>351.492188</v>
      </c>
      <c r="F3171" s="28">
        <v>80.349620000000002</v>
      </c>
      <c r="G3171" s="28">
        <v>174.9</v>
      </c>
      <c r="H3171" s="28">
        <v>302.20639999999997</v>
      </c>
      <c r="I3171" s="28">
        <v>182.64750000000001</v>
      </c>
      <c r="J3171" s="29"/>
      <c r="K3171" s="29"/>
      <c r="L3171" s="29"/>
      <c r="M3171" s="29"/>
      <c r="N3171" s="29"/>
      <c r="P3171" s="4">
        <f t="shared" si="199"/>
        <v>1.568211194858094E-3</v>
      </c>
      <c r="Q3171" s="4">
        <f t="shared" si="199"/>
        <v>-1.0207655632250812E-3</v>
      </c>
      <c r="R3171" s="4">
        <f t="shared" si="199"/>
        <v>5.5039698629373076E-3</v>
      </c>
      <c r="S3171" s="4">
        <f t="shared" si="199"/>
        <v>5.4847856274212736E-3</v>
      </c>
      <c r="T3171" s="4">
        <f t="shared" si="199"/>
        <v>1.4031383615138759E-3</v>
      </c>
      <c r="U3171" s="35"/>
      <c r="V3171" s="35"/>
      <c r="W3171" s="35"/>
      <c r="X3171" s="35"/>
    </row>
    <row r="3172" spans="4:24" x14ac:dyDescent="0.3">
      <c r="D3172" s="23">
        <v>44182</v>
      </c>
      <c r="E3172" s="5">
        <v>353.457672</v>
      </c>
      <c r="F3172" s="28">
        <v>80.367840000000001</v>
      </c>
      <c r="G3172" s="28">
        <v>176.74</v>
      </c>
      <c r="H3172" s="28">
        <v>304.18209999999999</v>
      </c>
      <c r="I3172" s="28">
        <v>184.08019999999999</v>
      </c>
      <c r="J3172" s="29"/>
      <c r="K3172" s="29"/>
      <c r="L3172" s="29"/>
      <c r="M3172" s="29"/>
      <c r="N3172" s="29"/>
      <c r="P3172" s="4">
        <f t="shared" si="199"/>
        <v>5.576252169169447E-3</v>
      </c>
      <c r="Q3172" s="4">
        <f t="shared" si="199"/>
        <v>2.2673330051442916E-4</v>
      </c>
      <c r="R3172" s="4">
        <f t="shared" si="199"/>
        <v>1.0465344065301897E-2</v>
      </c>
      <c r="S3172" s="4">
        <f t="shared" si="199"/>
        <v>6.5163075851639735E-3</v>
      </c>
      <c r="T3172" s="4">
        <f t="shared" si="199"/>
        <v>7.8134664432743649E-3</v>
      </c>
      <c r="U3172" s="35"/>
      <c r="V3172" s="35"/>
      <c r="W3172" s="35"/>
      <c r="X3172" s="35"/>
    </row>
    <row r="3173" spans="4:24" x14ac:dyDescent="0.3">
      <c r="D3173" s="23">
        <v>44183</v>
      </c>
      <c r="E3173" s="5">
        <v>352.04638699999998</v>
      </c>
      <c r="F3173" s="28">
        <v>80.340490000000003</v>
      </c>
      <c r="G3173" s="28">
        <v>176.44</v>
      </c>
      <c r="H3173" s="28">
        <v>303.2627</v>
      </c>
      <c r="I3173" s="28">
        <v>183.55840000000001</v>
      </c>
      <c r="J3173" s="29"/>
      <c r="K3173" s="29"/>
      <c r="L3173" s="29"/>
      <c r="M3173" s="29"/>
      <c r="N3173" s="29"/>
      <c r="P3173" s="4">
        <f t="shared" ref="P3173:T3188" si="200">LN(E3173/E3172)</f>
        <v>-4.0007902561378685E-3</v>
      </c>
      <c r="Q3173" s="4">
        <f t="shared" si="200"/>
        <v>-3.403681721294895E-4</v>
      </c>
      <c r="R3173" s="4">
        <f t="shared" si="200"/>
        <v>-1.6988508531194301E-3</v>
      </c>
      <c r="S3173" s="4">
        <f t="shared" si="200"/>
        <v>-3.0271086428529863E-3</v>
      </c>
      <c r="T3173" s="4">
        <f t="shared" si="200"/>
        <v>-2.8386592179821838E-3</v>
      </c>
      <c r="U3173" s="35"/>
      <c r="V3173" s="35"/>
      <c r="W3173" s="35"/>
      <c r="X3173" s="35"/>
    </row>
    <row r="3174" spans="4:24" x14ac:dyDescent="0.3">
      <c r="D3174" s="23">
        <v>44186</v>
      </c>
      <c r="E3174" s="5">
        <v>350.787598</v>
      </c>
      <c r="F3174" s="28">
        <v>80.349620000000002</v>
      </c>
      <c r="G3174" s="28">
        <v>175.88</v>
      </c>
      <c r="H3174" s="28">
        <v>302.69540000000001</v>
      </c>
      <c r="I3174" s="28">
        <v>183.02709999999999</v>
      </c>
      <c r="J3174" s="29"/>
      <c r="K3174" s="29"/>
      <c r="L3174" s="29"/>
      <c r="M3174" s="29"/>
      <c r="N3174" s="29"/>
      <c r="P3174" s="4">
        <f t="shared" si="200"/>
        <v>-3.5820417703969006E-3</v>
      </c>
      <c r="Q3174" s="4">
        <f t="shared" si="200"/>
        <v>1.1363487161501637E-4</v>
      </c>
      <c r="R3174" s="4">
        <f t="shared" si="200"/>
        <v>-3.1789309241296755E-3</v>
      </c>
      <c r="S3174" s="4">
        <f t="shared" si="200"/>
        <v>-1.8724072365459239E-3</v>
      </c>
      <c r="T3174" s="4">
        <f t="shared" si="200"/>
        <v>-2.8986436834217062E-3</v>
      </c>
      <c r="U3174" s="35"/>
      <c r="V3174" s="35"/>
      <c r="W3174" s="35"/>
      <c r="X3174" s="35"/>
    </row>
    <row r="3175" spans="4:24" x14ac:dyDescent="0.3">
      <c r="D3175" s="23">
        <v>44187</v>
      </c>
      <c r="E3175" s="5">
        <v>350.19641100000001</v>
      </c>
      <c r="F3175" s="28">
        <v>80.4773</v>
      </c>
      <c r="G3175" s="28">
        <v>174.49</v>
      </c>
      <c r="H3175" s="28">
        <v>303.51839999999999</v>
      </c>
      <c r="I3175" s="28">
        <v>183.065</v>
      </c>
      <c r="J3175" s="29"/>
      <c r="K3175" s="29"/>
      <c r="L3175" s="29"/>
      <c r="M3175" s="29"/>
      <c r="N3175" s="29"/>
      <c r="P3175" s="4">
        <f t="shared" si="200"/>
        <v>-1.6867350255468365E-3</v>
      </c>
      <c r="Q3175" s="4">
        <f t="shared" si="200"/>
        <v>1.5877942178387538E-3</v>
      </c>
      <c r="R3175" s="4">
        <f t="shared" si="200"/>
        <v>-7.934510902470682E-3</v>
      </c>
      <c r="S3175" s="4">
        <f t="shared" si="200"/>
        <v>2.7152153435744367E-3</v>
      </c>
      <c r="T3175" s="4">
        <f t="shared" si="200"/>
        <v>2.0705172351660422E-4</v>
      </c>
      <c r="U3175" s="35"/>
      <c r="V3175" s="35"/>
      <c r="W3175" s="35"/>
      <c r="X3175" s="35"/>
    </row>
    <row r="3176" spans="4:24" x14ac:dyDescent="0.3">
      <c r="D3176" s="23">
        <v>44188</v>
      </c>
      <c r="E3176" s="5">
        <v>350.51113900000001</v>
      </c>
      <c r="F3176" s="28">
        <v>80.386690000000002</v>
      </c>
      <c r="G3176" s="28">
        <v>175.65</v>
      </c>
      <c r="H3176" s="28">
        <v>301.9898</v>
      </c>
      <c r="I3176" s="28">
        <v>183.37809999999999</v>
      </c>
      <c r="J3176" s="29"/>
      <c r="K3176" s="29"/>
      <c r="L3176" s="29"/>
      <c r="M3176" s="29"/>
      <c r="N3176" s="29"/>
      <c r="P3176" s="4">
        <f t="shared" si="200"/>
        <v>8.9831491373151199E-4</v>
      </c>
      <c r="Q3176" s="4">
        <f t="shared" si="200"/>
        <v>-1.1265418641267886E-3</v>
      </c>
      <c r="R3176" s="4">
        <f t="shared" si="200"/>
        <v>6.6259453016975179E-3</v>
      </c>
      <c r="S3176" s="4">
        <f t="shared" si="200"/>
        <v>-5.0489927214734899E-3</v>
      </c>
      <c r="T3176" s="4">
        <f t="shared" si="200"/>
        <v>1.7088605362905228E-3</v>
      </c>
      <c r="U3176" s="35"/>
      <c r="V3176" s="35"/>
      <c r="W3176" s="35"/>
      <c r="X3176" s="35"/>
    </row>
    <row r="3177" spans="4:24" x14ac:dyDescent="0.3">
      <c r="D3177" s="23">
        <v>44189</v>
      </c>
      <c r="E3177" s="5">
        <v>351.87472500000001</v>
      </c>
      <c r="F3177" s="28">
        <v>80.523939999999996</v>
      </c>
      <c r="G3177" s="28">
        <v>176.35</v>
      </c>
      <c r="H3177" s="28">
        <v>303.32240000000002</v>
      </c>
      <c r="I3177" s="28">
        <v>183.6849</v>
      </c>
      <c r="J3177" s="29"/>
      <c r="K3177" s="29"/>
      <c r="L3177" s="29"/>
      <c r="M3177" s="29"/>
      <c r="N3177" s="29"/>
      <c r="P3177" s="4">
        <f t="shared" si="200"/>
        <v>3.8827310826197565E-3</v>
      </c>
      <c r="Q3177" s="4">
        <f t="shared" si="200"/>
        <v>1.705916300058392E-3</v>
      </c>
      <c r="R3177" s="4">
        <f t="shared" si="200"/>
        <v>3.9772779702248523E-3</v>
      </c>
      <c r="S3177" s="4">
        <f t="shared" si="200"/>
        <v>4.4030242670931247E-3</v>
      </c>
      <c r="T3177" s="4">
        <f t="shared" si="200"/>
        <v>1.6716480355889627E-3</v>
      </c>
      <c r="U3177" s="35"/>
      <c r="V3177" s="35"/>
      <c r="W3177" s="35"/>
      <c r="X3177" s="35"/>
    </row>
    <row r="3178" spans="4:24" x14ac:dyDescent="0.3">
      <c r="D3178" s="23">
        <v>44193</v>
      </c>
      <c r="E3178" s="5">
        <v>354.89761399999998</v>
      </c>
      <c r="F3178" s="28">
        <v>80.496510000000001</v>
      </c>
      <c r="G3178" s="28">
        <v>175.71</v>
      </c>
      <c r="H3178" s="28">
        <v>306.37950000000001</v>
      </c>
      <c r="I3178" s="28">
        <v>184.84700000000001</v>
      </c>
      <c r="J3178" s="29"/>
      <c r="K3178" s="29"/>
      <c r="L3178" s="29"/>
      <c r="M3178" s="29"/>
      <c r="N3178" s="29"/>
      <c r="P3178" s="4">
        <f t="shared" si="200"/>
        <v>8.5541192431636045E-3</v>
      </c>
      <c r="Q3178" s="4">
        <f t="shared" si="200"/>
        <v>-3.4070206939964967E-4</v>
      </c>
      <c r="R3178" s="4">
        <f t="shared" si="200"/>
        <v>-3.6357479122603423E-3</v>
      </c>
      <c r="S3178" s="4">
        <f t="shared" si="200"/>
        <v>1.0028263385764591E-2</v>
      </c>
      <c r="T3178" s="4">
        <f t="shared" si="200"/>
        <v>6.3066662711245254E-3</v>
      </c>
      <c r="U3178" s="35"/>
      <c r="V3178" s="35"/>
      <c r="W3178" s="35"/>
      <c r="X3178" s="35"/>
    </row>
    <row r="3179" spans="4:24" x14ac:dyDescent="0.3">
      <c r="D3179" s="23">
        <v>44194</v>
      </c>
      <c r="E3179" s="5">
        <v>354.22052000000002</v>
      </c>
      <c r="F3179" s="28">
        <v>80.523939999999996</v>
      </c>
      <c r="G3179" s="28">
        <v>176.35</v>
      </c>
      <c r="H3179" s="28">
        <v>306.65390000000002</v>
      </c>
      <c r="I3179" s="28">
        <v>184.0754</v>
      </c>
      <c r="J3179" s="29"/>
      <c r="K3179" s="29"/>
      <c r="L3179" s="29"/>
      <c r="M3179" s="29"/>
      <c r="N3179" s="29"/>
      <c r="P3179" s="4">
        <f t="shared" si="200"/>
        <v>-1.9096795676447386E-3</v>
      </c>
      <c r="Q3179" s="4">
        <f t="shared" si="200"/>
        <v>3.4070206939972459E-4</v>
      </c>
      <c r="R3179" s="4">
        <f t="shared" si="200"/>
        <v>3.6357479122602716E-3</v>
      </c>
      <c r="S3179" s="4">
        <f t="shared" si="200"/>
        <v>8.952204507155318E-4</v>
      </c>
      <c r="T3179" s="4">
        <f t="shared" si="200"/>
        <v>-4.18299959605597E-3</v>
      </c>
      <c r="U3179" s="35"/>
      <c r="V3179" s="35"/>
      <c r="W3179" s="35"/>
      <c r="X3179" s="35"/>
    </row>
    <row r="3180" spans="4:24" x14ac:dyDescent="0.3">
      <c r="D3180" s="23">
        <v>44195</v>
      </c>
      <c r="E3180" s="5">
        <v>354.726044</v>
      </c>
      <c r="F3180" s="28">
        <v>80.57884</v>
      </c>
      <c r="G3180" s="28">
        <v>177.7</v>
      </c>
      <c r="H3180" s="28">
        <v>306.66379999999998</v>
      </c>
      <c r="I3180" s="28">
        <v>184.57079999999999</v>
      </c>
      <c r="J3180" s="29"/>
      <c r="K3180" s="29"/>
      <c r="L3180" s="29"/>
      <c r="M3180" s="29"/>
      <c r="N3180" s="29"/>
      <c r="P3180" s="4">
        <f t="shared" si="200"/>
        <v>1.4261274723649377E-3</v>
      </c>
      <c r="Q3180" s="4">
        <f t="shared" si="200"/>
        <v>6.8155251107599141E-4</v>
      </c>
      <c r="R3180" s="4">
        <f t="shared" si="200"/>
        <v>7.6260784785446966E-3</v>
      </c>
      <c r="S3180" s="4">
        <f t="shared" si="200"/>
        <v>3.2283431574918973E-5</v>
      </c>
      <c r="T3180" s="4">
        <f t="shared" si="200"/>
        <v>2.6876734289612379E-3</v>
      </c>
      <c r="U3180" s="35"/>
      <c r="V3180" s="35"/>
      <c r="W3180" s="35"/>
      <c r="X3180" s="35"/>
    </row>
    <row r="3181" spans="4:24" x14ac:dyDescent="0.3">
      <c r="D3181" s="23">
        <v>44196</v>
      </c>
      <c r="E3181" s="5">
        <v>356.52822900000001</v>
      </c>
      <c r="F3181" s="28">
        <v>80.688670000000002</v>
      </c>
      <c r="G3181" s="28">
        <v>178.36</v>
      </c>
      <c r="H3181" s="28">
        <v>307.41820000000001</v>
      </c>
      <c r="I3181" s="28">
        <v>185.4186</v>
      </c>
      <c r="J3181" s="29"/>
      <c r="K3181" s="29"/>
      <c r="L3181" s="29"/>
      <c r="M3181" s="29"/>
      <c r="N3181" s="29"/>
      <c r="P3181" s="4">
        <f t="shared" si="200"/>
        <v>5.0676359361978432E-3</v>
      </c>
      <c r="Q3181" s="4">
        <f t="shared" si="200"/>
        <v>1.36208486111568E-3</v>
      </c>
      <c r="R3181" s="4">
        <f t="shared" si="200"/>
        <v>3.7072445986703647E-3</v>
      </c>
      <c r="S3181" s="4">
        <f t="shared" si="200"/>
        <v>2.4570020926105783E-3</v>
      </c>
      <c r="T3181" s="4">
        <f t="shared" si="200"/>
        <v>4.5828420155926064E-3</v>
      </c>
      <c r="U3181" s="35"/>
      <c r="V3181" s="35"/>
      <c r="W3181" s="35"/>
      <c r="X3181" s="35"/>
    </row>
    <row r="3182" spans="4:24" x14ac:dyDescent="0.3">
      <c r="D3182" s="23">
        <v>44200</v>
      </c>
      <c r="E3182" s="5">
        <v>351.67450000000002</v>
      </c>
      <c r="F3182" s="28">
        <v>80.57884</v>
      </c>
      <c r="G3182" s="28">
        <v>182.33</v>
      </c>
      <c r="H3182" s="28">
        <v>303.07749999999999</v>
      </c>
      <c r="I3182" s="28">
        <v>182.7799</v>
      </c>
      <c r="J3182" s="29"/>
      <c r="K3182" s="29"/>
      <c r="L3182" s="29"/>
      <c r="M3182" s="29"/>
      <c r="N3182" s="29"/>
      <c r="P3182" s="4">
        <f t="shared" si="200"/>
        <v>-1.3707388574707451E-2</v>
      </c>
      <c r="Q3182" s="4">
        <f t="shared" si="200"/>
        <v>-1.3620848611156889E-3</v>
      </c>
      <c r="R3182" s="4">
        <f t="shared" si="200"/>
        <v>2.2014252291837406E-2</v>
      </c>
      <c r="S3182" s="4">
        <f t="shared" si="200"/>
        <v>-1.4220487215878118E-2</v>
      </c>
      <c r="T3182" s="4">
        <f t="shared" si="200"/>
        <v>-1.4333274986176377E-2</v>
      </c>
      <c r="U3182" s="35"/>
      <c r="V3182" s="35"/>
      <c r="W3182" s="35"/>
      <c r="X3182" s="35"/>
    </row>
    <row r="3183" spans="4:24" x14ac:dyDescent="0.3">
      <c r="D3183" s="23">
        <v>44201</v>
      </c>
      <c r="E3183" s="5">
        <v>354.09655800000002</v>
      </c>
      <c r="F3183" s="28">
        <v>80.441599999999994</v>
      </c>
      <c r="G3183" s="28">
        <v>182.87</v>
      </c>
      <c r="H3183" s="28">
        <v>305.5761</v>
      </c>
      <c r="I3183" s="28">
        <v>184.25640000000001</v>
      </c>
      <c r="J3183" s="29"/>
      <c r="K3183" s="29"/>
      <c r="L3183" s="29"/>
      <c r="M3183" s="29"/>
      <c r="N3183" s="29"/>
      <c r="P3183" s="4">
        <f t="shared" si="200"/>
        <v>6.8636067771612515E-3</v>
      </c>
      <c r="Q3183" s="4">
        <f t="shared" si="200"/>
        <v>-1.7046287195862295E-3</v>
      </c>
      <c r="R3183" s="4">
        <f t="shared" si="200"/>
        <v>2.9572858354283628E-3</v>
      </c>
      <c r="S3183" s="4">
        <f t="shared" si="200"/>
        <v>8.2102990458405682E-3</v>
      </c>
      <c r="T3183" s="4">
        <f t="shared" si="200"/>
        <v>8.0455691419297412E-3</v>
      </c>
      <c r="U3183" s="35"/>
      <c r="V3183" s="35"/>
      <c r="W3183" s="35"/>
      <c r="X3183" s="35"/>
    </row>
    <row r="3184" spans="4:24" x14ac:dyDescent="0.3">
      <c r="D3184" s="23">
        <v>44202</v>
      </c>
      <c r="E3184" s="5">
        <v>356.21356200000002</v>
      </c>
      <c r="F3184" s="28">
        <v>80.084760000000003</v>
      </c>
      <c r="G3184" s="28">
        <v>179.9</v>
      </c>
      <c r="H3184" s="28">
        <v>301.34309999999999</v>
      </c>
      <c r="I3184" s="28">
        <v>185.91399999999999</v>
      </c>
      <c r="J3184" s="29"/>
      <c r="K3184" s="29"/>
      <c r="L3184" s="29"/>
      <c r="M3184" s="29"/>
      <c r="N3184" s="29"/>
      <c r="P3184" s="4">
        <f t="shared" si="200"/>
        <v>5.9608055937725541E-3</v>
      </c>
      <c r="Q3184" s="4">
        <f t="shared" si="200"/>
        <v>-4.4458815084408698E-3</v>
      </c>
      <c r="R3184" s="4">
        <f t="shared" si="200"/>
        <v>-1.6374376930054148E-2</v>
      </c>
      <c r="S3184" s="4">
        <f t="shared" si="200"/>
        <v>-1.3949364724520918E-2</v>
      </c>
      <c r="T3184" s="4">
        <f t="shared" si="200"/>
        <v>8.9559353178479649E-3</v>
      </c>
      <c r="U3184" s="35"/>
      <c r="V3184" s="35"/>
      <c r="W3184" s="35"/>
      <c r="X3184" s="35"/>
    </row>
    <row r="3185" spans="4:24" x14ac:dyDescent="0.3">
      <c r="D3185" s="23">
        <v>44203</v>
      </c>
      <c r="E3185" s="5">
        <v>361.50598100000002</v>
      </c>
      <c r="F3185" s="28">
        <v>79.920069999999996</v>
      </c>
      <c r="G3185" s="28">
        <v>179.48</v>
      </c>
      <c r="H3185" s="28">
        <v>308.63330000000002</v>
      </c>
      <c r="I3185" s="28">
        <v>188.89570000000001</v>
      </c>
      <c r="J3185" s="29"/>
      <c r="K3185" s="29"/>
      <c r="L3185" s="29"/>
      <c r="M3185" s="29"/>
      <c r="N3185" s="29"/>
      <c r="P3185" s="4">
        <f t="shared" si="200"/>
        <v>1.474814216711795E-2</v>
      </c>
      <c r="Q3185" s="4">
        <f t="shared" si="200"/>
        <v>-2.0585635840953968E-3</v>
      </c>
      <c r="R3185" s="4">
        <f t="shared" si="200"/>
        <v>-2.3373598487049269E-3</v>
      </c>
      <c r="S3185" s="4">
        <f t="shared" si="200"/>
        <v>2.3904358079611828E-2</v>
      </c>
      <c r="T3185" s="4">
        <f t="shared" si="200"/>
        <v>1.5910809683640288E-2</v>
      </c>
      <c r="U3185" s="35"/>
      <c r="V3185" s="35"/>
      <c r="W3185" s="35"/>
      <c r="X3185" s="35"/>
    </row>
    <row r="3186" spans="4:24" x14ac:dyDescent="0.3">
      <c r="D3186" s="23">
        <v>44204</v>
      </c>
      <c r="E3186" s="5">
        <v>363.56564300000002</v>
      </c>
      <c r="F3186" s="28">
        <v>79.846890000000002</v>
      </c>
      <c r="G3186" s="28">
        <v>173.34</v>
      </c>
      <c r="H3186" s="28">
        <v>312.60160000000002</v>
      </c>
      <c r="I3186" s="28">
        <v>189.81020000000001</v>
      </c>
      <c r="J3186" s="29"/>
      <c r="K3186" s="29"/>
      <c r="L3186" s="29"/>
      <c r="M3186" s="29"/>
      <c r="N3186" s="29"/>
      <c r="P3186" s="4">
        <f t="shared" si="200"/>
        <v>5.6812802260854034E-3</v>
      </c>
      <c r="Q3186" s="4">
        <f t="shared" si="200"/>
        <v>-9.1608434081460847E-4</v>
      </c>
      <c r="R3186" s="4">
        <f t="shared" si="200"/>
        <v>-3.4808797401583616E-2</v>
      </c>
      <c r="S3186" s="4">
        <f t="shared" si="200"/>
        <v>1.277569555353982E-2</v>
      </c>
      <c r="T3186" s="4">
        <f t="shared" si="200"/>
        <v>4.8296146300979012E-3</v>
      </c>
      <c r="U3186" s="35"/>
      <c r="V3186" s="35"/>
      <c r="W3186" s="35"/>
      <c r="X3186" s="35"/>
    </row>
    <row r="3187" spans="4:24" x14ac:dyDescent="0.3">
      <c r="D3187" s="23">
        <v>44207</v>
      </c>
      <c r="E3187" s="5">
        <v>361.11498999999998</v>
      </c>
      <c r="F3187" s="28">
        <v>79.764529999999993</v>
      </c>
      <c r="G3187" s="28">
        <v>173</v>
      </c>
      <c r="H3187" s="28">
        <v>308.08449999999999</v>
      </c>
      <c r="I3187" s="28">
        <v>188.67660000000001</v>
      </c>
      <c r="J3187" s="29"/>
      <c r="K3187" s="29"/>
      <c r="L3187" s="29"/>
      <c r="M3187" s="29"/>
      <c r="N3187" s="29"/>
      <c r="P3187" s="4">
        <f t="shared" si="200"/>
        <v>-6.7634271712939615E-3</v>
      </c>
      <c r="Q3187" s="4">
        <f t="shared" si="200"/>
        <v>-1.0320064480313304E-3</v>
      </c>
      <c r="R3187" s="4">
        <f t="shared" si="200"/>
        <v>-1.9633892084199131E-3</v>
      </c>
      <c r="S3187" s="4">
        <f t="shared" si="200"/>
        <v>-1.4555440340734098E-2</v>
      </c>
      <c r="T3187" s="4">
        <f t="shared" si="200"/>
        <v>-5.9901871858319151E-3</v>
      </c>
      <c r="U3187" s="35"/>
      <c r="V3187" s="35"/>
      <c r="W3187" s="35"/>
      <c r="X3187" s="35"/>
    </row>
    <row r="3188" spans="4:24" x14ac:dyDescent="0.3">
      <c r="D3188" s="23">
        <v>44208</v>
      </c>
      <c r="E3188" s="5">
        <v>361.19134500000001</v>
      </c>
      <c r="F3188" s="28">
        <v>79.746250000000003</v>
      </c>
      <c r="G3188" s="28">
        <v>174.12</v>
      </c>
      <c r="H3188" s="28">
        <v>307.59460000000001</v>
      </c>
      <c r="I3188" s="28">
        <v>189.3434</v>
      </c>
      <c r="J3188" s="29"/>
      <c r="K3188" s="29"/>
      <c r="L3188" s="29"/>
      <c r="M3188" s="29"/>
      <c r="N3188" s="29"/>
      <c r="P3188" s="4">
        <f t="shared" si="200"/>
        <v>2.1141999338668052E-4</v>
      </c>
      <c r="Q3188" s="4">
        <f t="shared" si="200"/>
        <v>-2.2920081113033061E-4</v>
      </c>
      <c r="R3188" s="4">
        <f t="shared" si="200"/>
        <v>6.4531221863178383E-3</v>
      </c>
      <c r="S3188" s="4">
        <f t="shared" si="200"/>
        <v>-1.591413784854064E-3</v>
      </c>
      <c r="T3188" s="4">
        <f t="shared" si="200"/>
        <v>3.527859327924428E-3</v>
      </c>
      <c r="U3188" s="35"/>
      <c r="V3188" s="35"/>
      <c r="W3188" s="35"/>
      <c r="X3188" s="35"/>
    </row>
    <row r="3189" spans="4:24" x14ac:dyDescent="0.3">
      <c r="D3189" s="23">
        <v>44209</v>
      </c>
      <c r="E3189" s="5">
        <v>362.16390999999999</v>
      </c>
      <c r="F3189" s="28">
        <v>79.956680000000006</v>
      </c>
      <c r="G3189" s="28">
        <v>173.37</v>
      </c>
      <c r="H3189" s="28">
        <v>309.67189999999999</v>
      </c>
      <c r="I3189" s="28">
        <v>189.553</v>
      </c>
      <c r="J3189" s="29"/>
      <c r="K3189" s="29"/>
      <c r="L3189" s="29"/>
      <c r="M3189" s="29"/>
      <c r="N3189" s="29"/>
      <c r="P3189" s="4">
        <f t="shared" ref="P3189:T3204" si="201">LN(E3189/E3188)</f>
        <v>2.6890399408134444E-3</v>
      </c>
      <c r="Q3189" s="4">
        <f t="shared" si="201"/>
        <v>2.6352693939944083E-3</v>
      </c>
      <c r="R3189" s="4">
        <f t="shared" si="201"/>
        <v>-4.3166776863004953E-3</v>
      </c>
      <c r="S3189" s="4">
        <f t="shared" si="201"/>
        <v>6.7306676844712011E-3</v>
      </c>
      <c r="T3189" s="4">
        <f t="shared" si="201"/>
        <v>1.1063711419807376E-3</v>
      </c>
      <c r="U3189" s="35"/>
      <c r="V3189" s="35"/>
      <c r="W3189" s="35"/>
      <c r="X3189" s="35"/>
    </row>
    <row r="3190" spans="4:24" x14ac:dyDescent="0.3">
      <c r="D3190" s="23">
        <v>44210</v>
      </c>
      <c r="E3190" s="5">
        <v>360.895691</v>
      </c>
      <c r="F3190" s="28">
        <v>79.856039999999993</v>
      </c>
      <c r="G3190" s="28">
        <v>173.28</v>
      </c>
      <c r="H3190" s="28">
        <v>308.01589999999999</v>
      </c>
      <c r="I3190" s="28">
        <v>189.37200000000001</v>
      </c>
      <c r="J3190" s="29"/>
      <c r="K3190" s="29"/>
      <c r="L3190" s="29"/>
      <c r="M3190" s="29"/>
      <c r="N3190" s="29"/>
      <c r="P3190" s="4">
        <f t="shared" si="201"/>
        <v>-3.5079274205260056E-3</v>
      </c>
      <c r="Q3190" s="4">
        <f t="shared" si="201"/>
        <v>-1.2594743810577123E-3</v>
      </c>
      <c r="R3190" s="4">
        <f t="shared" si="201"/>
        <v>-5.1925574511584309E-4</v>
      </c>
      <c r="S3190" s="4">
        <f t="shared" si="201"/>
        <v>-5.3619448775274617E-3</v>
      </c>
      <c r="T3190" s="4">
        <f t="shared" si="201"/>
        <v>-9.5533424168891298E-4</v>
      </c>
      <c r="U3190" s="35"/>
      <c r="V3190" s="35"/>
      <c r="W3190" s="35"/>
      <c r="X3190" s="35"/>
    </row>
    <row r="3191" spans="4:24" x14ac:dyDescent="0.3">
      <c r="D3191" s="23">
        <v>44211</v>
      </c>
      <c r="E3191" s="5">
        <v>358.26379400000002</v>
      </c>
      <c r="F3191" s="28">
        <v>79.920069999999996</v>
      </c>
      <c r="G3191" s="28">
        <v>171.13</v>
      </c>
      <c r="H3191" s="28">
        <v>305.5761</v>
      </c>
      <c r="I3191" s="28">
        <v>187.72399999999999</v>
      </c>
      <c r="J3191" s="29"/>
      <c r="K3191" s="29"/>
      <c r="L3191" s="29"/>
      <c r="M3191" s="29"/>
      <c r="N3191" s="29"/>
      <c r="P3191" s="4">
        <f t="shared" si="201"/>
        <v>-7.3194021768801642E-3</v>
      </c>
      <c r="Q3191" s="4">
        <f t="shared" si="201"/>
        <v>8.014965870395827E-4</v>
      </c>
      <c r="R3191" s="4">
        <f t="shared" si="201"/>
        <v>-1.248528166332007E-2</v>
      </c>
      <c r="S3191" s="4">
        <f t="shared" si="201"/>
        <v>-7.9525575899861475E-3</v>
      </c>
      <c r="T3191" s="4">
        <f t="shared" si="201"/>
        <v>-8.7405355232407951E-3</v>
      </c>
      <c r="U3191" s="35"/>
      <c r="V3191" s="35"/>
      <c r="W3191" s="35"/>
      <c r="X3191" s="35"/>
    </row>
    <row r="3192" spans="4:24" x14ac:dyDescent="0.3">
      <c r="D3192" s="23">
        <v>44215</v>
      </c>
      <c r="E3192" s="5">
        <v>361.07687399999998</v>
      </c>
      <c r="F3192" s="28">
        <v>80.029849999999996</v>
      </c>
      <c r="G3192" s="28">
        <v>172.58</v>
      </c>
      <c r="H3192" s="28">
        <v>310.03440000000001</v>
      </c>
      <c r="I3192" s="28">
        <v>189.43870000000001</v>
      </c>
      <c r="J3192" s="29"/>
      <c r="K3192" s="29"/>
      <c r="L3192" s="29"/>
      <c r="M3192" s="29"/>
      <c r="N3192" s="29"/>
      <c r="P3192" s="4">
        <f t="shared" si="201"/>
        <v>7.8213132260999216E-3</v>
      </c>
      <c r="Q3192" s="4">
        <f t="shared" si="201"/>
        <v>1.3726798642694524E-3</v>
      </c>
      <c r="R3192" s="4">
        <f t="shared" si="201"/>
        <v>8.4373954908011292E-3</v>
      </c>
      <c r="S3192" s="4">
        <f t="shared" si="201"/>
        <v>1.4484411636891938E-2</v>
      </c>
      <c r="T3192" s="4">
        <f t="shared" si="201"/>
        <v>9.0926903102586665E-3</v>
      </c>
      <c r="U3192" s="35"/>
      <c r="V3192" s="35"/>
      <c r="W3192" s="35"/>
      <c r="X3192" s="35"/>
    </row>
    <row r="3193" spans="4:24" x14ac:dyDescent="0.3">
      <c r="D3193" s="23">
        <v>44216</v>
      </c>
      <c r="E3193" s="5">
        <v>366.073669</v>
      </c>
      <c r="F3193" s="28">
        <v>80.020700000000005</v>
      </c>
      <c r="G3193" s="28">
        <v>175.39</v>
      </c>
      <c r="H3193" s="28">
        <v>317.24610000000001</v>
      </c>
      <c r="I3193" s="28">
        <v>191.82980000000001</v>
      </c>
      <c r="J3193" s="29"/>
      <c r="K3193" s="29"/>
      <c r="L3193" s="29"/>
      <c r="M3193" s="29"/>
      <c r="N3193" s="29"/>
      <c r="P3193" s="4">
        <f t="shared" si="201"/>
        <v>1.3743711536514663E-2</v>
      </c>
      <c r="Q3193" s="4">
        <f t="shared" si="201"/>
        <v>-1.1433887618584908E-4</v>
      </c>
      <c r="R3193" s="4">
        <f t="shared" si="201"/>
        <v>1.6151168689884976E-2</v>
      </c>
      <c r="S3193" s="4">
        <f t="shared" si="201"/>
        <v>2.2994554310064769E-2</v>
      </c>
      <c r="T3193" s="4">
        <f t="shared" si="201"/>
        <v>1.25430312168961E-2</v>
      </c>
      <c r="U3193" s="35"/>
      <c r="V3193" s="35"/>
      <c r="W3193" s="35"/>
      <c r="X3193" s="35"/>
    </row>
    <row r="3194" spans="4:24" x14ac:dyDescent="0.3">
      <c r="D3194" s="23">
        <v>44217</v>
      </c>
      <c r="E3194" s="5">
        <v>366.40747099999999</v>
      </c>
      <c r="F3194" s="28">
        <v>79.910929999999993</v>
      </c>
      <c r="G3194" s="28">
        <v>175.28</v>
      </c>
      <c r="H3194" s="28">
        <v>319.78390000000002</v>
      </c>
      <c r="I3194" s="28">
        <v>191.68690000000001</v>
      </c>
      <c r="J3194" s="29"/>
      <c r="K3194" s="29"/>
      <c r="L3194" s="29"/>
      <c r="M3194" s="29"/>
      <c r="N3194" s="29"/>
      <c r="P3194" s="4">
        <f t="shared" si="201"/>
        <v>9.1142830819508972E-4</v>
      </c>
      <c r="Q3194" s="4">
        <f t="shared" si="201"/>
        <v>-1.3727117923701181E-3</v>
      </c>
      <c r="R3194" s="4">
        <f t="shared" si="201"/>
        <v>-6.2737048283526085E-4</v>
      </c>
      <c r="S3194" s="4">
        <f t="shared" si="201"/>
        <v>7.9676417928480295E-3</v>
      </c>
      <c r="T3194" s="4">
        <f t="shared" si="201"/>
        <v>-7.4520878289327118E-4</v>
      </c>
      <c r="U3194" s="35"/>
      <c r="V3194" s="35"/>
      <c r="W3194" s="35"/>
      <c r="X3194" s="35"/>
    </row>
    <row r="3195" spans="4:24" x14ac:dyDescent="0.3">
      <c r="D3195" s="23">
        <v>44218</v>
      </c>
      <c r="E3195" s="5">
        <v>365.11059599999999</v>
      </c>
      <c r="F3195" s="28">
        <v>79.947509999999994</v>
      </c>
      <c r="G3195" s="28">
        <v>173.9</v>
      </c>
      <c r="H3195" s="28">
        <v>318.86290000000002</v>
      </c>
      <c r="I3195" s="28">
        <v>191.3725</v>
      </c>
      <c r="J3195" s="29"/>
      <c r="K3195" s="29"/>
      <c r="L3195" s="29"/>
      <c r="M3195" s="29"/>
      <c r="N3195" s="29"/>
      <c r="P3195" s="4">
        <f t="shared" si="201"/>
        <v>-3.5457124497807802E-3</v>
      </c>
      <c r="Q3195" s="4">
        <f t="shared" si="201"/>
        <v>4.5765491816970768E-4</v>
      </c>
      <c r="R3195" s="4">
        <f t="shared" si="201"/>
        <v>-7.9042739269737216E-3</v>
      </c>
      <c r="S3195" s="4">
        <f t="shared" si="201"/>
        <v>-2.884225329131556E-3</v>
      </c>
      <c r="T3195" s="4">
        <f t="shared" si="201"/>
        <v>-1.6415212397779821E-3</v>
      </c>
      <c r="U3195" s="35"/>
      <c r="V3195" s="35"/>
      <c r="W3195" s="35"/>
      <c r="X3195" s="35"/>
    </row>
    <row r="3196" spans="4:24" x14ac:dyDescent="0.3">
      <c r="D3196" s="23">
        <v>44221</v>
      </c>
      <c r="E3196" s="5">
        <v>366.55050699999998</v>
      </c>
      <c r="F3196" s="28">
        <v>80.130539999999996</v>
      </c>
      <c r="G3196" s="28">
        <v>174.05</v>
      </c>
      <c r="H3196" s="28">
        <v>321.49869999999999</v>
      </c>
      <c r="I3196" s="28">
        <v>191.91550000000001</v>
      </c>
      <c r="J3196" s="29"/>
      <c r="K3196" s="29"/>
      <c r="L3196" s="29"/>
      <c r="M3196" s="29"/>
      <c r="N3196" s="29"/>
      <c r="P3196" s="4">
        <f t="shared" si="201"/>
        <v>3.9360104098522062E-3</v>
      </c>
      <c r="Q3196" s="4">
        <f t="shared" si="201"/>
        <v>2.2867604866438286E-3</v>
      </c>
      <c r="R3196" s="4">
        <f t="shared" si="201"/>
        <v>8.6219289721054242E-4</v>
      </c>
      <c r="S3196" s="4">
        <f t="shared" si="201"/>
        <v>8.2322702851758134E-3</v>
      </c>
      <c r="T3196" s="4">
        <f t="shared" si="201"/>
        <v>2.833380451613389E-3</v>
      </c>
      <c r="U3196" s="35"/>
      <c r="V3196" s="35"/>
      <c r="W3196" s="35"/>
      <c r="X3196" s="35"/>
    </row>
    <row r="3197" spans="4:24" x14ac:dyDescent="0.3">
      <c r="D3197" s="23">
        <v>44222</v>
      </c>
      <c r="E3197" s="5">
        <v>365.97830199999999</v>
      </c>
      <c r="F3197" s="28">
        <v>80.121350000000007</v>
      </c>
      <c r="G3197" s="28">
        <v>173.62</v>
      </c>
      <c r="H3197" s="28">
        <v>321.96899999999999</v>
      </c>
      <c r="I3197" s="28">
        <v>191.2201</v>
      </c>
      <c r="J3197" s="29"/>
      <c r="K3197" s="29"/>
      <c r="L3197" s="29"/>
      <c r="M3197" s="29"/>
      <c r="N3197" s="29"/>
      <c r="P3197" s="4">
        <f t="shared" si="201"/>
        <v>-1.562273345024519E-3</v>
      </c>
      <c r="Q3197" s="4">
        <f t="shared" si="201"/>
        <v>-1.1469443524271769E-4</v>
      </c>
      <c r="R3197" s="4">
        <f t="shared" si="201"/>
        <v>-2.4736112937860598E-3</v>
      </c>
      <c r="S3197" s="4">
        <f t="shared" si="201"/>
        <v>1.4617674942917704E-3</v>
      </c>
      <c r="T3197" s="4">
        <f t="shared" si="201"/>
        <v>-3.6300503718390774E-3</v>
      </c>
      <c r="U3197" s="35"/>
      <c r="V3197" s="35"/>
      <c r="W3197" s="35"/>
      <c r="X3197" s="35"/>
    </row>
    <row r="3198" spans="4:24" x14ac:dyDescent="0.3">
      <c r="D3198" s="23">
        <v>44223</v>
      </c>
      <c r="E3198" s="5">
        <v>357.033661</v>
      </c>
      <c r="F3198" s="28">
        <v>80.121350000000007</v>
      </c>
      <c r="G3198" s="28">
        <v>172.52</v>
      </c>
      <c r="H3198" s="28">
        <v>312.99349999999998</v>
      </c>
      <c r="I3198" s="28">
        <v>186.6284</v>
      </c>
      <c r="J3198" s="29"/>
      <c r="K3198" s="29"/>
      <c r="L3198" s="29"/>
      <c r="M3198" s="29"/>
      <c r="N3198" s="29"/>
      <c r="P3198" s="4">
        <f t="shared" si="201"/>
        <v>-2.4743981640823306E-2</v>
      </c>
      <c r="Q3198" s="4">
        <f t="shared" si="201"/>
        <v>0</v>
      </c>
      <c r="R3198" s="4">
        <f t="shared" si="201"/>
        <v>-6.35583118401947E-3</v>
      </c>
      <c r="S3198" s="4">
        <f t="shared" si="201"/>
        <v>-2.8272844066554143E-2</v>
      </c>
      <c r="T3198" s="4">
        <f t="shared" si="201"/>
        <v>-2.4305646569299785E-2</v>
      </c>
      <c r="U3198" s="35"/>
      <c r="V3198" s="35"/>
      <c r="W3198" s="35"/>
      <c r="X3198" s="35"/>
    </row>
    <row r="3199" spans="4:24" x14ac:dyDescent="0.3">
      <c r="D3199" s="23">
        <v>44224</v>
      </c>
      <c r="E3199" s="5">
        <v>360.10418700000002</v>
      </c>
      <c r="F3199" s="28">
        <v>80.057320000000004</v>
      </c>
      <c r="G3199" s="28">
        <v>172.68</v>
      </c>
      <c r="H3199" s="28">
        <v>314.84550000000002</v>
      </c>
      <c r="I3199" s="28">
        <v>188.09549999999999</v>
      </c>
      <c r="J3199" s="29"/>
      <c r="K3199" s="29"/>
      <c r="L3199" s="29"/>
      <c r="M3199" s="29"/>
      <c r="N3199" s="29"/>
      <c r="P3199" s="4">
        <f t="shared" si="201"/>
        <v>8.5633320628131435E-3</v>
      </c>
      <c r="Q3199" s="4">
        <f t="shared" si="201"/>
        <v>-7.9948227077327578E-4</v>
      </c>
      <c r="R3199" s="4">
        <f t="shared" si="201"/>
        <v>9.269989076342521E-4</v>
      </c>
      <c r="S3199" s="4">
        <f t="shared" si="201"/>
        <v>5.8996187610072378E-3</v>
      </c>
      <c r="T3199" s="4">
        <f t="shared" si="201"/>
        <v>7.8303385301253109E-3</v>
      </c>
      <c r="U3199" s="35"/>
      <c r="V3199" s="35"/>
      <c r="W3199" s="35"/>
      <c r="X3199" s="35"/>
    </row>
    <row r="3200" spans="4:24" x14ac:dyDescent="0.3">
      <c r="D3200" s="23">
        <v>44225</v>
      </c>
      <c r="E3200" s="5">
        <v>352.89511099999999</v>
      </c>
      <c r="F3200" s="28">
        <v>79.993290000000002</v>
      </c>
      <c r="G3200" s="28">
        <v>172.61</v>
      </c>
      <c r="H3200" s="28">
        <v>308.2217</v>
      </c>
      <c r="I3200" s="28">
        <v>184.79939999999999</v>
      </c>
      <c r="J3200" s="29"/>
      <c r="K3200" s="29"/>
      <c r="L3200" s="29"/>
      <c r="M3200" s="29"/>
      <c r="N3200" s="29"/>
      <c r="P3200" s="4">
        <f t="shared" si="201"/>
        <v>-2.022252111065713E-2</v>
      </c>
      <c r="Q3200" s="4">
        <f t="shared" si="201"/>
        <v>-8.0012195412409645E-4</v>
      </c>
      <c r="R3200" s="4">
        <f t="shared" si="201"/>
        <v>-4.0545628867882548E-4</v>
      </c>
      <c r="S3200" s="4">
        <f t="shared" si="201"/>
        <v>-2.1262713079496565E-2</v>
      </c>
      <c r="T3200" s="4">
        <f t="shared" si="201"/>
        <v>-1.7678900126772083E-2</v>
      </c>
      <c r="U3200" s="35"/>
      <c r="V3200" s="35"/>
      <c r="W3200" s="35"/>
      <c r="X3200" s="35"/>
    </row>
    <row r="3201" spans="4:24" x14ac:dyDescent="0.3">
      <c r="D3201" s="23">
        <v>44228</v>
      </c>
      <c r="E3201" s="5">
        <v>358.76919600000002</v>
      </c>
      <c r="F3201" s="28">
        <v>80.019859999999994</v>
      </c>
      <c r="G3201" s="28">
        <v>174.23</v>
      </c>
      <c r="H3201" s="28">
        <v>315.92329999999998</v>
      </c>
      <c r="I3201" s="28">
        <v>187.95259999999999</v>
      </c>
      <c r="J3201" s="29"/>
      <c r="K3201" s="29"/>
      <c r="L3201" s="29"/>
      <c r="M3201" s="29"/>
      <c r="N3201" s="29"/>
      <c r="P3201" s="4">
        <f t="shared" si="201"/>
        <v>1.650839685394696E-2</v>
      </c>
      <c r="Q3201" s="4">
        <f t="shared" si="201"/>
        <v>3.3209770877193725E-4</v>
      </c>
      <c r="R3201" s="4">
        <f t="shared" si="201"/>
        <v>9.3415510362159088E-3</v>
      </c>
      <c r="S3201" s="4">
        <f t="shared" si="201"/>
        <v>2.4680133373420971E-2</v>
      </c>
      <c r="T3201" s="4">
        <f t="shared" si="201"/>
        <v>1.6918890931786622E-2</v>
      </c>
      <c r="U3201" s="35"/>
      <c r="V3201" s="35"/>
      <c r="W3201" s="35"/>
      <c r="X3201" s="35"/>
    </row>
    <row r="3202" spans="4:24" x14ac:dyDescent="0.3">
      <c r="D3202" s="23">
        <v>44229</v>
      </c>
      <c r="E3202" s="5">
        <v>363.84225500000002</v>
      </c>
      <c r="F3202" s="28">
        <v>79.91901</v>
      </c>
      <c r="G3202" s="28">
        <v>172.11</v>
      </c>
      <c r="H3202" s="28">
        <v>321.07729999999998</v>
      </c>
      <c r="I3202" s="28">
        <v>190.64850000000001</v>
      </c>
      <c r="J3202" s="29"/>
      <c r="K3202" s="29"/>
      <c r="L3202" s="29"/>
      <c r="M3202" s="29"/>
      <c r="N3202" s="29"/>
      <c r="P3202" s="4">
        <f t="shared" si="201"/>
        <v>1.4041134665943285E-2</v>
      </c>
      <c r="Q3202" s="4">
        <f t="shared" si="201"/>
        <v>-1.2611069887627339E-3</v>
      </c>
      <c r="R3202" s="4">
        <f t="shared" si="201"/>
        <v>-1.2242458152924391E-2</v>
      </c>
      <c r="S3202" s="4">
        <f t="shared" si="201"/>
        <v>1.6182441502507177E-2</v>
      </c>
      <c r="T3202" s="4">
        <f t="shared" si="201"/>
        <v>1.424161507115484E-2</v>
      </c>
      <c r="U3202" s="35"/>
      <c r="V3202" s="35"/>
      <c r="W3202" s="35"/>
      <c r="X3202" s="35"/>
    </row>
    <row r="3203" spans="4:24" x14ac:dyDescent="0.3">
      <c r="D3203" s="23">
        <v>44230</v>
      </c>
      <c r="E3203" s="5">
        <v>364.12835699999999</v>
      </c>
      <c r="F3203" s="28">
        <v>79.781580000000005</v>
      </c>
      <c r="G3203" s="28">
        <v>171.85</v>
      </c>
      <c r="H3203" s="28">
        <v>319.80349999999999</v>
      </c>
      <c r="I3203" s="28">
        <v>190.93430000000001</v>
      </c>
      <c r="J3203" s="29"/>
      <c r="K3203" s="29"/>
      <c r="L3203" s="29"/>
      <c r="M3203" s="29"/>
      <c r="N3203" s="29"/>
      <c r="P3203" s="4">
        <f t="shared" si="201"/>
        <v>7.860262763749417E-4</v>
      </c>
      <c r="Q3203" s="4">
        <f t="shared" si="201"/>
        <v>-1.7210961327602569E-3</v>
      </c>
      <c r="R3203" s="4">
        <f t="shared" si="201"/>
        <v>-1.5118039860466245E-3</v>
      </c>
      <c r="S3203" s="4">
        <f t="shared" si="201"/>
        <v>-3.9751594286190012E-3</v>
      </c>
      <c r="T3203" s="4">
        <f t="shared" si="201"/>
        <v>1.4979713626644114E-3</v>
      </c>
      <c r="U3203" s="35"/>
      <c r="V3203" s="35"/>
      <c r="W3203" s="35"/>
      <c r="X3203" s="35"/>
    </row>
    <row r="3204" spans="4:24" x14ac:dyDescent="0.3">
      <c r="D3204" s="23">
        <v>44231</v>
      </c>
      <c r="E3204" s="5">
        <v>368.26696800000002</v>
      </c>
      <c r="F3204" s="28">
        <v>79.799909999999997</v>
      </c>
      <c r="G3204" s="28">
        <v>168.15</v>
      </c>
      <c r="H3204" s="28">
        <v>323.58580000000001</v>
      </c>
      <c r="I3204" s="28">
        <v>193.35400000000001</v>
      </c>
      <c r="J3204" s="29"/>
      <c r="K3204" s="29"/>
      <c r="L3204" s="29"/>
      <c r="M3204" s="29"/>
      <c r="N3204" s="29"/>
      <c r="P3204" s="4">
        <f t="shared" si="201"/>
        <v>1.1301697075700973E-2</v>
      </c>
      <c r="Q3204" s="4">
        <f t="shared" si="201"/>
        <v>2.2972589215214788E-4</v>
      </c>
      <c r="R3204" s="4">
        <f t="shared" si="201"/>
        <v>-2.1765565109564178E-2</v>
      </c>
      <c r="S3204" s="4">
        <f t="shared" si="201"/>
        <v>1.1757558206363558E-2</v>
      </c>
      <c r="T3204" s="4">
        <f t="shared" si="201"/>
        <v>1.2593315896378269E-2</v>
      </c>
      <c r="U3204" s="35"/>
      <c r="V3204" s="35"/>
      <c r="W3204" s="35"/>
      <c r="X3204" s="35"/>
    </row>
    <row r="3205" spans="4:24" x14ac:dyDescent="0.3">
      <c r="D3205" s="23">
        <v>44232</v>
      </c>
      <c r="E3205" s="5">
        <v>369.71640000000002</v>
      </c>
      <c r="F3205" s="28">
        <v>79.689920000000001</v>
      </c>
      <c r="G3205" s="28">
        <v>169.81</v>
      </c>
      <c r="H3205" s="28">
        <v>324.6832</v>
      </c>
      <c r="I3205" s="28">
        <v>194.44</v>
      </c>
      <c r="J3205" s="29"/>
      <c r="K3205" s="29"/>
      <c r="L3205" s="29"/>
      <c r="M3205" s="29"/>
      <c r="N3205" s="29"/>
      <c r="P3205" s="4">
        <f t="shared" ref="P3205:T3220" si="202">LN(E3205/E3204)</f>
        <v>3.9280935765418626E-3</v>
      </c>
      <c r="Q3205" s="4">
        <f t="shared" si="202"/>
        <v>-1.379273116499291E-3</v>
      </c>
      <c r="R3205" s="4">
        <f t="shared" si="202"/>
        <v>9.8237267719311558E-3</v>
      </c>
      <c r="S3205" s="4">
        <f t="shared" si="202"/>
        <v>3.3856348159407293E-3</v>
      </c>
      <c r="T3205" s="4">
        <f t="shared" si="202"/>
        <v>5.600926466204529E-3</v>
      </c>
      <c r="U3205" s="35"/>
      <c r="V3205" s="35"/>
      <c r="W3205" s="35"/>
      <c r="X3205" s="35"/>
    </row>
    <row r="3206" spans="4:24" x14ac:dyDescent="0.3">
      <c r="D3206" s="23">
        <v>44235</v>
      </c>
      <c r="E3206" s="5">
        <v>372.38647500000002</v>
      </c>
      <c r="F3206" s="28">
        <v>79.781580000000005</v>
      </c>
      <c r="G3206" s="28">
        <v>171.52</v>
      </c>
      <c r="H3206" s="28">
        <v>326.85849999999999</v>
      </c>
      <c r="I3206" s="28">
        <v>196.1833</v>
      </c>
      <c r="J3206" s="29"/>
      <c r="K3206" s="29"/>
      <c r="L3206" s="29"/>
      <c r="M3206" s="29"/>
      <c r="N3206" s="29"/>
      <c r="P3206" s="4">
        <f t="shared" si="202"/>
        <v>7.1960010177954913E-3</v>
      </c>
      <c r="Q3206" s="4">
        <f t="shared" si="202"/>
        <v>1.1495472243473394E-3</v>
      </c>
      <c r="R3206" s="4">
        <f t="shared" si="202"/>
        <v>1.001971292422737E-2</v>
      </c>
      <c r="S3206" s="4">
        <f t="shared" si="202"/>
        <v>6.6774178311754164E-3</v>
      </c>
      <c r="T3206" s="4">
        <f t="shared" si="202"/>
        <v>8.9257941040122545E-3</v>
      </c>
      <c r="U3206" s="35"/>
      <c r="V3206" s="35"/>
      <c r="W3206" s="35"/>
      <c r="X3206" s="35"/>
    </row>
    <row r="3207" spans="4:24" x14ac:dyDescent="0.3">
      <c r="D3207" s="23">
        <v>44236</v>
      </c>
      <c r="E3207" s="5">
        <v>372.13851899999997</v>
      </c>
      <c r="F3207" s="28">
        <v>79.74494</v>
      </c>
      <c r="G3207" s="28">
        <v>172.08</v>
      </c>
      <c r="H3207" s="28">
        <v>326.78989999999999</v>
      </c>
      <c r="I3207" s="28">
        <v>196.2595</v>
      </c>
      <c r="J3207" s="29"/>
      <c r="K3207" s="29"/>
      <c r="L3207" s="29"/>
      <c r="M3207" s="29"/>
      <c r="N3207" s="29"/>
      <c r="P3207" s="4">
        <f t="shared" si="202"/>
        <v>-6.660784021104701E-4</v>
      </c>
      <c r="Q3207" s="4">
        <f t="shared" si="202"/>
        <v>-4.5935936726126361E-4</v>
      </c>
      <c r="R3207" s="4">
        <f t="shared" si="202"/>
        <v>3.2596070770373902E-3</v>
      </c>
      <c r="S3207" s="4">
        <f t="shared" si="202"/>
        <v>-2.0989877815620386E-4</v>
      </c>
      <c r="T3207" s="4">
        <f t="shared" si="202"/>
        <v>3.8833685295085727E-4</v>
      </c>
      <c r="U3207" s="35"/>
      <c r="V3207" s="35"/>
      <c r="W3207" s="35"/>
      <c r="X3207" s="35"/>
    </row>
    <row r="3208" spans="4:24" x14ac:dyDescent="0.3">
      <c r="D3208" s="23">
        <v>44237</v>
      </c>
      <c r="E3208" s="5">
        <v>371.97644000000003</v>
      </c>
      <c r="F3208" s="28">
        <v>79.87321</v>
      </c>
      <c r="G3208" s="28">
        <v>172.71</v>
      </c>
      <c r="H3208" s="28">
        <v>326.04509999999999</v>
      </c>
      <c r="I3208" s="28">
        <v>196.1737</v>
      </c>
      <c r="J3208" s="29"/>
      <c r="K3208" s="29"/>
      <c r="L3208" s="29"/>
      <c r="M3208" s="29"/>
      <c r="N3208" s="29"/>
      <c r="P3208" s="4">
        <f t="shared" si="202"/>
        <v>-4.3562893233843006E-4</v>
      </c>
      <c r="Q3208" s="4">
        <f t="shared" si="202"/>
        <v>1.6072110547764094E-3</v>
      </c>
      <c r="R3208" s="4">
        <f t="shared" si="202"/>
        <v>3.6544023963532768E-3</v>
      </c>
      <c r="S3208" s="4">
        <f t="shared" si="202"/>
        <v>-2.2817413990988997E-3</v>
      </c>
      <c r="T3208" s="4">
        <f t="shared" si="202"/>
        <v>-4.3727187897012578E-4</v>
      </c>
      <c r="U3208" s="35"/>
      <c r="V3208" s="35"/>
      <c r="W3208" s="35"/>
      <c r="X3208" s="35"/>
    </row>
    <row r="3209" spans="4:24" x14ac:dyDescent="0.3">
      <c r="D3209" s="23">
        <v>44238</v>
      </c>
      <c r="E3209" s="5">
        <v>372.57714800000002</v>
      </c>
      <c r="F3209" s="28">
        <v>79.79074</v>
      </c>
      <c r="G3209" s="28">
        <v>171.21</v>
      </c>
      <c r="H3209" s="28">
        <v>327.8383</v>
      </c>
      <c r="I3209" s="28">
        <v>196.6405</v>
      </c>
      <c r="J3209" s="29"/>
      <c r="K3209" s="29"/>
      <c r="L3209" s="29"/>
      <c r="M3209" s="29"/>
      <c r="N3209" s="29"/>
      <c r="P3209" s="4">
        <f t="shared" si="202"/>
        <v>1.6136061662222162E-3</v>
      </c>
      <c r="Q3209" s="4">
        <f t="shared" si="202"/>
        <v>-1.0330448086021764E-3</v>
      </c>
      <c r="R3209" s="4">
        <f t="shared" si="202"/>
        <v>-8.7230141391015283E-3</v>
      </c>
      <c r="S3209" s="4">
        <f t="shared" si="202"/>
        <v>5.4847836644227946E-3</v>
      </c>
      <c r="T3209" s="4">
        <f t="shared" si="202"/>
        <v>2.3766972769010031E-3</v>
      </c>
      <c r="U3209" s="35"/>
      <c r="V3209" s="35"/>
      <c r="W3209" s="35"/>
      <c r="X3209" s="35"/>
    </row>
    <row r="3210" spans="4:24" x14ac:dyDescent="0.3">
      <c r="D3210" s="23">
        <v>44239</v>
      </c>
      <c r="E3210" s="5">
        <v>374.41760299999999</v>
      </c>
      <c r="F3210" s="28">
        <v>79.579970000000003</v>
      </c>
      <c r="G3210" s="28">
        <v>170.69</v>
      </c>
      <c r="H3210" s="28">
        <v>329.67059999999998</v>
      </c>
      <c r="I3210" s="28">
        <v>197.65989999999999</v>
      </c>
      <c r="J3210" s="29"/>
      <c r="K3210" s="29"/>
      <c r="L3210" s="29"/>
      <c r="M3210" s="29"/>
      <c r="N3210" s="29"/>
      <c r="P3210" s="4">
        <f t="shared" si="202"/>
        <v>4.927634957626781E-3</v>
      </c>
      <c r="Q3210" s="4">
        <f t="shared" si="202"/>
        <v>-2.6450296027680847E-3</v>
      </c>
      <c r="R3210" s="4">
        <f t="shared" si="202"/>
        <v>-3.0418274404848886E-3</v>
      </c>
      <c r="S3210" s="4">
        <f t="shared" si="202"/>
        <v>5.573475106281145E-3</v>
      </c>
      <c r="T3210" s="4">
        <f t="shared" si="202"/>
        <v>5.1706884965058231E-3</v>
      </c>
      <c r="U3210" s="35"/>
      <c r="V3210" s="35"/>
      <c r="W3210" s="35"/>
      <c r="X3210" s="35"/>
    </row>
    <row r="3211" spans="4:24" x14ac:dyDescent="0.3">
      <c r="D3211" s="23">
        <v>44243</v>
      </c>
      <c r="E3211" s="5">
        <v>374.09335299999998</v>
      </c>
      <c r="F3211" s="28">
        <v>79.204260000000005</v>
      </c>
      <c r="G3211" s="28">
        <v>168.24</v>
      </c>
      <c r="H3211" s="28">
        <v>328.779</v>
      </c>
      <c r="I3211" s="28">
        <v>197.3074</v>
      </c>
      <c r="J3211" s="29"/>
      <c r="K3211" s="29"/>
      <c r="L3211" s="29"/>
      <c r="M3211" s="29"/>
      <c r="N3211" s="29"/>
      <c r="P3211" s="4">
        <f t="shared" si="202"/>
        <v>-8.6638683825105952E-4</v>
      </c>
      <c r="Q3211" s="4">
        <f t="shared" si="202"/>
        <v>-4.7323427669190348E-3</v>
      </c>
      <c r="R3211" s="4">
        <f t="shared" si="202"/>
        <v>-1.4457514381797144E-2</v>
      </c>
      <c r="S3211" s="4">
        <f t="shared" si="202"/>
        <v>-2.7081815979067363E-3</v>
      </c>
      <c r="T3211" s="4">
        <f t="shared" si="202"/>
        <v>-1.7849583679002627E-3</v>
      </c>
      <c r="U3211" s="35"/>
      <c r="V3211" s="35"/>
      <c r="W3211" s="35"/>
      <c r="X3211" s="35"/>
    </row>
    <row r="3212" spans="4:24" x14ac:dyDescent="0.3">
      <c r="D3212" s="23">
        <v>44244</v>
      </c>
      <c r="E3212" s="5">
        <v>374.17919899999998</v>
      </c>
      <c r="F3212" s="28">
        <v>79.369219999999999</v>
      </c>
      <c r="G3212" s="28">
        <v>166.33</v>
      </c>
      <c r="H3212" s="28">
        <v>327.20139999999998</v>
      </c>
      <c r="I3212" s="28">
        <v>196.89769999999999</v>
      </c>
      <c r="J3212" s="29"/>
      <c r="K3212" s="29"/>
      <c r="L3212" s="29"/>
      <c r="M3212" s="29"/>
      <c r="N3212" s="29"/>
      <c r="P3212" s="4">
        <f t="shared" si="202"/>
        <v>2.294511542543098E-4</v>
      </c>
      <c r="Q3212" s="4">
        <f t="shared" si="202"/>
        <v>2.0805504111413172E-3</v>
      </c>
      <c r="R3212" s="4">
        <f t="shared" si="202"/>
        <v>-1.1417764592000714E-2</v>
      </c>
      <c r="S3212" s="4">
        <f t="shared" si="202"/>
        <v>-4.809909081154834E-3</v>
      </c>
      <c r="T3212" s="4">
        <f t="shared" si="202"/>
        <v>-2.0786141402723401E-3</v>
      </c>
      <c r="U3212" s="35"/>
      <c r="V3212" s="35"/>
      <c r="W3212" s="35"/>
      <c r="X3212" s="35"/>
    </row>
    <row r="3213" spans="4:24" x14ac:dyDescent="0.3">
      <c r="D3213" s="23">
        <v>44245</v>
      </c>
      <c r="E3213" s="5">
        <v>372.58667000000003</v>
      </c>
      <c r="F3213" s="28">
        <v>79.32338</v>
      </c>
      <c r="G3213" s="28">
        <v>166.32</v>
      </c>
      <c r="H3213" s="28">
        <v>325.77080000000001</v>
      </c>
      <c r="I3213" s="28">
        <v>195.76410000000001</v>
      </c>
      <c r="J3213" s="29"/>
      <c r="K3213" s="29"/>
      <c r="L3213" s="29"/>
      <c r="M3213" s="29"/>
      <c r="N3213" s="29"/>
      <c r="P3213" s="4">
        <f t="shared" si="202"/>
        <v>-4.2651424772036971E-3</v>
      </c>
      <c r="Q3213" s="4">
        <f t="shared" si="202"/>
        <v>-5.7772071634051565E-4</v>
      </c>
      <c r="R3213" s="4">
        <f t="shared" si="202"/>
        <v>-6.0123252686173608E-5</v>
      </c>
      <c r="S3213" s="4">
        <f t="shared" si="202"/>
        <v>-4.3818168338475251E-3</v>
      </c>
      <c r="T3213" s="4">
        <f t="shared" si="202"/>
        <v>-5.7739415923111475E-3</v>
      </c>
      <c r="U3213" s="35"/>
      <c r="V3213" s="35"/>
      <c r="W3213" s="35"/>
      <c r="X3213" s="35"/>
    </row>
    <row r="3214" spans="4:24" x14ac:dyDescent="0.3">
      <c r="D3214" s="23">
        <v>44246</v>
      </c>
      <c r="E3214" s="5">
        <v>371.928741</v>
      </c>
      <c r="F3214" s="28">
        <v>79.048469999999995</v>
      </c>
      <c r="G3214" s="28">
        <v>167.01</v>
      </c>
      <c r="H3214" s="28">
        <v>324.35000000000002</v>
      </c>
      <c r="I3214" s="28">
        <v>196.21190000000001</v>
      </c>
      <c r="J3214" s="29"/>
      <c r="K3214" s="29"/>
      <c r="L3214" s="29"/>
      <c r="M3214" s="29"/>
      <c r="N3214" s="29"/>
      <c r="P3214" s="4">
        <f t="shared" si="202"/>
        <v>-1.7674024245685632E-3</v>
      </c>
      <c r="Q3214" s="4">
        <f t="shared" si="202"/>
        <v>-3.4717063179888481E-3</v>
      </c>
      <c r="R3214" s="4">
        <f t="shared" si="202"/>
        <v>4.1400473137686916E-3</v>
      </c>
      <c r="S3214" s="4">
        <f t="shared" si="202"/>
        <v>-4.3708869551325E-3</v>
      </c>
      <c r="T3214" s="4">
        <f t="shared" si="202"/>
        <v>2.2848347593247224E-3</v>
      </c>
      <c r="U3214" s="35"/>
      <c r="V3214" s="35"/>
      <c r="W3214" s="35"/>
      <c r="X3214" s="35"/>
    </row>
    <row r="3215" spans="4:24" x14ac:dyDescent="0.3">
      <c r="D3215" s="23">
        <v>44249</v>
      </c>
      <c r="E3215" s="5">
        <v>369.06793199999998</v>
      </c>
      <c r="F3215" s="28">
        <v>78.828550000000007</v>
      </c>
      <c r="G3215" s="28">
        <v>169.51</v>
      </c>
      <c r="H3215" s="28">
        <v>315.94290000000001</v>
      </c>
      <c r="I3215" s="28">
        <v>194.34469999999999</v>
      </c>
      <c r="J3215" s="29"/>
      <c r="K3215" s="29"/>
      <c r="L3215" s="29"/>
      <c r="M3215" s="29"/>
      <c r="N3215" s="29"/>
      <c r="P3215" s="4">
        <f t="shared" si="202"/>
        <v>-7.7215548146269582E-3</v>
      </c>
      <c r="Q3215" s="4">
        <f t="shared" si="202"/>
        <v>-2.7859677392507803E-3</v>
      </c>
      <c r="R3215" s="4">
        <f t="shared" si="202"/>
        <v>1.4858231266868881E-2</v>
      </c>
      <c r="S3215" s="4">
        <f t="shared" si="202"/>
        <v>-2.6261678602209675E-2</v>
      </c>
      <c r="T3215" s="4">
        <f t="shared" si="202"/>
        <v>-9.5618111495815259E-3</v>
      </c>
      <c r="U3215" s="35"/>
      <c r="V3215" s="35"/>
      <c r="W3215" s="35"/>
      <c r="X3215" s="35"/>
    </row>
    <row r="3216" spans="4:24" x14ac:dyDescent="0.3">
      <c r="D3216" s="23">
        <v>44250</v>
      </c>
      <c r="E3216" s="5">
        <v>369.51617399999998</v>
      </c>
      <c r="F3216" s="28">
        <v>78.810190000000006</v>
      </c>
      <c r="G3216" s="28">
        <v>169.12</v>
      </c>
      <c r="H3216" s="28">
        <v>315.00220000000002</v>
      </c>
      <c r="I3216" s="28">
        <v>194.31610000000001</v>
      </c>
      <c r="J3216" s="29"/>
      <c r="K3216" s="29"/>
      <c r="L3216" s="29"/>
      <c r="M3216" s="29"/>
      <c r="N3216" s="29"/>
      <c r="P3216" s="4">
        <f t="shared" si="202"/>
        <v>1.2137874383995482E-3</v>
      </c>
      <c r="Q3216" s="4">
        <f t="shared" si="202"/>
        <v>-2.3293766599528738E-4</v>
      </c>
      <c r="R3216" s="4">
        <f t="shared" si="202"/>
        <v>-2.3034000084673398E-3</v>
      </c>
      <c r="S3216" s="4">
        <f t="shared" si="202"/>
        <v>-2.9818781286264223E-3</v>
      </c>
      <c r="T3216" s="4">
        <f t="shared" si="202"/>
        <v>-1.4717203305095067E-4</v>
      </c>
      <c r="U3216" s="35"/>
      <c r="V3216" s="35"/>
      <c r="W3216" s="35"/>
      <c r="X3216" s="35"/>
    </row>
    <row r="3217" spans="4:24" x14ac:dyDescent="0.3">
      <c r="D3217" s="23">
        <v>44251</v>
      </c>
      <c r="E3217" s="5">
        <v>373.58795199999997</v>
      </c>
      <c r="F3217" s="28">
        <v>78.764380000000003</v>
      </c>
      <c r="G3217" s="28">
        <v>169</v>
      </c>
      <c r="H3217" s="28">
        <v>317.59890000000001</v>
      </c>
      <c r="I3217" s="28">
        <v>196.49760000000001</v>
      </c>
      <c r="J3217" s="29"/>
      <c r="K3217" s="29"/>
      <c r="L3217" s="29"/>
      <c r="M3217" s="29"/>
      <c r="N3217" s="29"/>
      <c r="P3217" s="4">
        <f t="shared" si="202"/>
        <v>1.0958945344666819E-2</v>
      </c>
      <c r="Q3217" s="4">
        <f t="shared" si="202"/>
        <v>-5.8143901380264458E-4</v>
      </c>
      <c r="R3217" s="4">
        <f t="shared" si="202"/>
        <v>-7.0980719885401129E-4</v>
      </c>
      <c r="S3217" s="4">
        <f t="shared" si="202"/>
        <v>8.209642962684045E-3</v>
      </c>
      <c r="T3217" s="4">
        <f t="shared" si="202"/>
        <v>1.1164002989406585E-2</v>
      </c>
      <c r="U3217" s="35"/>
      <c r="V3217" s="35"/>
      <c r="W3217" s="35"/>
      <c r="X3217" s="35"/>
    </row>
    <row r="3218" spans="4:24" x14ac:dyDescent="0.3">
      <c r="D3218" s="23">
        <v>44252</v>
      </c>
      <c r="E3218" s="5">
        <v>364.58609000000001</v>
      </c>
      <c r="F3218" s="28">
        <v>78.077089999999998</v>
      </c>
      <c r="G3218" s="28">
        <v>165.82</v>
      </c>
      <c r="H3218" s="28">
        <v>306.52659999999997</v>
      </c>
      <c r="I3218" s="28">
        <v>191.363</v>
      </c>
      <c r="J3218" s="29"/>
      <c r="K3218" s="29"/>
      <c r="L3218" s="29"/>
      <c r="M3218" s="29"/>
      <c r="N3218" s="29"/>
      <c r="P3218" s="4">
        <f t="shared" si="202"/>
        <v>-2.4390747322706227E-2</v>
      </c>
      <c r="Q3218" s="4">
        <f t="shared" si="202"/>
        <v>-8.7641922673152451E-3</v>
      </c>
      <c r="R3218" s="4">
        <f t="shared" si="202"/>
        <v>-1.8995852235000884E-2</v>
      </c>
      <c r="S3218" s="4">
        <f t="shared" si="202"/>
        <v>-3.5484727983458648E-2</v>
      </c>
      <c r="T3218" s="4">
        <f t="shared" si="202"/>
        <v>-2.6478069597364536E-2</v>
      </c>
      <c r="U3218" s="35"/>
      <c r="V3218" s="35"/>
      <c r="W3218" s="35"/>
      <c r="X3218" s="35"/>
    </row>
    <row r="3219" spans="4:24" x14ac:dyDescent="0.3">
      <c r="D3219" s="23">
        <v>44253</v>
      </c>
      <c r="E3219" s="5">
        <v>362.70748900000001</v>
      </c>
      <c r="F3219" s="28">
        <v>78.755200000000002</v>
      </c>
      <c r="G3219" s="28">
        <v>161.81</v>
      </c>
      <c r="H3219" s="28">
        <v>307.81020000000001</v>
      </c>
      <c r="I3219" s="28">
        <v>190.6009</v>
      </c>
      <c r="J3219" s="29"/>
      <c r="K3219" s="29"/>
      <c r="L3219" s="29"/>
      <c r="M3219" s="29"/>
      <c r="N3219" s="29"/>
      <c r="P3219" s="4">
        <f t="shared" si="202"/>
        <v>-5.1660161239051733E-3</v>
      </c>
      <c r="Q3219" s="4">
        <f t="shared" si="202"/>
        <v>8.6476353286743472E-3</v>
      </c>
      <c r="R3219" s="4">
        <f t="shared" si="202"/>
        <v>-2.448005527635588E-2</v>
      </c>
      <c r="S3219" s="4">
        <f t="shared" si="202"/>
        <v>4.1788213498198303E-3</v>
      </c>
      <c r="T3219" s="4">
        <f t="shared" si="202"/>
        <v>-3.9904347572066482E-3</v>
      </c>
      <c r="U3219" s="35"/>
      <c r="V3219" s="35"/>
      <c r="W3219" s="35"/>
      <c r="X3219" s="35"/>
    </row>
    <row r="3220" spans="4:24" x14ac:dyDescent="0.3">
      <c r="D3220" s="23">
        <v>44256</v>
      </c>
      <c r="E3220" s="5">
        <v>371.499573</v>
      </c>
      <c r="F3220" s="28">
        <v>78.65334</v>
      </c>
      <c r="G3220" s="28">
        <v>161.53</v>
      </c>
      <c r="H3220" s="28">
        <v>317.06970000000001</v>
      </c>
      <c r="I3220" s="28">
        <v>195.4974</v>
      </c>
      <c r="J3220" s="29"/>
      <c r="K3220" s="29"/>
      <c r="L3220" s="29"/>
      <c r="M3220" s="29"/>
      <c r="N3220" s="29"/>
      <c r="P3220" s="4">
        <f t="shared" si="202"/>
        <v>2.3951020768724872E-2</v>
      </c>
      <c r="Q3220" s="4">
        <f t="shared" si="202"/>
        <v>-1.2942120448843962E-3</v>
      </c>
      <c r="R3220" s="4">
        <f t="shared" si="202"/>
        <v>-1.731923486049967E-3</v>
      </c>
      <c r="S3220" s="4">
        <f t="shared" si="202"/>
        <v>2.9638264268336736E-2</v>
      </c>
      <c r="T3220" s="4">
        <f t="shared" si="202"/>
        <v>2.5365366964549798E-2</v>
      </c>
      <c r="U3220" s="35"/>
      <c r="V3220" s="35"/>
      <c r="W3220" s="35"/>
      <c r="X3220" s="35"/>
    </row>
    <row r="3221" spans="4:24" x14ac:dyDescent="0.3">
      <c r="D3221" s="23">
        <v>44257</v>
      </c>
      <c r="E3221" s="5">
        <v>368.60067700000002</v>
      </c>
      <c r="F3221" s="28">
        <v>78.644170000000003</v>
      </c>
      <c r="G3221" s="28">
        <v>162.41</v>
      </c>
      <c r="H3221" s="28">
        <v>311.98430000000002</v>
      </c>
      <c r="I3221" s="28">
        <v>193.65880000000001</v>
      </c>
      <c r="J3221" s="29"/>
      <c r="K3221" s="29"/>
      <c r="L3221" s="29"/>
      <c r="M3221" s="29"/>
      <c r="N3221" s="29"/>
      <c r="P3221" s="4">
        <f t="shared" ref="P3221:T3236" si="203">LN(E3221/E3220)</f>
        <v>-7.8338328494426072E-3</v>
      </c>
      <c r="Q3221" s="4">
        <f t="shared" si="203"/>
        <v>-1.1659434418751355E-4</v>
      </c>
      <c r="R3221" s="4">
        <f t="shared" si="203"/>
        <v>5.4331182608448065E-3</v>
      </c>
      <c r="S3221" s="4">
        <f t="shared" si="203"/>
        <v>-1.6168757495067874E-2</v>
      </c>
      <c r="T3221" s="4">
        <f t="shared" si="203"/>
        <v>-9.4492323667883203E-3</v>
      </c>
      <c r="U3221" s="35"/>
      <c r="V3221" s="35"/>
      <c r="W3221" s="35"/>
      <c r="X3221" s="35"/>
    </row>
    <row r="3222" spans="4:24" x14ac:dyDescent="0.3">
      <c r="D3222" s="23">
        <v>44258</v>
      </c>
      <c r="E3222" s="5">
        <v>363.71835299999998</v>
      </c>
      <c r="F3222" s="28">
        <v>78.396370000000005</v>
      </c>
      <c r="G3222" s="28">
        <v>160.62</v>
      </c>
      <c r="H3222" s="28">
        <v>302.93049999999999</v>
      </c>
      <c r="I3222" s="28">
        <v>190.86760000000001</v>
      </c>
      <c r="J3222" s="29"/>
      <c r="K3222" s="29"/>
      <c r="L3222" s="29"/>
      <c r="M3222" s="29"/>
      <c r="N3222" s="29"/>
      <c r="P3222" s="4">
        <f t="shared" si="203"/>
        <v>-1.3334069274415774E-2</v>
      </c>
      <c r="Q3222" s="4">
        <f t="shared" si="203"/>
        <v>-3.1558756186738906E-3</v>
      </c>
      <c r="R3222" s="4">
        <f t="shared" si="203"/>
        <v>-1.1082675426195327E-2</v>
      </c>
      <c r="S3222" s="4">
        <f t="shared" si="203"/>
        <v>-2.9449459768462485E-2</v>
      </c>
      <c r="T3222" s="4">
        <f t="shared" si="203"/>
        <v>-1.4517853777960672E-2</v>
      </c>
      <c r="U3222" s="35"/>
      <c r="V3222" s="35"/>
      <c r="W3222" s="35"/>
      <c r="X3222" s="35"/>
    </row>
    <row r="3223" spans="4:24" x14ac:dyDescent="0.3">
      <c r="D3223" s="23">
        <v>44259</v>
      </c>
      <c r="E3223" s="5">
        <v>359.21743800000002</v>
      </c>
      <c r="F3223" s="28">
        <v>78.148560000000003</v>
      </c>
      <c r="G3223" s="28">
        <v>159.04</v>
      </c>
      <c r="H3223" s="28">
        <v>297.97250000000003</v>
      </c>
      <c r="I3223" s="28">
        <v>187.84780000000001</v>
      </c>
      <c r="J3223" s="29"/>
      <c r="K3223" s="29"/>
      <c r="L3223" s="29"/>
      <c r="M3223" s="29"/>
      <c r="N3223" s="29"/>
      <c r="P3223" s="4">
        <f t="shared" si="203"/>
        <v>-1.2451930618658073E-2</v>
      </c>
      <c r="Q3223" s="4">
        <f t="shared" si="203"/>
        <v>-3.1659946699526334E-3</v>
      </c>
      <c r="R3223" s="4">
        <f t="shared" si="203"/>
        <v>-9.885583852052288E-3</v>
      </c>
      <c r="S3223" s="4">
        <f t="shared" si="203"/>
        <v>-1.6502205894104637E-2</v>
      </c>
      <c r="T3223" s="4">
        <f t="shared" si="203"/>
        <v>-1.5947933480020195E-2</v>
      </c>
      <c r="U3223" s="35"/>
      <c r="V3223" s="35"/>
      <c r="W3223" s="35"/>
      <c r="X3223" s="35"/>
    </row>
    <row r="3224" spans="4:24" x14ac:dyDescent="0.3">
      <c r="D3224" s="23">
        <v>44260</v>
      </c>
      <c r="E3224" s="5">
        <v>365.82577500000002</v>
      </c>
      <c r="F3224" s="28">
        <v>78.102699999999999</v>
      </c>
      <c r="G3224" s="28">
        <v>159.13999999999999</v>
      </c>
      <c r="H3224" s="28">
        <v>302.46019999999999</v>
      </c>
      <c r="I3224" s="28">
        <v>191.23920000000001</v>
      </c>
      <c r="J3224" s="29"/>
      <c r="K3224" s="29"/>
      <c r="L3224" s="29"/>
      <c r="M3224" s="29"/>
      <c r="N3224" s="29"/>
      <c r="P3224" s="4">
        <f t="shared" si="203"/>
        <v>1.8229313455239E-2</v>
      </c>
      <c r="Q3224" s="4">
        <f t="shared" si="203"/>
        <v>-5.8700328326112951E-4</v>
      </c>
      <c r="R3224" s="4">
        <f t="shared" si="203"/>
        <v>6.2857504112493194E-4</v>
      </c>
      <c r="S3224" s="4">
        <f t="shared" si="203"/>
        <v>1.4948498198862546E-2</v>
      </c>
      <c r="T3224" s="4">
        <f t="shared" si="203"/>
        <v>1.7892940044407335E-2</v>
      </c>
      <c r="U3224" s="35"/>
      <c r="V3224" s="35"/>
      <c r="W3224" s="35"/>
      <c r="X3224" s="35"/>
    </row>
    <row r="3225" spans="4:24" x14ac:dyDescent="0.3">
      <c r="D3225" s="23">
        <v>44263</v>
      </c>
      <c r="E3225" s="5">
        <v>364.00433299999997</v>
      </c>
      <c r="F3225" s="28">
        <v>77.744770000000003</v>
      </c>
      <c r="G3225" s="28">
        <v>157.49</v>
      </c>
      <c r="H3225" s="28">
        <v>293.8963</v>
      </c>
      <c r="I3225" s="28">
        <v>190.3056</v>
      </c>
      <c r="J3225" s="29"/>
      <c r="K3225" s="29"/>
      <c r="L3225" s="29"/>
      <c r="M3225" s="29"/>
      <c r="N3225" s="29"/>
      <c r="P3225" s="4">
        <f t="shared" si="203"/>
        <v>-4.9914240634844152E-3</v>
      </c>
      <c r="Q3225" s="4">
        <f t="shared" si="203"/>
        <v>-4.5933453950184489E-3</v>
      </c>
      <c r="R3225" s="4">
        <f t="shared" si="203"/>
        <v>-1.0422353762899355E-2</v>
      </c>
      <c r="S3225" s="4">
        <f t="shared" si="203"/>
        <v>-2.8722714537306262E-2</v>
      </c>
      <c r="T3225" s="4">
        <f t="shared" si="203"/>
        <v>-4.8937994345759905E-3</v>
      </c>
      <c r="U3225" s="35"/>
      <c r="V3225" s="35"/>
      <c r="W3225" s="35"/>
      <c r="X3225" s="35"/>
    </row>
    <row r="3226" spans="4:24" x14ac:dyDescent="0.3">
      <c r="D3226" s="23">
        <v>44264</v>
      </c>
      <c r="E3226" s="5">
        <v>369.20150799999999</v>
      </c>
      <c r="F3226" s="28">
        <v>78.001720000000006</v>
      </c>
      <c r="G3226" s="28">
        <v>160.84</v>
      </c>
      <c r="H3226" s="28">
        <v>305.48790000000002</v>
      </c>
      <c r="I3226" s="28">
        <v>193.2587</v>
      </c>
      <c r="J3226" s="29"/>
      <c r="K3226" s="29"/>
      <c r="L3226" s="29"/>
      <c r="M3226" s="29"/>
      <c r="N3226" s="29"/>
      <c r="P3226" s="4">
        <f t="shared" si="203"/>
        <v>1.4176815715353569E-2</v>
      </c>
      <c r="Q3226" s="4">
        <f t="shared" si="203"/>
        <v>3.2995958127206991E-3</v>
      </c>
      <c r="R3226" s="4">
        <f t="shared" si="203"/>
        <v>2.1048117842584008E-2</v>
      </c>
      <c r="S3226" s="4">
        <f t="shared" si="203"/>
        <v>3.8683186596423169E-2</v>
      </c>
      <c r="T3226" s="4">
        <f t="shared" si="203"/>
        <v>1.5398504769794045E-2</v>
      </c>
      <c r="U3226" s="35"/>
      <c r="V3226" s="35"/>
      <c r="W3226" s="35"/>
      <c r="X3226" s="35"/>
    </row>
    <row r="3227" spans="4:24" x14ac:dyDescent="0.3">
      <c r="D3227" s="23">
        <v>44265</v>
      </c>
      <c r="E3227" s="5">
        <v>371.499573</v>
      </c>
      <c r="F3227" s="28">
        <v>78.148560000000003</v>
      </c>
      <c r="G3227" s="28">
        <v>161.66</v>
      </c>
      <c r="H3227" s="28">
        <v>304.61579999999998</v>
      </c>
      <c r="I3227" s="28">
        <v>194.64</v>
      </c>
      <c r="J3227" s="29"/>
      <c r="K3227" s="29"/>
      <c r="L3227" s="29"/>
      <c r="M3227" s="29"/>
      <c r="N3227" s="29"/>
      <c r="P3227" s="4">
        <f t="shared" si="203"/>
        <v>6.2051276354083114E-3</v>
      </c>
      <c r="Q3227" s="4">
        <f t="shared" si="203"/>
        <v>1.8807528655589438E-3</v>
      </c>
      <c r="R3227" s="4">
        <f t="shared" si="203"/>
        <v>5.0852822766250137E-3</v>
      </c>
      <c r="S3227" s="4">
        <f t="shared" si="203"/>
        <v>-2.8588602035315557E-3</v>
      </c>
      <c r="T3227" s="4">
        <f t="shared" si="203"/>
        <v>7.1219926161628522E-3</v>
      </c>
      <c r="U3227" s="35"/>
      <c r="V3227" s="35"/>
      <c r="W3227" s="35"/>
      <c r="X3227" s="35"/>
    </row>
    <row r="3228" spans="4:24" x14ac:dyDescent="0.3">
      <c r="D3228" s="23">
        <v>44266</v>
      </c>
      <c r="E3228" s="5">
        <v>375.26632699999999</v>
      </c>
      <c r="F3228" s="28">
        <v>78.157759999999996</v>
      </c>
      <c r="G3228" s="28">
        <v>161.52000000000001</v>
      </c>
      <c r="H3228" s="28">
        <v>311.63159999999999</v>
      </c>
      <c r="I3228" s="28">
        <v>197.18350000000001</v>
      </c>
      <c r="J3228" s="29"/>
      <c r="K3228" s="29"/>
      <c r="L3228" s="29"/>
      <c r="M3228" s="29"/>
      <c r="N3228" s="29"/>
      <c r="P3228" s="4">
        <f t="shared" si="203"/>
        <v>1.0088264464474007E-2</v>
      </c>
      <c r="Q3228" s="4">
        <f t="shared" si="203"/>
        <v>1.177175690736607E-4</v>
      </c>
      <c r="R3228" s="4">
        <f t="shared" si="203"/>
        <v>-8.6639030111611824E-4</v>
      </c>
      <c r="S3228" s="4">
        <f t="shared" si="203"/>
        <v>2.277041049906612E-2</v>
      </c>
      <c r="T3228" s="4">
        <f t="shared" si="203"/>
        <v>1.2983068793026872E-2</v>
      </c>
      <c r="U3228" s="35"/>
      <c r="V3228" s="35"/>
      <c r="W3228" s="35"/>
      <c r="X3228" s="35"/>
    </row>
    <row r="3229" spans="4:24" x14ac:dyDescent="0.3">
      <c r="D3229" s="23">
        <v>44267</v>
      </c>
      <c r="E3229" s="5">
        <v>375.77166699999998</v>
      </c>
      <c r="F3229" s="28">
        <v>77.689710000000005</v>
      </c>
      <c r="G3229" s="28">
        <v>161.49</v>
      </c>
      <c r="H3229" s="28">
        <v>309.10359999999997</v>
      </c>
      <c r="I3229" s="28">
        <v>197.57409999999999</v>
      </c>
      <c r="J3229" s="29"/>
      <c r="K3229" s="29"/>
      <c r="L3229" s="29"/>
      <c r="M3229" s="29"/>
      <c r="N3229" s="29"/>
      <c r="P3229" s="4">
        <f t="shared" si="203"/>
        <v>1.3457110833240379E-3</v>
      </c>
      <c r="Q3229" s="4">
        <f t="shared" si="203"/>
        <v>-6.0065319919291784E-3</v>
      </c>
      <c r="R3229" s="4">
        <f t="shared" si="203"/>
        <v>-1.8575276360645253E-4</v>
      </c>
      <c r="S3229" s="4">
        <f t="shared" si="203"/>
        <v>-8.1452251349683497E-3</v>
      </c>
      <c r="T3229" s="4">
        <f t="shared" si="203"/>
        <v>1.9789365801795829E-3</v>
      </c>
      <c r="U3229" s="35"/>
      <c r="V3229" s="35"/>
      <c r="W3229" s="35"/>
      <c r="X3229" s="35"/>
    </row>
    <row r="3230" spans="4:24" x14ac:dyDescent="0.3">
      <c r="D3230" s="23">
        <v>44270</v>
      </c>
      <c r="E3230" s="5">
        <v>378.01260400000001</v>
      </c>
      <c r="F3230" s="28">
        <v>77.781450000000007</v>
      </c>
      <c r="G3230" s="28">
        <v>162.19999999999999</v>
      </c>
      <c r="H3230" s="28">
        <v>312.40570000000002</v>
      </c>
      <c r="I3230" s="28">
        <v>198.9554</v>
      </c>
      <c r="J3230" s="29"/>
      <c r="K3230" s="29"/>
      <c r="L3230" s="29"/>
      <c r="M3230" s="29"/>
      <c r="N3230" s="29"/>
      <c r="P3230" s="4">
        <f t="shared" si="203"/>
        <v>5.9458486684315923E-3</v>
      </c>
      <c r="Q3230" s="4">
        <f t="shared" si="203"/>
        <v>1.1801547071198862E-3</v>
      </c>
      <c r="R3230" s="4">
        <f t="shared" si="203"/>
        <v>4.3869204403368953E-3</v>
      </c>
      <c r="S3230" s="4">
        <f t="shared" si="203"/>
        <v>1.0626167851224949E-2</v>
      </c>
      <c r="T3230" s="4">
        <f t="shared" si="203"/>
        <v>6.9669751542283083E-3</v>
      </c>
      <c r="U3230" s="35"/>
      <c r="V3230" s="35"/>
      <c r="W3230" s="35"/>
      <c r="X3230" s="35"/>
    </row>
    <row r="3231" spans="4:24" x14ac:dyDescent="0.3">
      <c r="D3231" s="23">
        <v>44271</v>
      </c>
      <c r="E3231" s="5">
        <v>377.535889</v>
      </c>
      <c r="F3231" s="28">
        <v>77.772289999999998</v>
      </c>
      <c r="G3231" s="28">
        <v>162.35</v>
      </c>
      <c r="H3231" s="28">
        <v>314.12040000000002</v>
      </c>
      <c r="I3231" s="28">
        <v>198.15520000000001</v>
      </c>
      <c r="J3231" s="29"/>
      <c r="K3231" s="29"/>
      <c r="L3231" s="29"/>
      <c r="M3231" s="29"/>
      <c r="N3231" s="29"/>
      <c r="P3231" s="4">
        <f t="shared" si="203"/>
        <v>-1.2619046101656586E-3</v>
      </c>
      <c r="Q3231" s="4">
        <f t="shared" si="203"/>
        <v>-1.1777280328456976E-4</v>
      </c>
      <c r="R3231" s="4">
        <f t="shared" si="203"/>
        <v>9.243568675425225E-4</v>
      </c>
      <c r="S3231" s="4">
        <f t="shared" si="203"/>
        <v>5.4736882668183131E-3</v>
      </c>
      <c r="T3231" s="4">
        <f t="shared" si="203"/>
        <v>-4.0301169651976937E-3</v>
      </c>
      <c r="U3231" s="35"/>
      <c r="V3231" s="35"/>
      <c r="W3231" s="35"/>
      <c r="X3231" s="35"/>
    </row>
    <row r="3232" spans="4:24" x14ac:dyDescent="0.3">
      <c r="D3232" s="23">
        <v>44272</v>
      </c>
      <c r="E3232" s="5">
        <v>378.82318099999998</v>
      </c>
      <c r="F3232" s="28">
        <v>77.744770000000003</v>
      </c>
      <c r="G3232" s="28">
        <v>163.51</v>
      </c>
      <c r="H3232" s="28">
        <v>315.41379999999998</v>
      </c>
      <c r="I3232" s="28">
        <v>198.90780000000001</v>
      </c>
      <c r="J3232" s="29"/>
      <c r="K3232" s="29"/>
      <c r="L3232" s="29"/>
      <c r="M3232" s="29"/>
      <c r="N3232" s="29"/>
      <c r="P3232" s="4">
        <f t="shared" si="203"/>
        <v>3.4039209523933204E-3</v>
      </c>
      <c r="Q3232" s="4">
        <f t="shared" si="203"/>
        <v>-3.5391615925933306E-4</v>
      </c>
      <c r="R3232" s="4">
        <f t="shared" si="203"/>
        <v>7.1196519976401695E-3</v>
      </c>
      <c r="S3232" s="4">
        <f t="shared" si="203"/>
        <v>4.1090756304182352E-3</v>
      </c>
      <c r="T3232" s="4">
        <f t="shared" si="203"/>
        <v>3.7908387397819487E-3</v>
      </c>
      <c r="U3232" s="35"/>
      <c r="V3232" s="35"/>
      <c r="W3232" s="35"/>
      <c r="X3232" s="35"/>
    </row>
    <row r="3233" spans="4:24" x14ac:dyDescent="0.3">
      <c r="D3233" s="23">
        <v>44273</v>
      </c>
      <c r="E3233" s="5">
        <v>373.31146200000001</v>
      </c>
      <c r="F3233" s="28">
        <v>77.423519999999996</v>
      </c>
      <c r="G3233" s="28">
        <v>162.56</v>
      </c>
      <c r="H3233" s="28">
        <v>305.7525</v>
      </c>
      <c r="I3233" s="28">
        <v>195.2878</v>
      </c>
      <c r="J3233" s="29"/>
      <c r="K3233" s="29"/>
      <c r="L3233" s="29"/>
      <c r="M3233" s="29"/>
      <c r="N3233" s="29"/>
      <c r="P3233" s="4">
        <f t="shared" si="203"/>
        <v>-1.4656465344909546E-2</v>
      </c>
      <c r="Q3233" s="4">
        <f t="shared" si="203"/>
        <v>-4.140671512073959E-3</v>
      </c>
      <c r="R3233" s="4">
        <f t="shared" si="203"/>
        <v>-5.8269861563779741E-3</v>
      </c>
      <c r="S3233" s="4">
        <f t="shared" si="203"/>
        <v>-3.1109476386247743E-2</v>
      </c>
      <c r="T3233" s="4">
        <f t="shared" si="203"/>
        <v>-1.8367032843811408E-2</v>
      </c>
      <c r="U3233" s="35"/>
      <c r="V3233" s="35"/>
      <c r="W3233" s="35"/>
      <c r="X3233" s="35"/>
    </row>
    <row r="3234" spans="4:24" x14ac:dyDescent="0.3">
      <c r="D3234" s="23">
        <v>44274</v>
      </c>
      <c r="E3234" s="5">
        <v>372.62069700000001</v>
      </c>
      <c r="F3234" s="28">
        <v>77.487759999999994</v>
      </c>
      <c r="G3234" s="28">
        <v>163.24</v>
      </c>
      <c r="H3234" s="28">
        <v>306.83030000000002</v>
      </c>
      <c r="I3234" s="28">
        <v>195.53550000000001</v>
      </c>
      <c r="J3234" s="29"/>
      <c r="K3234" s="29"/>
      <c r="L3234" s="29"/>
      <c r="M3234" s="29"/>
      <c r="N3234" s="29"/>
      <c r="P3234" s="4">
        <f t="shared" si="203"/>
        <v>-1.8520858475453729E-3</v>
      </c>
      <c r="Q3234" s="4">
        <f t="shared" si="203"/>
        <v>8.293779985859269E-4</v>
      </c>
      <c r="R3234" s="4">
        <f t="shared" si="203"/>
        <v>4.1743461474878004E-3</v>
      </c>
      <c r="S3234" s="4">
        <f t="shared" si="203"/>
        <v>3.5188748758630943E-3</v>
      </c>
      <c r="T3234" s="4">
        <f t="shared" si="203"/>
        <v>1.2675806850115324E-3</v>
      </c>
      <c r="U3234" s="35"/>
      <c r="V3234" s="35"/>
      <c r="W3234" s="35"/>
      <c r="X3234" s="35"/>
    </row>
    <row r="3235" spans="4:24" x14ac:dyDescent="0.3">
      <c r="D3235" s="23">
        <v>44277</v>
      </c>
      <c r="E3235" s="5">
        <v>375.59600799999998</v>
      </c>
      <c r="F3235" s="28">
        <v>77.70805</v>
      </c>
      <c r="G3235" s="28">
        <v>163</v>
      </c>
      <c r="H3235" s="28">
        <v>312.58440000000002</v>
      </c>
      <c r="I3235" s="28">
        <v>196.59289999999999</v>
      </c>
      <c r="J3235" s="29"/>
      <c r="K3235" s="29"/>
      <c r="L3235" s="29"/>
      <c r="M3235" s="29"/>
      <c r="N3235" s="29"/>
      <c r="P3235" s="4">
        <f t="shared" si="203"/>
        <v>7.9531148208097022E-3</v>
      </c>
      <c r="Q3235" s="4">
        <f t="shared" si="203"/>
        <v>2.8388672084142257E-3</v>
      </c>
      <c r="R3235" s="4">
        <f t="shared" si="203"/>
        <v>-1.4713097308426256E-3</v>
      </c>
      <c r="S3235" s="4">
        <f t="shared" si="203"/>
        <v>1.8579686686820598E-2</v>
      </c>
      <c r="T3235" s="4">
        <f t="shared" si="203"/>
        <v>5.3931445055280603E-3</v>
      </c>
      <c r="U3235" s="35"/>
      <c r="V3235" s="35"/>
      <c r="W3235" s="35"/>
      <c r="X3235" s="35"/>
    </row>
    <row r="3236" spans="4:24" x14ac:dyDescent="0.3">
      <c r="D3236" s="23">
        <v>44278</v>
      </c>
      <c r="E3236" s="5">
        <v>372.63983200000001</v>
      </c>
      <c r="F3236" s="28">
        <v>77.882409999999993</v>
      </c>
      <c r="G3236" s="28">
        <v>161.81</v>
      </c>
      <c r="H3236" s="28">
        <v>311.22070000000002</v>
      </c>
      <c r="I3236" s="28">
        <v>194.35419999999999</v>
      </c>
      <c r="J3236" s="29"/>
      <c r="K3236" s="29"/>
      <c r="L3236" s="29"/>
      <c r="M3236" s="29"/>
      <c r="N3236" s="29"/>
      <c r="P3236" s="4">
        <f t="shared" si="203"/>
        <v>-7.9017636509581528E-3</v>
      </c>
      <c r="Q3236" s="4">
        <f t="shared" si="203"/>
        <v>2.2412694581449943E-3</v>
      </c>
      <c r="R3236" s="4">
        <f t="shared" si="203"/>
        <v>-7.327393395045575E-3</v>
      </c>
      <c r="S3236" s="4">
        <f t="shared" si="203"/>
        <v>-4.3722059098086404E-3</v>
      </c>
      <c r="T3236" s="4">
        <f t="shared" si="203"/>
        <v>-1.1452825562758824E-2</v>
      </c>
      <c r="U3236" s="35"/>
      <c r="V3236" s="35"/>
      <c r="W3236" s="35"/>
      <c r="X3236" s="35"/>
    </row>
    <row r="3237" spans="4:24" x14ac:dyDescent="0.3">
      <c r="D3237" s="23">
        <v>44279</v>
      </c>
      <c r="E3237" s="5">
        <v>370.745453</v>
      </c>
      <c r="F3237" s="28">
        <v>78.001720000000006</v>
      </c>
      <c r="G3237" s="28">
        <v>162.37</v>
      </c>
      <c r="H3237" s="28">
        <v>305.97190000000001</v>
      </c>
      <c r="I3237" s="28">
        <v>192.74430000000001</v>
      </c>
      <c r="J3237" s="29"/>
      <c r="K3237" s="29"/>
      <c r="L3237" s="29"/>
      <c r="M3237" s="29"/>
      <c r="N3237" s="29"/>
      <c r="P3237" s="4">
        <f t="shared" ref="P3237:T3252" si="204">LN(E3237/E3236)</f>
        <v>-5.096638684888773E-3</v>
      </c>
      <c r="Q3237" s="4">
        <f t="shared" si="204"/>
        <v>1.5307526596493261E-3</v>
      </c>
      <c r="R3237" s="4">
        <f t="shared" si="204"/>
        <v>3.4548741873062579E-3</v>
      </c>
      <c r="S3237" s="4">
        <f t="shared" si="204"/>
        <v>-1.7009039131227189E-2</v>
      </c>
      <c r="T3237" s="4">
        <f t="shared" si="204"/>
        <v>-8.3178275395122507E-3</v>
      </c>
      <c r="U3237" s="35"/>
      <c r="V3237" s="35"/>
      <c r="W3237" s="35"/>
      <c r="X3237" s="35"/>
    </row>
    <row r="3238" spans="4:24" x14ac:dyDescent="0.3">
      <c r="D3238" s="23">
        <v>44280</v>
      </c>
      <c r="E3238" s="5">
        <v>372.83120700000001</v>
      </c>
      <c r="F3238" s="28">
        <v>77.946659999999994</v>
      </c>
      <c r="G3238" s="28">
        <v>161.78</v>
      </c>
      <c r="H3238" s="28">
        <v>305.44209999999998</v>
      </c>
      <c r="I3238" s="28">
        <v>194.1703</v>
      </c>
      <c r="J3238" s="29"/>
      <c r="K3238" s="29"/>
      <c r="L3238" s="29"/>
      <c r="M3238" s="29"/>
      <c r="N3238" s="29"/>
      <c r="P3238" s="4">
        <f t="shared" si="204"/>
        <v>5.6100724581465847E-3</v>
      </c>
      <c r="Q3238" s="4">
        <f t="shared" si="204"/>
        <v>-7.0613112220665455E-4</v>
      </c>
      <c r="R3238" s="4">
        <f t="shared" si="204"/>
        <v>-3.6402940092165183E-3</v>
      </c>
      <c r="S3238" s="4">
        <f t="shared" si="204"/>
        <v>-1.7330323891837148E-3</v>
      </c>
      <c r="T3238" s="4">
        <f t="shared" si="204"/>
        <v>7.3711690212788367E-3</v>
      </c>
      <c r="U3238" s="35"/>
      <c r="V3238" s="35"/>
      <c r="W3238" s="35"/>
      <c r="X3238" s="35"/>
    </row>
    <row r="3239" spans="4:24" x14ac:dyDescent="0.3">
      <c r="D3239" s="23">
        <v>44281</v>
      </c>
      <c r="E3239" s="5">
        <v>378.83935500000001</v>
      </c>
      <c r="F3239" s="28">
        <v>77.809010000000001</v>
      </c>
      <c r="G3239" s="28">
        <v>162.24</v>
      </c>
      <c r="H3239" s="28">
        <v>310.02370000000002</v>
      </c>
      <c r="I3239" s="28">
        <v>197.34360000000001</v>
      </c>
      <c r="J3239" s="29"/>
      <c r="K3239" s="29"/>
      <c r="L3239" s="29"/>
      <c r="M3239" s="29"/>
      <c r="N3239" s="29"/>
      <c r="P3239" s="4">
        <f t="shared" si="204"/>
        <v>1.5986460718806359E-2</v>
      </c>
      <c r="Q3239" s="4">
        <f t="shared" si="204"/>
        <v>-1.7675123587606589E-3</v>
      </c>
      <c r="R3239" s="4">
        <f t="shared" si="204"/>
        <v>2.8393328130118956E-3</v>
      </c>
      <c r="S3239" s="4">
        <f t="shared" si="204"/>
        <v>1.4888510888620645E-2</v>
      </c>
      <c r="T3239" s="4">
        <f t="shared" si="204"/>
        <v>1.6210762846541982E-2</v>
      </c>
      <c r="U3239" s="35"/>
      <c r="V3239" s="35"/>
      <c r="W3239" s="35"/>
      <c r="X3239" s="35"/>
    </row>
    <row r="3240" spans="4:24" x14ac:dyDescent="0.3">
      <c r="D3240" s="23">
        <v>44284</v>
      </c>
      <c r="E3240" s="5">
        <v>378.64794899999998</v>
      </c>
      <c r="F3240" s="28">
        <v>77.70805</v>
      </c>
      <c r="G3240" s="28">
        <v>160.31</v>
      </c>
      <c r="H3240" s="28">
        <v>309.93549999999999</v>
      </c>
      <c r="I3240" s="28">
        <v>196.41650000000001</v>
      </c>
      <c r="J3240" s="29"/>
      <c r="K3240" s="29"/>
      <c r="L3240" s="29"/>
      <c r="M3240" s="29"/>
      <c r="N3240" s="29"/>
      <c r="P3240" s="4">
        <f t="shared" si="204"/>
        <v>-5.0537085720924683E-4</v>
      </c>
      <c r="Q3240" s="4">
        <f t="shared" si="204"/>
        <v>-1.2983786368272454E-3</v>
      </c>
      <c r="R3240" s="4">
        <f t="shared" si="204"/>
        <v>-1.1967279701236162E-2</v>
      </c>
      <c r="S3240" s="4">
        <f t="shared" si="204"/>
        <v>-2.8453485518111361E-4</v>
      </c>
      <c r="T3240" s="4">
        <f t="shared" si="204"/>
        <v>-4.7089672780682643E-3</v>
      </c>
      <c r="U3240" s="35"/>
      <c r="V3240" s="35"/>
      <c r="W3240" s="35"/>
      <c r="X3240" s="35"/>
    </row>
    <row r="3241" spans="4:24" x14ac:dyDescent="0.3">
      <c r="D3241" s="23">
        <v>44285</v>
      </c>
      <c r="E3241" s="5">
        <v>377.64343300000002</v>
      </c>
      <c r="F3241" s="28">
        <v>77.790620000000004</v>
      </c>
      <c r="G3241" s="28">
        <v>157.57</v>
      </c>
      <c r="H3241" s="28">
        <v>308.37549999999999</v>
      </c>
      <c r="I3241" s="28">
        <v>196.35910000000001</v>
      </c>
      <c r="J3241" s="29"/>
      <c r="K3241" s="29"/>
      <c r="L3241" s="29"/>
      <c r="M3241" s="29"/>
      <c r="N3241" s="29"/>
      <c r="P3241" s="4">
        <f t="shared" si="204"/>
        <v>-2.6564274421577582E-3</v>
      </c>
      <c r="Q3241" s="4">
        <f t="shared" si="204"/>
        <v>1.0620027523136099E-3</v>
      </c>
      <c r="R3241" s="4">
        <f t="shared" si="204"/>
        <v>-1.723963672762811E-2</v>
      </c>
      <c r="S3241" s="4">
        <f t="shared" si="204"/>
        <v>-5.0460150639190932E-3</v>
      </c>
      <c r="T3241" s="4">
        <f t="shared" si="204"/>
        <v>-2.9227885035951862E-4</v>
      </c>
      <c r="U3241" s="35"/>
      <c r="V3241" s="35"/>
      <c r="W3241" s="35"/>
      <c r="X3241" s="35"/>
    </row>
    <row r="3242" spans="4:24" x14ac:dyDescent="0.3">
      <c r="D3242" s="23">
        <v>44286</v>
      </c>
      <c r="E3242" s="5">
        <v>379.17413299999998</v>
      </c>
      <c r="F3242" s="28">
        <v>77.75394</v>
      </c>
      <c r="G3242" s="28">
        <v>159.96</v>
      </c>
      <c r="H3242" s="28">
        <v>313.09460000000001</v>
      </c>
      <c r="I3242" s="28">
        <v>197.5539</v>
      </c>
      <c r="J3242" s="29"/>
      <c r="K3242" s="29"/>
      <c r="L3242" s="29"/>
      <c r="M3242" s="29"/>
      <c r="N3242" s="29"/>
      <c r="P3242" s="4">
        <f t="shared" si="204"/>
        <v>4.0451019003361396E-3</v>
      </c>
      <c r="Q3242" s="4">
        <f t="shared" si="204"/>
        <v>-4.7163334648189071E-4</v>
      </c>
      <c r="R3242" s="4">
        <f t="shared" si="204"/>
        <v>1.5053980004663505E-2</v>
      </c>
      <c r="S3242" s="4">
        <f t="shared" si="204"/>
        <v>1.5187185046932502E-2</v>
      </c>
      <c r="T3242" s="4">
        <f t="shared" si="204"/>
        <v>6.0663327389051504E-3</v>
      </c>
      <c r="U3242" s="35"/>
      <c r="V3242" s="35"/>
      <c r="W3242" s="35"/>
      <c r="X3242" s="35"/>
    </row>
    <row r="3243" spans="4:24" x14ac:dyDescent="0.3">
      <c r="D3243" s="23">
        <v>44287</v>
      </c>
      <c r="E3243" s="5">
        <v>383.26889</v>
      </c>
      <c r="F3243" s="28">
        <v>78.004140000000007</v>
      </c>
      <c r="G3243" s="28">
        <v>161.97999999999999</v>
      </c>
      <c r="H3243" s="28">
        <v>318.43169999999998</v>
      </c>
      <c r="I3243" s="28">
        <v>200.02940000000001</v>
      </c>
      <c r="J3243" s="29"/>
      <c r="K3243" s="29"/>
      <c r="L3243" s="29"/>
      <c r="M3243" s="29"/>
      <c r="N3243" s="29"/>
      <c r="P3243" s="4">
        <f t="shared" si="204"/>
        <v>1.0741252121432518E-2</v>
      </c>
      <c r="Q3243" s="4">
        <f t="shared" si="204"/>
        <v>3.2126771875842122E-3</v>
      </c>
      <c r="R3243" s="4">
        <f t="shared" si="204"/>
        <v>1.2549086842226076E-2</v>
      </c>
      <c r="S3243" s="4">
        <f t="shared" si="204"/>
        <v>1.6902628018285695E-2</v>
      </c>
      <c r="T3243" s="4">
        <f t="shared" si="204"/>
        <v>1.2452897244553682E-2</v>
      </c>
      <c r="U3243" s="35"/>
      <c r="V3243" s="35"/>
      <c r="W3243" s="35"/>
      <c r="X3243" s="35"/>
    </row>
    <row r="3244" spans="4:24" x14ac:dyDescent="0.3">
      <c r="D3244" s="23">
        <v>44291</v>
      </c>
      <c r="E3244" s="5">
        <v>388.77001999999999</v>
      </c>
      <c r="F3244" s="28">
        <v>77.884550000000004</v>
      </c>
      <c r="G3244" s="28">
        <v>161.91999999999999</v>
      </c>
      <c r="H3244" s="28">
        <v>324.78910000000002</v>
      </c>
      <c r="I3244" s="28">
        <v>202.36160000000001</v>
      </c>
      <c r="J3244" s="29"/>
      <c r="K3244" s="29"/>
      <c r="L3244" s="29"/>
      <c r="M3244" s="29"/>
      <c r="N3244" s="29"/>
      <c r="P3244" s="4">
        <f t="shared" si="204"/>
        <v>1.4251155046603901E-2</v>
      </c>
      <c r="Q3244" s="4">
        <f t="shared" si="204"/>
        <v>-1.5343001915064367E-3</v>
      </c>
      <c r="R3244" s="4">
        <f t="shared" si="204"/>
        <v>-3.7048472174308622E-4</v>
      </c>
      <c r="S3244" s="4">
        <f t="shared" si="204"/>
        <v>1.9768039295165345E-2</v>
      </c>
      <c r="T3244" s="4">
        <f t="shared" si="204"/>
        <v>1.1591840348811269E-2</v>
      </c>
      <c r="U3244" s="35"/>
      <c r="V3244" s="35"/>
      <c r="W3244" s="35"/>
      <c r="X3244" s="35"/>
    </row>
    <row r="3245" spans="4:24" x14ac:dyDescent="0.3">
      <c r="D3245" s="23">
        <v>44292</v>
      </c>
      <c r="E3245" s="5">
        <v>388.54040500000002</v>
      </c>
      <c r="F3245" s="28">
        <v>78.160520000000005</v>
      </c>
      <c r="G3245" s="28">
        <v>163.22</v>
      </c>
      <c r="H3245" s="28">
        <v>324.5634</v>
      </c>
      <c r="I3245" s="28">
        <v>202.43799999999999</v>
      </c>
      <c r="J3245" s="29"/>
      <c r="K3245" s="29"/>
      <c r="L3245" s="29"/>
      <c r="M3245" s="29"/>
      <c r="N3245" s="29"/>
      <c r="P3245" s="4">
        <f t="shared" si="204"/>
        <v>-5.907935859181361E-4</v>
      </c>
      <c r="Q3245" s="4">
        <f t="shared" si="204"/>
        <v>3.537058719211159E-3</v>
      </c>
      <c r="R3245" s="4">
        <f t="shared" si="204"/>
        <v>7.9965979419960535E-3</v>
      </c>
      <c r="S3245" s="4">
        <f t="shared" si="204"/>
        <v>-6.9515404680492465E-4</v>
      </c>
      <c r="T3245" s="4">
        <f t="shared" si="204"/>
        <v>3.7747073320778082E-4</v>
      </c>
      <c r="U3245" s="35"/>
      <c r="V3245" s="35"/>
      <c r="W3245" s="35"/>
      <c r="X3245" s="35"/>
    </row>
    <row r="3246" spans="4:24" x14ac:dyDescent="0.3">
      <c r="D3246" s="23">
        <v>44293</v>
      </c>
      <c r="E3246" s="5">
        <v>388.99005099999999</v>
      </c>
      <c r="F3246" s="28">
        <v>78.068539999999999</v>
      </c>
      <c r="G3246" s="28">
        <v>162.76</v>
      </c>
      <c r="H3246" s="28">
        <v>325.34840000000003</v>
      </c>
      <c r="I3246" s="28">
        <v>202.26599999999999</v>
      </c>
      <c r="J3246" s="29"/>
      <c r="K3246" s="29"/>
      <c r="L3246" s="29"/>
      <c r="M3246" s="29"/>
      <c r="N3246" s="29"/>
      <c r="P3246" s="4">
        <f t="shared" si="204"/>
        <v>1.1566004820915002E-3</v>
      </c>
      <c r="Q3246" s="4">
        <f t="shared" si="204"/>
        <v>-1.1775019401334937E-3</v>
      </c>
      <c r="R3246" s="4">
        <f t="shared" si="204"/>
        <v>-2.8222609076076631E-3</v>
      </c>
      <c r="S3246" s="4">
        <f t="shared" si="204"/>
        <v>2.4157135837514767E-3</v>
      </c>
      <c r="T3246" s="4">
        <f t="shared" si="204"/>
        <v>-8.5000400468456417E-4</v>
      </c>
      <c r="U3246" s="35"/>
      <c r="V3246" s="35"/>
      <c r="W3246" s="35"/>
      <c r="X3246" s="35"/>
    </row>
    <row r="3247" spans="4:24" x14ac:dyDescent="0.3">
      <c r="D3247" s="23">
        <v>44294</v>
      </c>
      <c r="E3247" s="5">
        <v>390.83654799999999</v>
      </c>
      <c r="F3247" s="28">
        <v>78.243290000000002</v>
      </c>
      <c r="G3247" s="28">
        <v>164.51</v>
      </c>
      <c r="H3247" s="28">
        <v>328.74290000000002</v>
      </c>
      <c r="I3247" s="28">
        <v>203.44159999999999</v>
      </c>
      <c r="J3247" s="29"/>
      <c r="K3247" s="29"/>
      <c r="L3247" s="29"/>
      <c r="M3247" s="29"/>
      <c r="N3247" s="29"/>
      <c r="P3247" s="4">
        <f t="shared" si="204"/>
        <v>4.7356693225094415E-3</v>
      </c>
      <c r="Q3247" s="4">
        <f t="shared" si="204"/>
        <v>2.2359161530207303E-3</v>
      </c>
      <c r="R3247" s="4">
        <f t="shared" si="204"/>
        <v>1.0694635497839789E-2</v>
      </c>
      <c r="S3247" s="4">
        <f t="shared" si="204"/>
        <v>1.0379378152532391E-2</v>
      </c>
      <c r="T3247" s="4">
        <f t="shared" si="204"/>
        <v>5.7953229877082488E-3</v>
      </c>
      <c r="U3247" s="35"/>
      <c r="V3247" s="35"/>
      <c r="W3247" s="35"/>
      <c r="X3247" s="35"/>
    </row>
    <row r="3248" spans="4:24" x14ac:dyDescent="0.3">
      <c r="D3248" s="23">
        <v>44295</v>
      </c>
      <c r="E3248" s="5">
        <v>393.67794800000001</v>
      </c>
      <c r="F3248" s="28">
        <v>78.142080000000007</v>
      </c>
      <c r="G3248" s="28">
        <v>163.27000000000001</v>
      </c>
      <c r="H3248" s="28">
        <v>330.73450000000003</v>
      </c>
      <c r="I3248" s="28">
        <v>204.67449999999999</v>
      </c>
      <c r="J3248" s="29"/>
      <c r="K3248" s="29"/>
      <c r="L3248" s="29"/>
      <c r="M3248" s="29"/>
      <c r="N3248" s="29"/>
      <c r="P3248" s="4">
        <f t="shared" si="204"/>
        <v>7.2437474105131964E-3</v>
      </c>
      <c r="Q3248" s="4">
        <f t="shared" si="204"/>
        <v>-1.2943667829091259E-3</v>
      </c>
      <c r="R3248" s="4">
        <f t="shared" si="204"/>
        <v>-7.5660864932558906E-3</v>
      </c>
      <c r="S3248" s="4">
        <f t="shared" si="204"/>
        <v>6.0399524066495104E-3</v>
      </c>
      <c r="T3248" s="4">
        <f t="shared" si="204"/>
        <v>6.041926552613628E-3</v>
      </c>
      <c r="U3248" s="35"/>
      <c r="V3248" s="35"/>
      <c r="W3248" s="35"/>
      <c r="X3248" s="35"/>
    </row>
    <row r="3249" spans="4:24" x14ac:dyDescent="0.3">
      <c r="D3249" s="23">
        <v>44298</v>
      </c>
      <c r="E3249" s="5">
        <v>393.82138099999997</v>
      </c>
      <c r="F3249" s="28">
        <v>78.123710000000003</v>
      </c>
      <c r="G3249" s="28">
        <v>162.28</v>
      </c>
      <c r="H3249" s="28">
        <v>330.30290000000002</v>
      </c>
      <c r="I3249" s="28">
        <v>204.7319</v>
      </c>
      <c r="J3249" s="29"/>
      <c r="K3249" s="29"/>
      <c r="L3249" s="29"/>
      <c r="M3249" s="29"/>
      <c r="N3249" s="29"/>
      <c r="P3249" s="4">
        <f t="shared" si="204"/>
        <v>3.6427460012747754E-4</v>
      </c>
      <c r="Q3249" s="4">
        <f t="shared" si="204"/>
        <v>-2.3511224158055154E-4</v>
      </c>
      <c r="R3249" s="4">
        <f t="shared" si="204"/>
        <v>-6.0820337998266387E-3</v>
      </c>
      <c r="S3249" s="4">
        <f t="shared" si="204"/>
        <v>-1.3058264519670319E-3</v>
      </c>
      <c r="T3249" s="4">
        <f t="shared" si="204"/>
        <v>2.8040597497296896E-4</v>
      </c>
      <c r="U3249" s="35"/>
      <c r="V3249" s="35"/>
      <c r="W3249" s="35"/>
      <c r="X3249" s="35"/>
    </row>
    <row r="3250" spans="4:24" x14ac:dyDescent="0.3">
      <c r="D3250" s="23">
        <v>44299</v>
      </c>
      <c r="E3250" s="5">
        <v>394.98867799999999</v>
      </c>
      <c r="F3250" s="28">
        <v>78.326070000000001</v>
      </c>
      <c r="G3250" s="28">
        <v>163.43</v>
      </c>
      <c r="H3250" s="28">
        <v>334.1585</v>
      </c>
      <c r="I3250" s="28">
        <v>205.30539999999999</v>
      </c>
      <c r="J3250" s="29"/>
      <c r="K3250" s="29"/>
      <c r="L3250" s="29"/>
      <c r="M3250" s="29"/>
      <c r="N3250" s="29"/>
      <c r="P3250" s="4">
        <f t="shared" si="204"/>
        <v>2.9596424101290672E-3</v>
      </c>
      <c r="Q3250" s="4">
        <f t="shared" si="204"/>
        <v>2.5869018524723162E-3</v>
      </c>
      <c r="R3250" s="4">
        <f t="shared" si="204"/>
        <v>7.0615257667201361E-3</v>
      </c>
      <c r="S3250" s="4">
        <f t="shared" si="204"/>
        <v>1.160531905597224E-2</v>
      </c>
      <c r="T3250" s="4">
        <f t="shared" si="204"/>
        <v>2.7973083130075497E-3</v>
      </c>
      <c r="U3250" s="35"/>
      <c r="V3250" s="35"/>
      <c r="W3250" s="35"/>
      <c r="X3250" s="35"/>
    </row>
    <row r="3251" spans="4:24" x14ac:dyDescent="0.3">
      <c r="D3251" s="23">
        <v>44300</v>
      </c>
      <c r="E3251" s="5">
        <v>393.63974000000002</v>
      </c>
      <c r="F3251" s="28">
        <v>78.270910000000001</v>
      </c>
      <c r="G3251" s="28">
        <v>162.72</v>
      </c>
      <c r="H3251" s="28">
        <v>330.14589999999998</v>
      </c>
      <c r="I3251" s="28">
        <v>204.8466</v>
      </c>
      <c r="J3251" s="29"/>
      <c r="K3251" s="29"/>
      <c r="L3251" s="29"/>
      <c r="M3251" s="29"/>
      <c r="N3251" s="29"/>
      <c r="P3251" s="4">
        <f t="shared" si="204"/>
        <v>-3.4209756705974857E-3</v>
      </c>
      <c r="Q3251" s="4">
        <f t="shared" si="204"/>
        <v>-7.0448360219097514E-4</v>
      </c>
      <c r="R3251" s="4">
        <f t="shared" si="204"/>
        <v>-4.3538318047168295E-3</v>
      </c>
      <c r="S3251" s="4">
        <f t="shared" si="204"/>
        <v>-1.208075334537478E-2</v>
      </c>
      <c r="T3251" s="4">
        <f t="shared" si="204"/>
        <v>-2.2372203054659692E-3</v>
      </c>
      <c r="U3251" s="35"/>
      <c r="V3251" s="35"/>
      <c r="W3251" s="35"/>
      <c r="X3251" s="35"/>
    </row>
    <row r="3252" spans="4:24" x14ac:dyDescent="0.3">
      <c r="D3252" s="23">
        <v>44301</v>
      </c>
      <c r="E3252" s="5">
        <v>397.86831699999999</v>
      </c>
      <c r="F3252" s="28">
        <v>78.602040000000002</v>
      </c>
      <c r="G3252" s="28">
        <v>165.35</v>
      </c>
      <c r="H3252" s="28">
        <v>335.14940000000001</v>
      </c>
      <c r="I3252" s="28">
        <v>207.0258</v>
      </c>
      <c r="J3252" s="29"/>
      <c r="K3252" s="29"/>
      <c r="L3252" s="29"/>
      <c r="M3252" s="29"/>
      <c r="N3252" s="29"/>
      <c r="P3252" s="4">
        <f t="shared" si="204"/>
        <v>1.0684963199962831E-2</v>
      </c>
      <c r="Q3252" s="4">
        <f t="shared" si="204"/>
        <v>4.2216391263074828E-3</v>
      </c>
      <c r="R3252" s="4">
        <f t="shared" si="204"/>
        <v>1.6033507127551895E-2</v>
      </c>
      <c r="S3252" s="4">
        <f t="shared" si="204"/>
        <v>1.5041724593327803E-2</v>
      </c>
      <c r="T3252" s="4">
        <f t="shared" si="204"/>
        <v>1.0582016835131689E-2</v>
      </c>
      <c r="U3252" s="35"/>
      <c r="V3252" s="35"/>
      <c r="W3252" s="35"/>
      <c r="X3252" s="35"/>
    </row>
    <row r="3253" spans="4:24" x14ac:dyDescent="0.3">
      <c r="D3253" s="23">
        <v>44302</v>
      </c>
      <c r="E3253" s="5">
        <v>399.19818099999998</v>
      </c>
      <c r="F3253" s="28">
        <v>78.390469999999993</v>
      </c>
      <c r="G3253" s="28">
        <v>166.35</v>
      </c>
      <c r="H3253" s="28">
        <v>335.5419</v>
      </c>
      <c r="I3253" s="28">
        <v>207.5515</v>
      </c>
      <c r="J3253" s="29"/>
      <c r="K3253" s="29"/>
      <c r="L3253" s="29"/>
      <c r="M3253" s="29"/>
      <c r="N3253" s="29"/>
      <c r="P3253" s="4">
        <f t="shared" ref="P3253:T3268" si="205">LN(E3253/E3252)</f>
        <v>3.3368990851529588E-3</v>
      </c>
      <c r="Q3253" s="4">
        <f t="shared" si="205"/>
        <v>-2.6952894514608969E-3</v>
      </c>
      <c r="R3253" s="4">
        <f t="shared" si="205"/>
        <v>6.0295630366839935E-3</v>
      </c>
      <c r="S3253" s="4">
        <f t="shared" si="205"/>
        <v>1.1704342811890969E-3</v>
      </c>
      <c r="T3253" s="4">
        <f t="shared" si="205"/>
        <v>2.5360784672087936E-3</v>
      </c>
      <c r="U3253" s="35"/>
      <c r="V3253" s="35"/>
      <c r="W3253" s="35"/>
      <c r="X3253" s="35"/>
    </row>
    <row r="3254" spans="4:24" x14ac:dyDescent="0.3">
      <c r="D3254" s="23">
        <v>44305</v>
      </c>
      <c r="E3254" s="5">
        <v>397.23687699999999</v>
      </c>
      <c r="F3254" s="28">
        <v>78.344449999999995</v>
      </c>
      <c r="G3254" s="28">
        <v>165.89</v>
      </c>
      <c r="H3254" s="28">
        <v>332.471</v>
      </c>
      <c r="I3254" s="28">
        <v>206.1943</v>
      </c>
      <c r="J3254" s="29"/>
      <c r="K3254" s="29"/>
      <c r="L3254" s="29"/>
      <c r="M3254" s="29"/>
      <c r="N3254" s="29"/>
      <c r="P3254" s="4">
        <f t="shared" si="205"/>
        <v>-4.9252175554946676E-3</v>
      </c>
      <c r="Q3254" s="4">
        <f t="shared" si="205"/>
        <v>-5.8723354466854729E-4</v>
      </c>
      <c r="R3254" s="4">
        <f t="shared" si="205"/>
        <v>-2.7690843603020571E-3</v>
      </c>
      <c r="S3254" s="4">
        <f t="shared" si="205"/>
        <v>-9.1941985932975628E-3</v>
      </c>
      <c r="T3254" s="4">
        <f t="shared" si="205"/>
        <v>-6.5605735113092199E-3</v>
      </c>
      <c r="U3254" s="35"/>
      <c r="V3254" s="35"/>
      <c r="W3254" s="35"/>
      <c r="X3254" s="35"/>
    </row>
    <row r="3255" spans="4:24" x14ac:dyDescent="0.3">
      <c r="D3255" s="23">
        <v>44306</v>
      </c>
      <c r="E3255" s="5">
        <v>394.32849099999999</v>
      </c>
      <c r="F3255" s="28">
        <v>78.473269999999999</v>
      </c>
      <c r="G3255" s="28">
        <v>166.48</v>
      </c>
      <c r="H3255" s="28">
        <v>330.0478</v>
      </c>
      <c r="I3255" s="28">
        <v>204.30179999999999</v>
      </c>
      <c r="J3255" s="29"/>
      <c r="K3255" s="29"/>
      <c r="L3255" s="29"/>
      <c r="M3255" s="29"/>
      <c r="N3255" s="29"/>
      <c r="P3255" s="4">
        <f t="shared" si="205"/>
        <v>-7.3484748204525538E-3</v>
      </c>
      <c r="Q3255" s="4">
        <f t="shared" si="205"/>
        <v>1.6429269469803904E-3</v>
      </c>
      <c r="R3255" s="4">
        <f t="shared" si="205"/>
        <v>3.550263981195359E-3</v>
      </c>
      <c r="S3255" s="4">
        <f t="shared" si="205"/>
        <v>-7.3151457912356832E-3</v>
      </c>
      <c r="T3255" s="4">
        <f t="shared" si="205"/>
        <v>-9.2206157783469179E-3</v>
      </c>
      <c r="U3255" s="35"/>
      <c r="V3255" s="35"/>
      <c r="W3255" s="35"/>
      <c r="X3255" s="35"/>
    </row>
    <row r="3256" spans="4:24" x14ac:dyDescent="0.3">
      <c r="D3256" s="23">
        <v>44307</v>
      </c>
      <c r="E3256" s="5">
        <v>398.05972300000002</v>
      </c>
      <c r="F3256" s="28">
        <v>78.556049999999999</v>
      </c>
      <c r="G3256" s="28">
        <v>168.13</v>
      </c>
      <c r="H3256" s="28">
        <v>332.87329999999997</v>
      </c>
      <c r="I3256" s="28">
        <v>206.73910000000001</v>
      </c>
      <c r="J3256" s="29"/>
      <c r="K3256" s="29"/>
      <c r="L3256" s="29"/>
      <c r="M3256" s="29"/>
      <c r="N3256" s="29"/>
      <c r="P3256" s="4">
        <f t="shared" si="205"/>
        <v>9.4177563780848284E-3</v>
      </c>
      <c r="Q3256" s="4">
        <f t="shared" si="205"/>
        <v>1.0543254937129868E-3</v>
      </c>
      <c r="R3256" s="4">
        <f t="shared" si="205"/>
        <v>9.8623076054577905E-3</v>
      </c>
      <c r="S3256" s="4">
        <f t="shared" si="205"/>
        <v>8.5244446430543467E-3</v>
      </c>
      <c r="T3256" s="4">
        <f t="shared" si="205"/>
        <v>1.1859299479420021E-2</v>
      </c>
      <c r="U3256" s="35"/>
      <c r="V3256" s="35"/>
      <c r="W3256" s="35"/>
      <c r="X3256" s="35"/>
    </row>
    <row r="3257" spans="4:24" x14ac:dyDescent="0.3">
      <c r="D3257" s="23">
        <v>44308</v>
      </c>
      <c r="E3257" s="5">
        <v>394.42416400000002</v>
      </c>
      <c r="F3257" s="28">
        <v>78.592830000000006</v>
      </c>
      <c r="G3257" s="28">
        <v>167.04</v>
      </c>
      <c r="H3257" s="28">
        <v>328.86059999999998</v>
      </c>
      <c r="I3257" s="28">
        <v>205.12379999999999</v>
      </c>
      <c r="J3257" s="29"/>
      <c r="K3257" s="29"/>
      <c r="L3257" s="29"/>
      <c r="M3257" s="29"/>
      <c r="N3257" s="29"/>
      <c r="P3257" s="4">
        <f t="shared" si="205"/>
        <v>-9.1751632156713628E-3</v>
      </c>
      <c r="Q3257" s="4">
        <f t="shared" si="205"/>
        <v>4.6809115879886649E-4</v>
      </c>
      <c r="R3257" s="4">
        <f t="shared" si="205"/>
        <v>-6.5041849965629464E-3</v>
      </c>
      <c r="S3257" s="4">
        <f t="shared" si="205"/>
        <v>-1.2127984329901132E-2</v>
      </c>
      <c r="T3257" s="4">
        <f t="shared" si="205"/>
        <v>-7.8439125351352952E-3</v>
      </c>
      <c r="U3257" s="35"/>
      <c r="V3257" s="35"/>
      <c r="W3257" s="35"/>
      <c r="X3257" s="35"/>
    </row>
    <row r="3258" spans="4:24" x14ac:dyDescent="0.3">
      <c r="D3258" s="23">
        <v>44309</v>
      </c>
      <c r="E3258" s="5">
        <v>398.70065299999999</v>
      </c>
      <c r="F3258" s="28">
        <v>78.602040000000002</v>
      </c>
      <c r="G3258" s="28">
        <v>166.4</v>
      </c>
      <c r="H3258" s="28">
        <v>333.0009</v>
      </c>
      <c r="I3258" s="28">
        <v>207.60890000000001</v>
      </c>
      <c r="J3258" s="29"/>
      <c r="K3258" s="29"/>
      <c r="L3258" s="29"/>
      <c r="M3258" s="29"/>
      <c r="N3258" s="29"/>
      <c r="P3258" s="4">
        <f t="shared" si="205"/>
        <v>1.0784003608725284E-2</v>
      </c>
      <c r="Q3258" s="4">
        <f t="shared" si="205"/>
        <v>1.1717939663730193E-4</v>
      </c>
      <c r="R3258" s="4">
        <f t="shared" si="205"/>
        <v>-3.8387763071656015E-3</v>
      </c>
      <c r="S3258" s="4">
        <f t="shared" si="205"/>
        <v>1.2511239910495645E-2</v>
      </c>
      <c r="T3258" s="4">
        <f t="shared" si="205"/>
        <v>1.2042321976654963E-2</v>
      </c>
      <c r="U3258" s="35"/>
      <c r="V3258" s="35"/>
      <c r="W3258" s="35"/>
      <c r="X3258" s="35"/>
    </row>
    <row r="3259" spans="4:24" x14ac:dyDescent="0.3">
      <c r="D3259" s="23">
        <v>44312</v>
      </c>
      <c r="E3259" s="5">
        <v>399.533051</v>
      </c>
      <c r="F3259" s="28">
        <v>78.546840000000003</v>
      </c>
      <c r="G3259" s="28">
        <v>166.84</v>
      </c>
      <c r="H3259" s="28">
        <v>335.16899999999998</v>
      </c>
      <c r="I3259" s="28">
        <v>208.364</v>
      </c>
      <c r="J3259" s="29"/>
      <c r="K3259" s="29"/>
      <c r="L3259" s="29"/>
      <c r="M3259" s="29"/>
      <c r="N3259" s="29"/>
      <c r="P3259" s="4">
        <f t="shared" si="205"/>
        <v>2.0856004890654391E-3</v>
      </c>
      <c r="Q3259" s="4">
        <f t="shared" si="205"/>
        <v>-7.025185578191965E-4</v>
      </c>
      <c r="R3259" s="4">
        <f t="shared" si="205"/>
        <v>2.6407409416362138E-3</v>
      </c>
      <c r="S3259" s="4">
        <f t="shared" si="205"/>
        <v>6.4896895514620079E-3</v>
      </c>
      <c r="T3259" s="4">
        <f t="shared" si="205"/>
        <v>3.6305289570445387E-3</v>
      </c>
      <c r="U3259" s="35"/>
      <c r="V3259" s="35"/>
      <c r="W3259" s="35"/>
      <c r="X3259" s="35"/>
    </row>
    <row r="3260" spans="4:24" x14ac:dyDescent="0.3">
      <c r="D3260" s="23">
        <v>44313</v>
      </c>
      <c r="E3260" s="5">
        <v>399.44689899999997</v>
      </c>
      <c r="F3260" s="28">
        <v>78.344449999999995</v>
      </c>
      <c r="G3260" s="28">
        <v>166.42</v>
      </c>
      <c r="H3260" s="28">
        <v>333.71699999999998</v>
      </c>
      <c r="I3260" s="28">
        <v>208.26840000000001</v>
      </c>
      <c r="J3260" s="29"/>
      <c r="K3260" s="29"/>
      <c r="L3260" s="29"/>
      <c r="M3260" s="29"/>
      <c r="N3260" s="29"/>
      <c r="P3260" s="4">
        <f t="shared" si="205"/>
        <v>-2.1565497440563332E-4</v>
      </c>
      <c r="Q3260" s="4">
        <f t="shared" si="205"/>
        <v>-2.5800044383102782E-3</v>
      </c>
      <c r="R3260" s="4">
        <f t="shared" si="205"/>
        <v>-2.5205558564607529E-3</v>
      </c>
      <c r="S3260" s="4">
        <f t="shared" si="205"/>
        <v>-4.3415538095852076E-3</v>
      </c>
      <c r="T3260" s="4">
        <f t="shared" si="205"/>
        <v>-4.5891774944922971E-4</v>
      </c>
      <c r="U3260" s="35"/>
      <c r="V3260" s="35"/>
      <c r="W3260" s="35"/>
      <c r="X3260" s="35"/>
    </row>
    <row r="3261" spans="4:24" x14ac:dyDescent="0.3">
      <c r="D3261" s="23">
        <v>44314</v>
      </c>
      <c r="E3261" s="5">
        <v>399.33212300000002</v>
      </c>
      <c r="F3261" s="28">
        <v>78.381259999999997</v>
      </c>
      <c r="G3261" s="28">
        <v>166.91</v>
      </c>
      <c r="H3261" s="28">
        <v>332.58879999999999</v>
      </c>
      <c r="I3261" s="28">
        <v>208.2397</v>
      </c>
      <c r="J3261" s="29"/>
      <c r="K3261" s="29"/>
      <c r="L3261" s="29"/>
      <c r="M3261" s="29"/>
      <c r="N3261" s="29"/>
      <c r="P3261" s="4">
        <f t="shared" si="205"/>
        <v>-2.8737860566859598E-4</v>
      </c>
      <c r="Q3261" s="4">
        <f t="shared" si="205"/>
        <v>4.6973787104682388E-4</v>
      </c>
      <c r="R3261" s="4">
        <f t="shared" si="205"/>
        <v>2.9400315180423903E-3</v>
      </c>
      <c r="S3261" s="4">
        <f t="shared" si="205"/>
        <v>-3.3864363125109005E-3</v>
      </c>
      <c r="T3261" s="4">
        <f t="shared" si="205"/>
        <v>-1.3781244612258851E-4</v>
      </c>
      <c r="U3261" s="35"/>
      <c r="V3261" s="35"/>
      <c r="W3261" s="35"/>
      <c r="X3261" s="35"/>
    </row>
    <row r="3262" spans="4:24" x14ac:dyDescent="0.3">
      <c r="D3262" s="23">
        <v>44315</v>
      </c>
      <c r="E3262" s="5">
        <v>401.87695300000001</v>
      </c>
      <c r="F3262" s="28">
        <v>78.316860000000005</v>
      </c>
      <c r="G3262" s="28">
        <v>166.22</v>
      </c>
      <c r="H3262" s="28">
        <v>333.78570000000002</v>
      </c>
      <c r="I3262" s="28">
        <v>209.03299999999999</v>
      </c>
      <c r="J3262" s="29"/>
      <c r="K3262" s="29"/>
      <c r="L3262" s="29"/>
      <c r="M3262" s="29"/>
      <c r="N3262" s="29"/>
      <c r="P3262" s="4">
        <f t="shared" si="205"/>
        <v>6.3524955822537449E-3</v>
      </c>
      <c r="Q3262" s="4">
        <f t="shared" si="205"/>
        <v>-8.2196268373650782E-4</v>
      </c>
      <c r="R3262" s="4">
        <f t="shared" si="205"/>
        <v>-4.142532865445853E-3</v>
      </c>
      <c r="S3262" s="4">
        <f t="shared" si="205"/>
        <v>3.5922781772482711E-3</v>
      </c>
      <c r="T3262" s="4">
        <f t="shared" si="205"/>
        <v>3.8023141977281114E-3</v>
      </c>
      <c r="U3262" s="35"/>
      <c r="V3262" s="35"/>
      <c r="W3262" s="35"/>
      <c r="X3262" s="35"/>
    </row>
    <row r="3263" spans="4:24" x14ac:dyDescent="0.3">
      <c r="D3263" s="23">
        <v>44316</v>
      </c>
      <c r="E3263" s="5">
        <v>399.23644999999999</v>
      </c>
      <c r="F3263" s="28">
        <v>78.427250000000001</v>
      </c>
      <c r="G3263" s="28">
        <v>165.66</v>
      </c>
      <c r="H3263" s="28">
        <v>331.59780000000001</v>
      </c>
      <c r="I3263" s="28">
        <v>207.50370000000001</v>
      </c>
      <c r="J3263" s="29"/>
      <c r="K3263" s="29"/>
      <c r="L3263" s="29"/>
      <c r="M3263" s="29"/>
      <c r="N3263" s="29"/>
      <c r="P3263" s="4">
        <f t="shared" si="205"/>
        <v>-6.5921068158848791E-3</v>
      </c>
      <c r="Q3263" s="4">
        <f t="shared" si="205"/>
        <v>1.4085380082345612E-3</v>
      </c>
      <c r="R3263" s="4">
        <f t="shared" si="205"/>
        <v>-3.374716954762204E-3</v>
      </c>
      <c r="S3263" s="4">
        <f t="shared" si="205"/>
        <v>-6.57638154637362E-3</v>
      </c>
      <c r="T3263" s="4">
        <f t="shared" si="205"/>
        <v>-7.3429634005130829E-3</v>
      </c>
      <c r="U3263" s="35"/>
      <c r="V3263" s="35"/>
      <c r="W3263" s="35"/>
      <c r="X3263" s="35"/>
    </row>
    <row r="3264" spans="4:24" x14ac:dyDescent="0.3">
      <c r="D3264" s="23">
        <v>44319</v>
      </c>
      <c r="E3264" s="5">
        <v>400.097534</v>
      </c>
      <c r="F3264" s="28">
        <v>78.446629999999999</v>
      </c>
      <c r="G3264" s="28">
        <v>167.81</v>
      </c>
      <c r="H3264" s="28">
        <v>329.83199999999999</v>
      </c>
      <c r="I3264" s="28">
        <v>207.86689999999999</v>
      </c>
      <c r="J3264" s="29"/>
      <c r="K3264" s="29"/>
      <c r="L3264" s="29"/>
      <c r="M3264" s="29"/>
      <c r="N3264" s="29"/>
      <c r="P3264" s="4">
        <f t="shared" si="205"/>
        <v>2.1545045008072024E-3</v>
      </c>
      <c r="Q3264" s="4">
        <f t="shared" si="205"/>
        <v>2.4707746246343024E-4</v>
      </c>
      <c r="R3264" s="4">
        <f t="shared" si="205"/>
        <v>1.2894891842952326E-2</v>
      </c>
      <c r="S3264" s="4">
        <f t="shared" si="205"/>
        <v>-5.3393548190742704E-3</v>
      </c>
      <c r="T3264" s="4">
        <f t="shared" si="205"/>
        <v>1.7488001922359477E-3</v>
      </c>
      <c r="U3264" s="35"/>
      <c r="V3264" s="35"/>
      <c r="W3264" s="35"/>
      <c r="X3264" s="35"/>
    </row>
    <row r="3265" spans="4:24" x14ac:dyDescent="0.3">
      <c r="D3265" s="23">
        <v>44320</v>
      </c>
      <c r="E3265" s="5">
        <v>397.62924199999998</v>
      </c>
      <c r="F3265" s="28">
        <v>78.547939999999997</v>
      </c>
      <c r="G3265" s="28">
        <v>166.58</v>
      </c>
      <c r="H3265" s="28">
        <v>323.8963</v>
      </c>
      <c r="I3265" s="28">
        <v>206.309</v>
      </c>
      <c r="J3265" s="29"/>
      <c r="K3265" s="29"/>
      <c r="L3265" s="29"/>
      <c r="M3265" s="29"/>
      <c r="N3265" s="29"/>
      <c r="P3265" s="4">
        <f t="shared" si="205"/>
        <v>-6.1883340293699294E-3</v>
      </c>
      <c r="Q3265" s="4">
        <f t="shared" si="205"/>
        <v>1.2906180648492829E-3</v>
      </c>
      <c r="R3265" s="4">
        <f t="shared" si="205"/>
        <v>-7.3567125058758799E-3</v>
      </c>
      <c r="S3265" s="4">
        <f t="shared" si="205"/>
        <v>-1.8160031087412643E-2</v>
      </c>
      <c r="T3265" s="4">
        <f t="shared" si="205"/>
        <v>-7.522926115997061E-3</v>
      </c>
      <c r="U3265" s="35"/>
      <c r="V3265" s="35"/>
      <c r="W3265" s="35"/>
      <c r="X3265" s="35"/>
    </row>
    <row r="3266" spans="4:24" x14ac:dyDescent="0.3">
      <c r="D3266" s="23">
        <v>44321</v>
      </c>
      <c r="E3266" s="5">
        <v>397.75357100000002</v>
      </c>
      <c r="F3266" s="28">
        <v>78.594030000000004</v>
      </c>
      <c r="G3266" s="28">
        <v>167.27</v>
      </c>
      <c r="H3266" s="28">
        <v>322.8073</v>
      </c>
      <c r="I3266" s="28">
        <v>206.27080000000001</v>
      </c>
      <c r="J3266" s="29"/>
      <c r="K3266" s="29"/>
      <c r="L3266" s="29"/>
      <c r="M3266" s="29"/>
      <c r="N3266" s="29"/>
      <c r="P3266" s="4">
        <f t="shared" si="205"/>
        <v>3.126268231613127E-4</v>
      </c>
      <c r="Q3266" s="4">
        <f t="shared" si="205"/>
        <v>5.8660332846343223E-4</v>
      </c>
      <c r="R3266" s="4">
        <f t="shared" si="205"/>
        <v>4.1335988167228582E-3</v>
      </c>
      <c r="S3266" s="4">
        <f t="shared" si="205"/>
        <v>-3.3678520711037394E-3</v>
      </c>
      <c r="T3266" s="4">
        <f t="shared" si="205"/>
        <v>-1.8517629854467732E-4</v>
      </c>
      <c r="U3266" s="35"/>
      <c r="V3266" s="35"/>
      <c r="W3266" s="35"/>
      <c r="X3266" s="35"/>
    </row>
    <row r="3267" spans="4:24" x14ac:dyDescent="0.3">
      <c r="D3267" s="23">
        <v>44322</v>
      </c>
      <c r="E3267" s="5">
        <v>400.92984000000001</v>
      </c>
      <c r="F3267" s="28">
        <v>78.630840000000006</v>
      </c>
      <c r="G3267" s="28">
        <v>170.06</v>
      </c>
      <c r="H3267" s="28">
        <v>325.24040000000002</v>
      </c>
      <c r="I3267" s="28">
        <v>207.32210000000001</v>
      </c>
      <c r="J3267" s="29"/>
      <c r="K3267" s="29"/>
      <c r="L3267" s="29"/>
      <c r="M3267" s="29"/>
      <c r="N3267" s="29"/>
      <c r="P3267" s="4">
        <f t="shared" si="205"/>
        <v>7.9538042264615666E-3</v>
      </c>
      <c r="Q3267" s="4">
        <f t="shared" si="205"/>
        <v>4.682465397818431E-4</v>
      </c>
      <c r="R3267" s="4">
        <f t="shared" si="205"/>
        <v>1.6542042633729118E-2</v>
      </c>
      <c r="S3267" s="4">
        <f t="shared" si="205"/>
        <v>7.5090504377623634E-3</v>
      </c>
      <c r="T3267" s="4">
        <f t="shared" si="205"/>
        <v>5.0837539241960685E-3</v>
      </c>
      <c r="U3267" s="35"/>
      <c r="V3267" s="35"/>
      <c r="W3267" s="35"/>
      <c r="X3267" s="35"/>
    </row>
    <row r="3268" spans="4:24" x14ac:dyDescent="0.3">
      <c r="D3268" s="23">
        <v>44323</v>
      </c>
      <c r="E3268" s="5">
        <v>403.84780899999998</v>
      </c>
      <c r="F3268" s="28">
        <v>78.640079999999998</v>
      </c>
      <c r="G3268" s="28">
        <v>171.59</v>
      </c>
      <c r="H3268" s="28">
        <v>327.87950000000001</v>
      </c>
      <c r="I3268" s="28">
        <v>209.08080000000001</v>
      </c>
      <c r="J3268" s="29"/>
      <c r="K3268" s="29"/>
      <c r="L3268" s="29"/>
      <c r="M3268" s="29"/>
      <c r="N3268" s="29"/>
      <c r="P3268" s="4">
        <f t="shared" si="205"/>
        <v>7.2516471866115959E-3</v>
      </c>
      <c r="Q3268" s="4">
        <f t="shared" si="205"/>
        <v>1.1750424058853079E-4</v>
      </c>
      <c r="R3268" s="4">
        <f t="shared" si="205"/>
        <v>8.9565943398832622E-3</v>
      </c>
      <c r="S3268" s="4">
        <f t="shared" si="205"/>
        <v>8.0815616356091705E-3</v>
      </c>
      <c r="T3268" s="4">
        <f t="shared" si="205"/>
        <v>8.4471575850213233E-3</v>
      </c>
      <c r="U3268" s="35"/>
      <c r="V3268" s="35"/>
      <c r="W3268" s="35"/>
      <c r="X3268" s="35"/>
    </row>
    <row r="3269" spans="4:24" x14ac:dyDescent="0.3">
      <c r="D3269" s="23">
        <v>44326</v>
      </c>
      <c r="E3269" s="5">
        <v>399.848724</v>
      </c>
      <c r="F3269" s="28">
        <v>78.455820000000003</v>
      </c>
      <c r="G3269" s="28">
        <v>172.11</v>
      </c>
      <c r="H3269" s="28">
        <v>319.5992</v>
      </c>
      <c r="I3269" s="28">
        <v>206.62440000000001</v>
      </c>
      <c r="J3269" s="29"/>
      <c r="K3269" s="29"/>
      <c r="L3269" s="29"/>
      <c r="M3269" s="29"/>
      <c r="N3269" s="29"/>
      <c r="P3269" s="4">
        <f t="shared" ref="P3269:T3284" si="206">LN(E3269/E3268)</f>
        <v>-9.9518110158161276E-3</v>
      </c>
      <c r="Q3269" s="4">
        <f t="shared" si="206"/>
        <v>-2.3458293246004301E-3</v>
      </c>
      <c r="R3269" s="4">
        <f t="shared" si="206"/>
        <v>3.0258969843597857E-3</v>
      </c>
      <c r="S3269" s="4">
        <f t="shared" si="206"/>
        <v>-2.5578452075439798E-2</v>
      </c>
      <c r="T3269" s="4">
        <f t="shared" si="206"/>
        <v>-1.1818127798269819E-2</v>
      </c>
      <c r="U3269" s="35"/>
      <c r="V3269" s="35"/>
      <c r="W3269" s="35"/>
      <c r="X3269" s="35"/>
    </row>
    <row r="3270" spans="4:24" x14ac:dyDescent="0.3">
      <c r="D3270" s="23">
        <v>44327</v>
      </c>
      <c r="E3270" s="5">
        <v>396.28021200000001</v>
      </c>
      <c r="F3270" s="28">
        <v>78.299199999999999</v>
      </c>
      <c r="G3270" s="28">
        <v>172.14</v>
      </c>
      <c r="H3270" s="28">
        <v>319.15769999999998</v>
      </c>
      <c r="I3270" s="28">
        <v>204.96129999999999</v>
      </c>
      <c r="J3270" s="29"/>
      <c r="K3270" s="29"/>
      <c r="L3270" s="29"/>
      <c r="M3270" s="29"/>
      <c r="N3270" s="29"/>
      <c r="P3270" s="4">
        <f t="shared" si="206"/>
        <v>-8.9647184961518748E-3</v>
      </c>
      <c r="Q3270" s="4">
        <f t="shared" si="206"/>
        <v>-1.9982779768942336E-3</v>
      </c>
      <c r="R3270" s="4">
        <f t="shared" si="206"/>
        <v>1.7429193943878705E-4</v>
      </c>
      <c r="S3270" s="4">
        <f t="shared" si="206"/>
        <v>-1.3823727628061069E-3</v>
      </c>
      <c r="T3270" s="4">
        <f t="shared" si="206"/>
        <v>-8.0814714963958947E-3</v>
      </c>
      <c r="U3270" s="35"/>
      <c r="V3270" s="35"/>
      <c r="W3270" s="35"/>
      <c r="X3270" s="35"/>
    </row>
    <row r="3271" spans="4:24" x14ac:dyDescent="0.3">
      <c r="D3271" s="23">
        <v>44328</v>
      </c>
      <c r="E3271" s="5">
        <v>387.86114500000002</v>
      </c>
      <c r="F3271" s="28">
        <v>78.022840000000002</v>
      </c>
      <c r="G3271" s="28">
        <v>170.43</v>
      </c>
      <c r="H3271" s="28">
        <v>310.89690000000002</v>
      </c>
      <c r="I3271" s="28">
        <v>200.34479999999999</v>
      </c>
      <c r="J3271" s="29"/>
      <c r="K3271" s="29"/>
      <c r="L3271" s="29"/>
      <c r="M3271" s="29"/>
      <c r="N3271" s="29"/>
      <c r="P3271" s="4">
        <f t="shared" si="206"/>
        <v>-2.1474165220101878E-2</v>
      </c>
      <c r="Q3271" s="4">
        <f t="shared" si="206"/>
        <v>-3.5357814920437404E-3</v>
      </c>
      <c r="R3271" s="4">
        <f t="shared" si="206"/>
        <v>-9.9834439841830387E-3</v>
      </c>
      <c r="S3271" s="4">
        <f t="shared" si="206"/>
        <v>-2.6223992034057814E-2</v>
      </c>
      <c r="T3271" s="4">
        <f t="shared" si="206"/>
        <v>-2.2781298663482379E-2</v>
      </c>
      <c r="U3271" s="35"/>
      <c r="V3271" s="35"/>
      <c r="W3271" s="35"/>
      <c r="X3271" s="35"/>
    </row>
    <row r="3272" spans="4:24" x14ac:dyDescent="0.3">
      <c r="D3272" s="23">
        <v>44329</v>
      </c>
      <c r="E3272" s="5">
        <v>392.520355</v>
      </c>
      <c r="F3272" s="28">
        <v>78.17944</v>
      </c>
      <c r="G3272" s="28">
        <v>171.13</v>
      </c>
      <c r="H3272" s="28">
        <v>313.3005</v>
      </c>
      <c r="I3272" s="28">
        <v>202.55269999999999</v>
      </c>
      <c r="J3272" s="29"/>
      <c r="K3272" s="29"/>
      <c r="L3272" s="29"/>
      <c r="M3272" s="29"/>
      <c r="N3272" s="29"/>
      <c r="P3272" s="4">
        <f t="shared" si="206"/>
        <v>1.1940993890543369E-2</v>
      </c>
      <c r="Q3272" s="4">
        <f t="shared" si="206"/>
        <v>2.0050930430232125E-3</v>
      </c>
      <c r="R3272" s="4">
        <f t="shared" si="206"/>
        <v>4.0988463522150641E-3</v>
      </c>
      <c r="S3272" s="4">
        <f t="shared" si="206"/>
        <v>7.7014479081197931E-3</v>
      </c>
      <c r="T3272" s="4">
        <f t="shared" si="206"/>
        <v>1.0960217435978544E-2</v>
      </c>
      <c r="U3272" s="35"/>
      <c r="V3272" s="35"/>
      <c r="W3272" s="35"/>
      <c r="X3272" s="35"/>
    </row>
    <row r="3273" spans="4:24" x14ac:dyDescent="0.3">
      <c r="D3273" s="23">
        <v>44330</v>
      </c>
      <c r="E3273" s="5">
        <v>398.54760700000003</v>
      </c>
      <c r="F3273" s="28">
        <v>78.363690000000005</v>
      </c>
      <c r="G3273" s="28">
        <v>172.69</v>
      </c>
      <c r="H3273" s="28">
        <v>320.21719999999999</v>
      </c>
      <c r="I3273" s="28">
        <v>206.0127</v>
      </c>
      <c r="J3273" s="29"/>
      <c r="K3273" s="29"/>
      <c r="L3273" s="29"/>
      <c r="M3273" s="29"/>
      <c r="N3273" s="29"/>
      <c r="P3273" s="4">
        <f t="shared" si="206"/>
        <v>1.5238560840046378E-2</v>
      </c>
      <c r="Q3273" s="4">
        <f t="shared" si="206"/>
        <v>2.3539849379681384E-3</v>
      </c>
      <c r="R3273" s="4">
        <f t="shared" si="206"/>
        <v>9.0745780072181825E-3</v>
      </c>
      <c r="S3273" s="4">
        <f t="shared" si="206"/>
        <v>2.1836721675840005E-2</v>
      </c>
      <c r="T3273" s="4">
        <f t="shared" si="206"/>
        <v>1.6937717772884726E-2</v>
      </c>
      <c r="U3273" s="35"/>
      <c r="V3273" s="35"/>
      <c r="W3273" s="35"/>
      <c r="X3273" s="35"/>
    </row>
    <row r="3274" spans="4:24" x14ac:dyDescent="0.3">
      <c r="D3274" s="23">
        <v>44333</v>
      </c>
      <c r="E3274" s="5">
        <v>397.533569</v>
      </c>
      <c r="F3274" s="28">
        <v>78.289990000000003</v>
      </c>
      <c r="G3274" s="28">
        <v>174.7</v>
      </c>
      <c r="H3274" s="28">
        <v>318.2747</v>
      </c>
      <c r="I3274" s="28">
        <v>205.57300000000001</v>
      </c>
      <c r="J3274" s="29"/>
      <c r="K3274" s="29"/>
      <c r="L3274" s="29"/>
      <c r="M3274" s="29"/>
      <c r="N3274" s="29"/>
      <c r="P3274" s="4">
        <f t="shared" si="206"/>
        <v>-2.5475757473193529E-3</v>
      </c>
      <c r="Q3274" s="4">
        <f t="shared" si="206"/>
        <v>-9.4092913026376382E-4</v>
      </c>
      <c r="R3274" s="4">
        <f t="shared" si="206"/>
        <v>1.1572137543432122E-2</v>
      </c>
      <c r="S3274" s="4">
        <f t="shared" si="206"/>
        <v>-6.0846691810081122E-3</v>
      </c>
      <c r="T3274" s="4">
        <f t="shared" si="206"/>
        <v>-2.136615374507799E-3</v>
      </c>
      <c r="U3274" s="35"/>
      <c r="V3274" s="35"/>
      <c r="W3274" s="35"/>
      <c r="X3274" s="35"/>
    </row>
    <row r="3275" spans="4:24" x14ac:dyDescent="0.3">
      <c r="D3275" s="23">
        <v>44334</v>
      </c>
      <c r="E3275" s="5">
        <v>394.10845899999998</v>
      </c>
      <c r="F3275" s="28">
        <v>78.207080000000005</v>
      </c>
      <c r="G3275" s="28">
        <v>175.04</v>
      </c>
      <c r="H3275" s="28">
        <v>316.12619999999998</v>
      </c>
      <c r="I3275" s="28">
        <v>203.96729999999999</v>
      </c>
      <c r="J3275" s="29"/>
      <c r="K3275" s="29"/>
      <c r="L3275" s="29"/>
      <c r="M3275" s="29"/>
      <c r="N3275" s="29"/>
      <c r="P3275" s="4">
        <f t="shared" si="206"/>
        <v>-8.6532327771100936E-3</v>
      </c>
      <c r="Q3275" s="4">
        <f t="shared" si="206"/>
        <v>-1.0595726521510211E-3</v>
      </c>
      <c r="R3275" s="4">
        <f t="shared" si="206"/>
        <v>1.9443020936054775E-3</v>
      </c>
      <c r="S3275" s="4">
        <f t="shared" si="206"/>
        <v>-6.7733454164538385E-3</v>
      </c>
      <c r="T3275" s="4">
        <f t="shared" si="206"/>
        <v>-7.8415151221028767E-3</v>
      </c>
      <c r="U3275" s="35"/>
      <c r="V3275" s="35"/>
      <c r="W3275" s="35"/>
      <c r="X3275" s="35"/>
    </row>
    <row r="3276" spans="4:24" x14ac:dyDescent="0.3">
      <c r="D3276" s="23">
        <v>44335</v>
      </c>
      <c r="E3276" s="5">
        <v>393.07522599999999</v>
      </c>
      <c r="F3276" s="28">
        <v>78.124179999999996</v>
      </c>
      <c r="G3276" s="28">
        <v>175.16</v>
      </c>
      <c r="H3276" s="28">
        <v>316.48910000000001</v>
      </c>
      <c r="I3276" s="28">
        <v>203.37469999999999</v>
      </c>
      <c r="J3276" s="29"/>
      <c r="K3276" s="29"/>
      <c r="L3276" s="29"/>
      <c r="M3276" s="29"/>
      <c r="N3276" s="29"/>
      <c r="P3276" s="4">
        <f t="shared" si="206"/>
        <v>-2.6251397559512828E-3</v>
      </c>
      <c r="Q3276" s="4">
        <f t="shared" si="206"/>
        <v>-1.0605685359477994E-3</v>
      </c>
      <c r="R3276" s="4">
        <f t="shared" si="206"/>
        <v>6.8532269958134298E-4</v>
      </c>
      <c r="S3276" s="4">
        <f t="shared" si="206"/>
        <v>1.1473008629638876E-3</v>
      </c>
      <c r="T3276" s="4">
        <f t="shared" si="206"/>
        <v>-2.9095964475402383E-3</v>
      </c>
      <c r="U3276" s="35"/>
      <c r="V3276" s="35"/>
      <c r="W3276" s="35"/>
      <c r="X3276" s="35"/>
    </row>
    <row r="3277" spans="4:24" x14ac:dyDescent="0.3">
      <c r="D3277" s="23">
        <v>44336</v>
      </c>
      <c r="E3277" s="5">
        <v>397.30386399999998</v>
      </c>
      <c r="F3277" s="28">
        <v>78.382130000000004</v>
      </c>
      <c r="G3277" s="28">
        <v>175.96</v>
      </c>
      <c r="H3277" s="28">
        <v>322.61110000000002</v>
      </c>
      <c r="I3277" s="28">
        <v>205.58260000000001</v>
      </c>
      <c r="J3277" s="29"/>
      <c r="K3277" s="29"/>
      <c r="L3277" s="29"/>
      <c r="M3277" s="29"/>
      <c r="N3277" s="29"/>
      <c r="P3277" s="4">
        <f t="shared" si="206"/>
        <v>1.0700380111320804E-2</v>
      </c>
      <c r="Q3277" s="4">
        <f t="shared" si="206"/>
        <v>3.2963557005829779E-3</v>
      </c>
      <c r="R3277" s="4">
        <f t="shared" si="206"/>
        <v>4.5568545473213635E-3</v>
      </c>
      <c r="S3277" s="4">
        <f t="shared" si="206"/>
        <v>1.9158771222019109E-2</v>
      </c>
      <c r="T3277" s="4">
        <f t="shared" si="206"/>
        <v>1.0797809218911483E-2</v>
      </c>
      <c r="U3277" s="35"/>
      <c r="V3277" s="35"/>
      <c r="W3277" s="35"/>
      <c r="X3277" s="35"/>
    </row>
    <row r="3278" spans="4:24" x14ac:dyDescent="0.3">
      <c r="D3278" s="23">
        <v>44337</v>
      </c>
      <c r="E3278" s="5">
        <v>396.97860700000001</v>
      </c>
      <c r="F3278" s="28">
        <v>78.400549999999996</v>
      </c>
      <c r="G3278" s="28">
        <v>176.04</v>
      </c>
      <c r="H3278" s="28">
        <v>320.82560000000001</v>
      </c>
      <c r="I3278" s="28">
        <v>205.46789999999999</v>
      </c>
      <c r="J3278" s="29"/>
      <c r="K3278" s="29"/>
      <c r="L3278" s="29"/>
      <c r="M3278" s="29"/>
      <c r="N3278" s="29"/>
      <c r="P3278" s="4">
        <f t="shared" si="206"/>
        <v>-8.1899583600550233E-4</v>
      </c>
      <c r="Q3278" s="4">
        <f t="shared" si="206"/>
        <v>2.349749358123282E-4</v>
      </c>
      <c r="R3278" s="4">
        <f t="shared" si="206"/>
        <v>4.5454546237155157E-4</v>
      </c>
      <c r="S3278" s="4">
        <f t="shared" si="206"/>
        <v>-5.5498997274708514E-3</v>
      </c>
      <c r="T3278" s="4">
        <f t="shared" si="206"/>
        <v>-5.5808229391289251E-4</v>
      </c>
      <c r="U3278" s="35"/>
      <c r="V3278" s="35"/>
      <c r="W3278" s="35"/>
      <c r="X3278" s="35"/>
    </row>
    <row r="3279" spans="4:24" x14ac:dyDescent="0.3">
      <c r="D3279" s="23">
        <v>44340</v>
      </c>
      <c r="E3279" s="5">
        <v>401.02551299999999</v>
      </c>
      <c r="F3279" s="28">
        <v>78.492679999999993</v>
      </c>
      <c r="G3279" s="28">
        <v>176.35</v>
      </c>
      <c r="H3279" s="28">
        <v>326.22149999999999</v>
      </c>
      <c r="I3279" s="28">
        <v>207.542</v>
      </c>
      <c r="J3279" s="29"/>
      <c r="K3279" s="29"/>
      <c r="L3279" s="29"/>
      <c r="M3279" s="29"/>
      <c r="N3279" s="29"/>
      <c r="P3279" s="4">
        <f t="shared" si="206"/>
        <v>1.014265613870175E-2</v>
      </c>
      <c r="Q3279" s="4">
        <f t="shared" si="206"/>
        <v>1.1744293949388872E-3</v>
      </c>
      <c r="R3279" s="4">
        <f t="shared" si="206"/>
        <v>1.7594147391703765E-3</v>
      </c>
      <c r="S3279" s="4">
        <f t="shared" si="206"/>
        <v>1.6678925192056108E-2</v>
      </c>
      <c r="T3279" s="4">
        <f t="shared" si="206"/>
        <v>1.0043911471687532E-2</v>
      </c>
      <c r="U3279" s="35"/>
      <c r="V3279" s="35"/>
      <c r="W3279" s="35"/>
      <c r="X3279" s="35"/>
    </row>
    <row r="3280" spans="4:24" x14ac:dyDescent="0.3">
      <c r="D3280" s="23">
        <v>44341</v>
      </c>
      <c r="E3280" s="5">
        <v>400.13577299999997</v>
      </c>
      <c r="F3280" s="28">
        <v>78.695369999999997</v>
      </c>
      <c r="G3280" s="28">
        <v>177.95</v>
      </c>
      <c r="H3280" s="28">
        <v>326.67290000000003</v>
      </c>
      <c r="I3280" s="28">
        <v>206.9684</v>
      </c>
      <c r="J3280" s="29"/>
      <c r="K3280" s="29"/>
      <c r="L3280" s="29"/>
      <c r="M3280" s="29"/>
      <c r="N3280" s="29"/>
      <c r="P3280" s="4">
        <f t="shared" si="206"/>
        <v>-2.2211267102769869E-3</v>
      </c>
      <c r="Q3280" s="4">
        <f t="shared" si="206"/>
        <v>2.5789506561178848E-3</v>
      </c>
      <c r="R3280" s="4">
        <f t="shared" si="206"/>
        <v>9.0319552741405917E-3</v>
      </c>
      <c r="S3280" s="4">
        <f t="shared" si="206"/>
        <v>1.3827659478306401E-3</v>
      </c>
      <c r="T3280" s="4">
        <f t="shared" si="206"/>
        <v>-2.7676042199684717E-3</v>
      </c>
      <c r="U3280" s="35"/>
      <c r="V3280" s="35"/>
      <c r="W3280" s="35"/>
      <c r="X3280" s="35"/>
    </row>
    <row r="3281" spans="4:24" x14ac:dyDescent="0.3">
      <c r="D3281" s="23">
        <v>44342</v>
      </c>
      <c r="E3281" s="5">
        <v>400.92984000000001</v>
      </c>
      <c r="F3281" s="28">
        <v>78.667730000000006</v>
      </c>
      <c r="G3281" s="28">
        <v>177.64</v>
      </c>
      <c r="H3281" s="28">
        <v>327.8109</v>
      </c>
      <c r="I3281" s="28">
        <v>207.714</v>
      </c>
      <c r="J3281" s="29"/>
      <c r="K3281" s="29"/>
      <c r="L3281" s="29"/>
      <c r="M3281" s="29"/>
      <c r="N3281" s="29"/>
      <c r="P3281" s="4">
        <f t="shared" si="206"/>
        <v>1.9825273915094399E-3</v>
      </c>
      <c r="Q3281" s="4">
        <f t="shared" si="206"/>
        <v>-3.5128947363433289E-4</v>
      </c>
      <c r="R3281" s="4">
        <f t="shared" si="206"/>
        <v>-1.7435815323001453E-3</v>
      </c>
      <c r="S3281" s="4">
        <f t="shared" si="206"/>
        <v>3.477553292701877E-3</v>
      </c>
      <c r="T3281" s="4">
        <f t="shared" si="206"/>
        <v>3.5960089141153866E-3</v>
      </c>
      <c r="U3281" s="35"/>
      <c r="V3281" s="35"/>
      <c r="W3281" s="35"/>
      <c r="X3281" s="35"/>
    </row>
    <row r="3282" spans="4:24" x14ac:dyDescent="0.3">
      <c r="D3282" s="23">
        <v>44343</v>
      </c>
      <c r="E3282" s="5">
        <v>401.14031999999997</v>
      </c>
      <c r="F3282" s="28">
        <v>78.557159999999996</v>
      </c>
      <c r="G3282" s="28">
        <v>177.71</v>
      </c>
      <c r="H3282" s="28">
        <v>326.58449999999999</v>
      </c>
      <c r="I3282" s="28">
        <v>208.09630000000001</v>
      </c>
      <c r="J3282" s="29"/>
      <c r="K3282" s="29"/>
      <c r="L3282" s="29"/>
      <c r="M3282" s="29"/>
      <c r="N3282" s="29"/>
      <c r="P3282" s="4">
        <f t="shared" si="206"/>
        <v>5.248418787491357E-4</v>
      </c>
      <c r="Q3282" s="4">
        <f t="shared" si="206"/>
        <v>-1.4065205353731699E-3</v>
      </c>
      <c r="R3282" s="4">
        <f t="shared" si="206"/>
        <v>3.9397777349346904E-4</v>
      </c>
      <c r="S3282" s="4">
        <f t="shared" si="206"/>
        <v>-3.7481969946778896E-3</v>
      </c>
      <c r="T3282" s="4">
        <f t="shared" si="206"/>
        <v>1.8388198066342258E-3</v>
      </c>
      <c r="U3282" s="35"/>
      <c r="V3282" s="35"/>
      <c r="W3282" s="35"/>
      <c r="X3282" s="35"/>
    </row>
    <row r="3283" spans="4:24" x14ac:dyDescent="0.3">
      <c r="D3283" s="23">
        <v>44344</v>
      </c>
      <c r="E3283" s="5">
        <v>401.85781900000001</v>
      </c>
      <c r="F3283" s="28">
        <v>78.547939999999997</v>
      </c>
      <c r="G3283" s="28">
        <v>178.38</v>
      </c>
      <c r="H3283" s="28">
        <v>327.61470000000003</v>
      </c>
      <c r="I3283" s="28">
        <v>208.45</v>
      </c>
      <c r="J3283" s="29"/>
      <c r="K3283" s="29"/>
      <c r="L3283" s="29"/>
      <c r="M3283" s="29"/>
      <c r="N3283" s="29"/>
      <c r="P3283" s="4">
        <f t="shared" si="206"/>
        <v>1.7870506943912321E-3</v>
      </c>
      <c r="Q3283" s="4">
        <f t="shared" si="206"/>
        <v>-1.1737365636872442E-4</v>
      </c>
      <c r="R3283" s="4">
        <f t="shared" si="206"/>
        <v>3.7630980406662302E-3</v>
      </c>
      <c r="S3283" s="4">
        <f t="shared" si="206"/>
        <v>3.1495020219444113E-3</v>
      </c>
      <c r="T3283" s="4">
        <f t="shared" si="206"/>
        <v>1.6982509987847722E-3</v>
      </c>
      <c r="U3283" s="35"/>
      <c r="V3283" s="35"/>
      <c r="W3283" s="35"/>
      <c r="X3283" s="35"/>
    </row>
    <row r="3284" spans="4:24" x14ac:dyDescent="0.3">
      <c r="D3284" s="23">
        <v>44348</v>
      </c>
      <c r="E3284" s="5">
        <v>401.50390599999997</v>
      </c>
      <c r="F3284" s="28">
        <v>78.542429999999996</v>
      </c>
      <c r="G3284" s="28">
        <v>177.9</v>
      </c>
      <c r="H3284" s="28">
        <v>326.5256</v>
      </c>
      <c r="I3284" s="28">
        <v>208.536</v>
      </c>
      <c r="J3284" s="29"/>
      <c r="K3284" s="29"/>
      <c r="L3284" s="29"/>
      <c r="M3284" s="29"/>
      <c r="N3284" s="29"/>
      <c r="P3284" s="4">
        <f t="shared" si="206"/>
        <v>-8.8108012090147819E-4</v>
      </c>
      <c r="Q3284" s="4">
        <f t="shared" si="206"/>
        <v>-7.0150703728790598E-5</v>
      </c>
      <c r="R3284" s="4">
        <f t="shared" si="206"/>
        <v>-2.6945115662717479E-3</v>
      </c>
      <c r="S3284" s="4">
        <f t="shared" si="206"/>
        <v>-3.3298697735981162E-3</v>
      </c>
      <c r="T3284" s="4">
        <f t="shared" si="206"/>
        <v>4.1248387820867505E-4</v>
      </c>
      <c r="U3284" s="35"/>
      <c r="V3284" s="35"/>
      <c r="W3284" s="35"/>
      <c r="X3284" s="35"/>
    </row>
    <row r="3285" spans="4:24" x14ac:dyDescent="0.3">
      <c r="D3285" s="23">
        <v>44349</v>
      </c>
      <c r="E3285" s="5">
        <v>402.13525399999997</v>
      </c>
      <c r="F3285" s="28">
        <v>78.625470000000007</v>
      </c>
      <c r="G3285" s="28">
        <v>178.77</v>
      </c>
      <c r="H3285" s="28">
        <v>327.16340000000002</v>
      </c>
      <c r="I3285" s="28">
        <v>208.81319999999999</v>
      </c>
      <c r="J3285" s="29"/>
      <c r="K3285" s="29"/>
      <c r="L3285" s="29"/>
      <c r="M3285" s="29"/>
      <c r="N3285" s="29"/>
      <c r="P3285" s="4">
        <f t="shared" ref="P3285:T3300" si="207">LN(E3285/E3284)</f>
        <v>1.5712229102580269E-3</v>
      </c>
      <c r="Q3285" s="4">
        <f t="shared" si="207"/>
        <v>1.0567044253571864E-3</v>
      </c>
      <c r="R3285" s="4">
        <f t="shared" si="207"/>
        <v>4.8784687552078784E-3</v>
      </c>
      <c r="S3285" s="4">
        <f t="shared" si="207"/>
        <v>1.9513872878097779E-3</v>
      </c>
      <c r="T3285" s="4">
        <f t="shared" si="207"/>
        <v>1.3283841960754598E-3</v>
      </c>
      <c r="U3285" s="35"/>
      <c r="V3285" s="35"/>
      <c r="W3285" s="35"/>
      <c r="X3285" s="35"/>
    </row>
    <row r="3286" spans="4:24" x14ac:dyDescent="0.3">
      <c r="D3286" s="23">
        <v>44350</v>
      </c>
      <c r="E3286" s="5">
        <v>400.64282200000002</v>
      </c>
      <c r="F3286" s="28">
        <v>78.477829999999997</v>
      </c>
      <c r="G3286" s="28">
        <v>175.27</v>
      </c>
      <c r="H3286" s="28">
        <v>323.75900000000001</v>
      </c>
      <c r="I3286" s="28">
        <v>207.886</v>
      </c>
      <c r="J3286" s="29"/>
      <c r="K3286" s="29"/>
      <c r="L3286" s="29"/>
      <c r="M3286" s="29"/>
      <c r="N3286" s="29"/>
      <c r="P3286" s="4">
        <f t="shared" si="207"/>
        <v>-3.7181725909057727E-3</v>
      </c>
      <c r="Q3286" s="4">
        <f t="shared" si="207"/>
        <v>-1.8795282271357504E-3</v>
      </c>
      <c r="R3286" s="4">
        <f t="shared" si="207"/>
        <v>-1.9772421341912559E-2</v>
      </c>
      <c r="S3286" s="4">
        <f t="shared" si="207"/>
        <v>-1.0460328426133656E-2</v>
      </c>
      <c r="T3286" s="4">
        <f t="shared" si="207"/>
        <v>-4.4502198719069564E-3</v>
      </c>
      <c r="U3286" s="35"/>
      <c r="V3286" s="35"/>
      <c r="W3286" s="35"/>
      <c r="X3286" s="35"/>
    </row>
    <row r="3287" spans="4:24" x14ac:dyDescent="0.3">
      <c r="D3287" s="23">
        <v>44351</v>
      </c>
      <c r="E3287" s="5">
        <v>404.30703699999998</v>
      </c>
      <c r="F3287" s="28">
        <v>78.791569999999993</v>
      </c>
      <c r="G3287" s="28">
        <v>177.16</v>
      </c>
      <c r="H3287" s="28">
        <v>329.25299999999999</v>
      </c>
      <c r="I3287" s="28">
        <v>209.6925</v>
      </c>
      <c r="J3287" s="29"/>
      <c r="K3287" s="29"/>
      <c r="L3287" s="29"/>
      <c r="M3287" s="29"/>
      <c r="N3287" s="29"/>
      <c r="P3287" s="4">
        <f t="shared" si="207"/>
        <v>9.104269710384515E-3</v>
      </c>
      <c r="Q3287" s="4">
        <f t="shared" si="207"/>
        <v>3.9898469276154619E-3</v>
      </c>
      <c r="R3287" s="4">
        <f t="shared" si="207"/>
        <v>1.0725636969912834E-2</v>
      </c>
      <c r="S3287" s="4">
        <f t="shared" si="207"/>
        <v>1.682704034403646E-2</v>
      </c>
      <c r="T3287" s="4">
        <f t="shared" si="207"/>
        <v>8.6523193599818294E-3</v>
      </c>
      <c r="U3287" s="35"/>
      <c r="V3287" s="35"/>
      <c r="W3287" s="35"/>
      <c r="X3287" s="35"/>
    </row>
    <row r="3288" spans="4:24" x14ac:dyDescent="0.3">
      <c r="D3288" s="23">
        <v>44354</v>
      </c>
      <c r="E3288" s="5">
        <v>403.91482500000001</v>
      </c>
      <c r="F3288" s="28">
        <v>78.736180000000004</v>
      </c>
      <c r="G3288" s="28">
        <v>177.87</v>
      </c>
      <c r="H3288" s="28">
        <v>330.23410000000001</v>
      </c>
      <c r="I3288" s="28">
        <v>209.8646</v>
      </c>
      <c r="J3288" s="29"/>
      <c r="K3288" s="29"/>
      <c r="L3288" s="29"/>
      <c r="M3288" s="29"/>
      <c r="N3288" s="29"/>
      <c r="P3288" s="4">
        <f t="shared" si="207"/>
        <v>-9.7055536166109225E-4</v>
      </c>
      <c r="Q3288" s="4">
        <f t="shared" si="207"/>
        <v>-7.0324120394969823E-4</v>
      </c>
      <c r="R3288" s="4">
        <f t="shared" si="207"/>
        <v>3.9996673323886549E-3</v>
      </c>
      <c r="S3288" s="4">
        <f t="shared" si="207"/>
        <v>2.9753446997825622E-3</v>
      </c>
      <c r="T3288" s="4">
        <f t="shared" si="207"/>
        <v>8.2038897519541565E-4</v>
      </c>
      <c r="U3288" s="35"/>
      <c r="V3288" s="35"/>
      <c r="W3288" s="35"/>
      <c r="X3288" s="35"/>
    </row>
    <row r="3289" spans="4:24" x14ac:dyDescent="0.3">
      <c r="D3289" s="23">
        <v>44355</v>
      </c>
      <c r="E3289" s="5">
        <v>404.00091600000002</v>
      </c>
      <c r="F3289" s="28">
        <v>78.88382</v>
      </c>
      <c r="G3289" s="28">
        <v>177.32</v>
      </c>
      <c r="H3289" s="28">
        <v>330.39120000000003</v>
      </c>
      <c r="I3289" s="28">
        <v>210.29470000000001</v>
      </c>
      <c r="J3289" s="29"/>
      <c r="K3289" s="29"/>
      <c r="L3289" s="29"/>
      <c r="M3289" s="29"/>
      <c r="N3289" s="29"/>
      <c r="P3289" s="4">
        <f t="shared" si="207"/>
        <v>2.1311875968482908E-4</v>
      </c>
      <c r="Q3289" s="4">
        <f t="shared" si="207"/>
        <v>1.8733668719525122E-3</v>
      </c>
      <c r="R3289" s="4">
        <f t="shared" si="207"/>
        <v>-3.096936510533299E-3</v>
      </c>
      <c r="S3289" s="4">
        <f t="shared" si="207"/>
        <v>4.7561001058057614E-4</v>
      </c>
      <c r="T3289" s="4">
        <f t="shared" si="207"/>
        <v>2.0473194344666811E-3</v>
      </c>
      <c r="U3289" s="35"/>
      <c r="V3289" s="35"/>
      <c r="W3289" s="35"/>
      <c r="X3289" s="35"/>
    </row>
    <row r="3290" spans="4:24" x14ac:dyDescent="0.3">
      <c r="D3290" s="23">
        <v>44356</v>
      </c>
      <c r="E3290" s="5">
        <v>403.39810199999999</v>
      </c>
      <c r="F3290" s="28">
        <v>79.040700000000001</v>
      </c>
      <c r="G3290" s="28">
        <v>176.98</v>
      </c>
      <c r="H3290" s="28">
        <v>330.46960000000001</v>
      </c>
      <c r="I3290" s="28">
        <v>209.702</v>
      </c>
      <c r="J3290" s="29"/>
      <c r="K3290" s="29"/>
      <c r="L3290" s="29"/>
      <c r="M3290" s="29"/>
      <c r="N3290" s="29"/>
      <c r="P3290" s="4">
        <f t="shared" si="207"/>
        <v>-1.4932247837064069E-3</v>
      </c>
      <c r="Q3290" s="4">
        <f t="shared" si="207"/>
        <v>1.9867725620303432E-3</v>
      </c>
      <c r="R3290" s="4">
        <f t="shared" si="207"/>
        <v>-1.9192780376486255E-3</v>
      </c>
      <c r="S3290" s="4">
        <f t="shared" si="207"/>
        <v>2.3726630590821003E-4</v>
      </c>
      <c r="T3290" s="4">
        <f t="shared" si="207"/>
        <v>-2.8224050020034925E-3</v>
      </c>
      <c r="U3290" s="35"/>
      <c r="V3290" s="35"/>
      <c r="W3290" s="35"/>
      <c r="X3290" s="35"/>
    </row>
    <row r="3291" spans="4:24" x14ac:dyDescent="0.3">
      <c r="D3291" s="23">
        <v>44357</v>
      </c>
      <c r="E3291" s="5">
        <v>405.273346</v>
      </c>
      <c r="F3291" s="28">
        <v>79.206770000000006</v>
      </c>
      <c r="G3291" s="28">
        <v>177.74</v>
      </c>
      <c r="H3291" s="28">
        <v>333.91329999999999</v>
      </c>
      <c r="I3291" s="28">
        <v>210.6292</v>
      </c>
      <c r="J3291" s="29"/>
      <c r="K3291" s="29"/>
      <c r="L3291" s="29"/>
      <c r="M3291" s="29"/>
      <c r="N3291" s="29"/>
      <c r="P3291" s="4">
        <f t="shared" si="207"/>
        <v>4.6378473382568432E-3</v>
      </c>
      <c r="Q3291" s="4">
        <f t="shared" si="207"/>
        <v>2.0988652894707422E-3</v>
      </c>
      <c r="R3291" s="4">
        <f t="shared" si="207"/>
        <v>4.2850764711251368E-3</v>
      </c>
      <c r="S3291" s="4">
        <f t="shared" si="207"/>
        <v>1.036670522597641E-2</v>
      </c>
      <c r="T3291" s="4">
        <f t="shared" si="207"/>
        <v>4.4117662638095342E-3</v>
      </c>
      <c r="U3291" s="35"/>
      <c r="V3291" s="35"/>
      <c r="W3291" s="35"/>
      <c r="X3291" s="35"/>
    </row>
    <row r="3292" spans="4:24" x14ac:dyDescent="0.3">
      <c r="D3292" s="23">
        <v>44358</v>
      </c>
      <c r="E3292" s="5">
        <v>405.942993</v>
      </c>
      <c r="F3292" s="28">
        <v>79.188320000000004</v>
      </c>
      <c r="G3292" s="28">
        <v>175.74</v>
      </c>
      <c r="H3292" s="28">
        <v>334.78640000000001</v>
      </c>
      <c r="I3292" s="28">
        <v>211.25049999999999</v>
      </c>
      <c r="J3292" s="29"/>
      <c r="K3292" s="29"/>
      <c r="L3292" s="29"/>
      <c r="M3292" s="29"/>
      <c r="N3292" s="29"/>
      <c r="P3292" s="4">
        <f t="shared" si="207"/>
        <v>1.6509705732268801E-3</v>
      </c>
      <c r="Q3292" s="4">
        <f t="shared" si="207"/>
        <v>-2.3296176773466619E-4</v>
      </c>
      <c r="R3292" s="4">
        <f t="shared" si="207"/>
        <v>-1.1316178242632072E-2</v>
      </c>
      <c r="S3292" s="4">
        <f t="shared" si="207"/>
        <v>2.611338082386846E-3</v>
      </c>
      <c r="T3292" s="4">
        <f t="shared" si="207"/>
        <v>2.9453915377545292E-3</v>
      </c>
      <c r="U3292" s="35"/>
      <c r="V3292" s="35"/>
      <c r="W3292" s="35"/>
      <c r="X3292" s="35"/>
    </row>
    <row r="3293" spans="4:24" x14ac:dyDescent="0.3">
      <c r="D3293" s="23">
        <v>44361</v>
      </c>
      <c r="E3293" s="5">
        <v>406.85192899999998</v>
      </c>
      <c r="F3293" s="28">
        <v>78.985309999999998</v>
      </c>
      <c r="G3293" s="28">
        <v>174.71</v>
      </c>
      <c r="H3293" s="28">
        <v>337.99450000000002</v>
      </c>
      <c r="I3293" s="28">
        <v>211.5754</v>
      </c>
      <c r="J3293" s="29"/>
      <c r="K3293" s="29"/>
      <c r="L3293" s="29"/>
      <c r="M3293" s="29"/>
      <c r="N3293" s="29"/>
      <c r="P3293" s="4">
        <f t="shared" si="207"/>
        <v>2.2365700234858624E-3</v>
      </c>
      <c r="Q3293" s="4">
        <f t="shared" si="207"/>
        <v>-2.5669273882298507E-3</v>
      </c>
      <c r="R3293" s="4">
        <f t="shared" si="207"/>
        <v>-5.8781735813439604E-3</v>
      </c>
      <c r="S3293" s="4">
        <f t="shared" si="207"/>
        <v>9.5369066374496464E-3</v>
      </c>
      <c r="T3293" s="4">
        <f t="shared" si="207"/>
        <v>1.5368030385306958E-3</v>
      </c>
      <c r="U3293" s="35"/>
      <c r="V3293" s="35"/>
      <c r="W3293" s="35"/>
      <c r="X3293" s="35"/>
    </row>
    <row r="3294" spans="4:24" x14ac:dyDescent="0.3">
      <c r="D3294" s="23">
        <v>44362</v>
      </c>
      <c r="E3294" s="5">
        <v>406.105682</v>
      </c>
      <c r="F3294" s="28">
        <v>78.985309999999998</v>
      </c>
      <c r="G3294" s="28">
        <v>174.05</v>
      </c>
      <c r="H3294" s="28">
        <v>335.78710000000001</v>
      </c>
      <c r="I3294" s="28">
        <v>211.02109999999999</v>
      </c>
      <c r="J3294" s="29"/>
      <c r="K3294" s="29"/>
      <c r="L3294" s="29"/>
      <c r="M3294" s="29"/>
      <c r="N3294" s="29"/>
      <c r="P3294" s="4">
        <f t="shared" si="207"/>
        <v>-1.8358822145274904E-3</v>
      </c>
      <c r="Q3294" s="4">
        <f t="shared" si="207"/>
        <v>0</v>
      </c>
      <c r="R3294" s="4">
        <f t="shared" si="207"/>
        <v>-3.7848422289052355E-3</v>
      </c>
      <c r="S3294" s="4">
        <f t="shared" si="207"/>
        <v>-6.5522949793835779E-3</v>
      </c>
      <c r="T3294" s="4">
        <f t="shared" si="207"/>
        <v>-2.6233076605184985E-3</v>
      </c>
      <c r="U3294" s="35"/>
      <c r="V3294" s="35"/>
      <c r="W3294" s="35"/>
      <c r="X3294" s="35"/>
    </row>
    <row r="3295" spans="4:24" x14ac:dyDescent="0.3">
      <c r="D3295" s="23">
        <v>44363</v>
      </c>
      <c r="E3295" s="5">
        <v>403.838165</v>
      </c>
      <c r="F3295" s="28">
        <v>78.76388</v>
      </c>
      <c r="G3295" s="28">
        <v>171.11</v>
      </c>
      <c r="H3295" s="28">
        <v>334.56079999999997</v>
      </c>
      <c r="I3295" s="28">
        <v>209.96969999999999</v>
      </c>
      <c r="J3295" s="29"/>
      <c r="K3295" s="29"/>
      <c r="L3295" s="29"/>
      <c r="M3295" s="29"/>
      <c r="N3295" s="29"/>
      <c r="P3295" s="4">
        <f t="shared" si="207"/>
        <v>-5.5992101983417661E-3</v>
      </c>
      <c r="Q3295" s="4">
        <f t="shared" si="207"/>
        <v>-2.8073696661151679E-3</v>
      </c>
      <c r="R3295" s="4">
        <f t="shared" si="207"/>
        <v>-1.7035989713568834E-2</v>
      </c>
      <c r="S3295" s="4">
        <f t="shared" si="207"/>
        <v>-3.6587013040456405E-3</v>
      </c>
      <c r="T3295" s="4">
        <f t="shared" si="207"/>
        <v>-4.9948938834018857E-3</v>
      </c>
      <c r="U3295" s="35"/>
      <c r="V3295" s="35"/>
      <c r="W3295" s="35"/>
      <c r="X3295" s="35"/>
    </row>
    <row r="3296" spans="4:24" x14ac:dyDescent="0.3">
      <c r="D3296" s="23">
        <v>44364</v>
      </c>
      <c r="E3296" s="5">
        <v>403.70425399999999</v>
      </c>
      <c r="F3296" s="28">
        <v>79.031450000000007</v>
      </c>
      <c r="G3296" s="28">
        <v>165.85</v>
      </c>
      <c r="H3296" s="28">
        <v>338.80880000000002</v>
      </c>
      <c r="I3296" s="28">
        <v>209.76900000000001</v>
      </c>
      <c r="J3296" s="29"/>
      <c r="K3296" s="29"/>
      <c r="L3296" s="29"/>
      <c r="M3296" s="29"/>
      <c r="N3296" s="29"/>
      <c r="P3296" s="4">
        <f t="shared" si="207"/>
        <v>-3.3165069246336048E-4</v>
      </c>
      <c r="Q3296" s="4">
        <f t="shared" si="207"/>
        <v>3.3913583684693971E-3</v>
      </c>
      <c r="R3296" s="4">
        <f t="shared" si="207"/>
        <v>-3.122285915081769E-2</v>
      </c>
      <c r="S3296" s="4">
        <f t="shared" si="207"/>
        <v>1.2617309588707121E-2</v>
      </c>
      <c r="T3296" s="4">
        <f t="shared" si="207"/>
        <v>-9.5630931956214424E-4</v>
      </c>
      <c r="U3296" s="35"/>
      <c r="V3296" s="35"/>
      <c r="W3296" s="35"/>
      <c r="X3296" s="35"/>
    </row>
    <row r="3297" spans="4:24" x14ac:dyDescent="0.3">
      <c r="D3297" s="23">
        <v>44365</v>
      </c>
      <c r="E3297" s="5">
        <v>398.25814800000001</v>
      </c>
      <c r="F3297" s="28">
        <v>79.28058</v>
      </c>
      <c r="G3297" s="28">
        <v>164.93</v>
      </c>
      <c r="H3297" s="28">
        <v>336.15010000000001</v>
      </c>
      <c r="I3297" s="28">
        <v>207.16919999999999</v>
      </c>
      <c r="J3297" s="29"/>
      <c r="K3297" s="29"/>
      <c r="L3297" s="29"/>
      <c r="M3297" s="29"/>
      <c r="N3297" s="29"/>
      <c r="P3297" s="4">
        <f t="shared" si="207"/>
        <v>-1.3582157240020164E-2</v>
      </c>
      <c r="Q3297" s="4">
        <f t="shared" si="207"/>
        <v>3.1473313259949283E-3</v>
      </c>
      <c r="R3297" s="4">
        <f t="shared" si="207"/>
        <v>-5.5626239330005042E-3</v>
      </c>
      <c r="S3297" s="4">
        <f t="shared" si="207"/>
        <v>-7.8781500653114754E-3</v>
      </c>
      <c r="T3297" s="4">
        <f t="shared" si="207"/>
        <v>-1.2471074586061793E-2</v>
      </c>
      <c r="U3297" s="35"/>
      <c r="V3297" s="35"/>
      <c r="W3297" s="35"/>
      <c r="X3297" s="35"/>
    </row>
    <row r="3298" spans="4:24" x14ac:dyDescent="0.3">
      <c r="D3298" s="23">
        <v>44368</v>
      </c>
      <c r="E3298" s="5">
        <v>403.95959499999998</v>
      </c>
      <c r="F3298" s="28">
        <v>79.003780000000006</v>
      </c>
      <c r="G3298" s="28">
        <v>166.95</v>
      </c>
      <c r="H3298" s="28">
        <v>338.23930000000001</v>
      </c>
      <c r="I3298" s="28">
        <v>210.02699999999999</v>
      </c>
      <c r="J3298" s="29"/>
      <c r="K3298" s="29"/>
      <c r="L3298" s="29"/>
      <c r="M3298" s="29"/>
      <c r="N3298" s="29"/>
      <c r="P3298" s="4">
        <f t="shared" si="207"/>
        <v>1.4214452492118402E-2</v>
      </c>
      <c r="Q3298" s="4">
        <f t="shared" si="207"/>
        <v>-3.4975064139516616E-3</v>
      </c>
      <c r="R3298" s="4">
        <f t="shared" si="207"/>
        <v>1.2173224929602634E-2</v>
      </c>
      <c r="S3298" s="4">
        <f t="shared" si="207"/>
        <v>6.1958467420648684E-3</v>
      </c>
      <c r="T3298" s="4">
        <f t="shared" si="207"/>
        <v>1.3700243194068399E-2</v>
      </c>
      <c r="U3298" s="35"/>
      <c r="V3298" s="35"/>
      <c r="W3298" s="35"/>
      <c r="X3298" s="35"/>
    </row>
    <row r="3299" spans="4:24" x14ac:dyDescent="0.3">
      <c r="D3299" s="23">
        <v>44369</v>
      </c>
      <c r="E3299" s="5">
        <v>406.11917099999999</v>
      </c>
      <c r="F3299" s="28">
        <v>79.114509999999996</v>
      </c>
      <c r="G3299" s="28">
        <v>166.25</v>
      </c>
      <c r="H3299" s="28">
        <v>341.39229999999998</v>
      </c>
      <c r="I3299" s="28">
        <v>211.2218</v>
      </c>
      <c r="J3299" s="29"/>
      <c r="K3299" s="29"/>
      <c r="L3299" s="29"/>
      <c r="M3299" s="29"/>
      <c r="N3299" s="29"/>
      <c r="P3299" s="4">
        <f t="shared" si="207"/>
        <v>5.3317805790067674E-3</v>
      </c>
      <c r="Q3299" s="4">
        <f t="shared" si="207"/>
        <v>1.4005972123949031E-3</v>
      </c>
      <c r="R3299" s="4">
        <f t="shared" si="207"/>
        <v>-4.2016868536999697E-3</v>
      </c>
      <c r="S3299" s="4">
        <f t="shared" si="207"/>
        <v>9.2786227740480638E-3</v>
      </c>
      <c r="T3299" s="4">
        <f t="shared" si="207"/>
        <v>5.6726723208474763E-3</v>
      </c>
      <c r="U3299" s="35"/>
      <c r="V3299" s="35"/>
      <c r="W3299" s="35"/>
      <c r="X3299" s="35"/>
    </row>
    <row r="3300" spans="4:24" x14ac:dyDescent="0.3">
      <c r="D3300" s="23">
        <v>44370</v>
      </c>
      <c r="E3300" s="5">
        <v>405.62976099999997</v>
      </c>
      <c r="F3300" s="28">
        <v>79.059139999999999</v>
      </c>
      <c r="G3300" s="28">
        <v>166.14</v>
      </c>
      <c r="H3300" s="28">
        <v>341.55919999999998</v>
      </c>
      <c r="I3300" s="28">
        <v>211.13570000000001</v>
      </c>
      <c r="J3300" s="29"/>
      <c r="K3300" s="29"/>
      <c r="L3300" s="29"/>
      <c r="M3300" s="29"/>
      <c r="N3300" s="29"/>
      <c r="P3300" s="4">
        <f t="shared" si="207"/>
        <v>-1.2058163306580382E-3</v>
      </c>
      <c r="Q3300" s="4">
        <f t="shared" si="207"/>
        <v>-7.0011664094100413E-4</v>
      </c>
      <c r="R3300" s="4">
        <f t="shared" si="207"/>
        <v>-6.6187312503816775E-4</v>
      </c>
      <c r="S3300" s="4">
        <f t="shared" si="207"/>
        <v>4.8876092467049792E-4</v>
      </c>
      <c r="T3300" s="4">
        <f t="shared" si="207"/>
        <v>-4.0771148229966169E-4</v>
      </c>
      <c r="U3300" s="35"/>
      <c r="V3300" s="35"/>
      <c r="W3300" s="35"/>
      <c r="X3300" s="35"/>
    </row>
    <row r="3301" spans="4:24" x14ac:dyDescent="0.3">
      <c r="D3301" s="23">
        <v>44371</v>
      </c>
      <c r="E3301" s="5">
        <v>408.02941900000002</v>
      </c>
      <c r="F3301" s="28">
        <v>79.096050000000005</v>
      </c>
      <c r="G3301" s="28">
        <v>166.04</v>
      </c>
      <c r="H3301" s="28">
        <v>343.67099999999999</v>
      </c>
      <c r="I3301" s="28">
        <v>212.56899999999999</v>
      </c>
      <c r="J3301" s="29"/>
      <c r="K3301" s="29"/>
      <c r="L3301" s="29"/>
      <c r="M3301" s="29"/>
      <c r="N3301" s="29"/>
      <c r="P3301" s="4">
        <f t="shared" ref="P3301:T3316" si="208">LN(E3301/E3300)</f>
        <v>5.8984523651598808E-3</v>
      </c>
      <c r="Q3301" s="4">
        <f t="shared" si="208"/>
        <v>4.6675674279313844E-4</v>
      </c>
      <c r="R3301" s="4">
        <f t="shared" si="208"/>
        <v>-6.0208322608746472E-4</v>
      </c>
      <c r="S3301" s="4">
        <f t="shared" si="208"/>
        <v>6.1637875446917357E-3</v>
      </c>
      <c r="T3301" s="4">
        <f t="shared" si="208"/>
        <v>6.7655868212881231E-3</v>
      </c>
      <c r="U3301" s="35"/>
      <c r="V3301" s="35"/>
      <c r="W3301" s="35"/>
      <c r="X3301" s="35"/>
    </row>
    <row r="3302" spans="4:24" x14ac:dyDescent="0.3">
      <c r="D3302" s="23">
        <v>44372</v>
      </c>
      <c r="E3302" s="5">
        <v>409.47866800000003</v>
      </c>
      <c r="F3302" s="28">
        <v>78.948400000000007</v>
      </c>
      <c r="G3302" s="28">
        <v>166.59</v>
      </c>
      <c r="H3302" s="28">
        <v>343.24860000000001</v>
      </c>
      <c r="I3302" s="28">
        <v>213.3648</v>
      </c>
      <c r="J3302" s="29"/>
      <c r="K3302" s="29"/>
      <c r="L3302" s="29"/>
      <c r="M3302" s="29"/>
      <c r="N3302" s="29"/>
      <c r="P3302" s="4">
        <f t="shared" si="208"/>
        <v>3.5455319433048403E-3</v>
      </c>
      <c r="Q3302" s="4">
        <f t="shared" si="208"/>
        <v>-1.8684622326909006E-3</v>
      </c>
      <c r="R3302" s="4">
        <f t="shared" si="208"/>
        <v>3.3069807367876198E-3</v>
      </c>
      <c r="S3302" s="4">
        <f t="shared" si="208"/>
        <v>-1.2298384068239329E-3</v>
      </c>
      <c r="T3302" s="4">
        <f t="shared" si="208"/>
        <v>3.7367352672741023E-3</v>
      </c>
      <c r="U3302" s="35"/>
      <c r="V3302" s="35"/>
      <c r="W3302" s="35"/>
      <c r="X3302" s="35"/>
    </row>
    <row r="3303" spans="4:24" x14ac:dyDescent="0.3">
      <c r="D3303" s="23">
        <v>44375</v>
      </c>
      <c r="E3303" s="5">
        <v>410.30419899999998</v>
      </c>
      <c r="F3303" s="28">
        <v>79.160650000000004</v>
      </c>
      <c r="G3303" s="28">
        <v>166.58</v>
      </c>
      <c r="H3303" s="28">
        <v>347.42309999999998</v>
      </c>
      <c r="I3303" s="28">
        <v>213.6045</v>
      </c>
      <c r="J3303" s="29"/>
      <c r="K3303" s="29"/>
      <c r="L3303" s="29"/>
      <c r="M3303" s="29"/>
      <c r="N3303" s="29"/>
      <c r="P3303" s="4">
        <f t="shared" si="208"/>
        <v>2.0140242307592365E-3</v>
      </c>
      <c r="Q3303" s="4">
        <f t="shared" si="208"/>
        <v>2.6848574132804053E-3</v>
      </c>
      <c r="R3303" s="4">
        <f t="shared" si="208"/>
        <v>-6.0029414430986759E-5</v>
      </c>
      <c r="S3303" s="4">
        <f t="shared" si="208"/>
        <v>1.2088379571580597E-2</v>
      </c>
      <c r="T3303" s="4">
        <f t="shared" si="208"/>
        <v>1.1227974713028503E-3</v>
      </c>
      <c r="U3303" s="35"/>
      <c r="V3303" s="35"/>
      <c r="W3303" s="35"/>
      <c r="X3303" s="35"/>
    </row>
    <row r="3304" spans="4:24" x14ac:dyDescent="0.3">
      <c r="D3304" s="23">
        <v>44376</v>
      </c>
      <c r="E3304" s="5">
        <v>410.52496300000001</v>
      </c>
      <c r="F3304" s="28">
        <v>79.197550000000007</v>
      </c>
      <c r="G3304" s="28">
        <v>164.83</v>
      </c>
      <c r="H3304" s="28">
        <v>348.68029999999999</v>
      </c>
      <c r="I3304" s="28">
        <v>213.61410000000001</v>
      </c>
      <c r="J3304" s="29"/>
      <c r="K3304" s="29"/>
      <c r="L3304" s="29"/>
      <c r="M3304" s="29"/>
      <c r="N3304" s="29"/>
      <c r="P3304" s="4">
        <f t="shared" si="208"/>
        <v>5.3790487848924616E-4</v>
      </c>
      <c r="Q3304" s="4">
        <f t="shared" si="208"/>
        <v>4.660320800292519E-4</v>
      </c>
      <c r="R3304" s="4">
        <f t="shared" si="208"/>
        <v>-1.0561034763929783E-2</v>
      </c>
      <c r="S3304" s="4">
        <f t="shared" si="208"/>
        <v>3.6121109792787444E-3</v>
      </c>
      <c r="T3304" s="4">
        <f t="shared" si="208"/>
        <v>4.494186349395062E-5</v>
      </c>
      <c r="U3304" s="35"/>
      <c r="V3304" s="35"/>
      <c r="W3304" s="35"/>
      <c r="X3304" s="35"/>
    </row>
    <row r="3305" spans="4:24" x14ac:dyDescent="0.3">
      <c r="D3305" s="23">
        <v>44377</v>
      </c>
      <c r="E3305" s="5">
        <v>410.87051400000001</v>
      </c>
      <c r="F3305" s="28">
        <v>79.252920000000003</v>
      </c>
      <c r="G3305" s="28">
        <v>165.63</v>
      </c>
      <c r="H3305" s="28">
        <v>348.13029999999998</v>
      </c>
      <c r="I3305" s="28">
        <v>213.62370000000001</v>
      </c>
      <c r="J3305" s="29"/>
      <c r="K3305" s="29"/>
      <c r="L3305" s="29"/>
      <c r="M3305" s="29"/>
      <c r="N3305" s="29"/>
      <c r="P3305" s="4">
        <f t="shared" si="208"/>
        <v>8.413755129186945E-4</v>
      </c>
      <c r="Q3305" s="4">
        <f t="shared" si="208"/>
        <v>6.9889350601235226E-4</v>
      </c>
      <c r="R3305" s="4">
        <f t="shared" si="208"/>
        <v>4.8417452207983333E-3</v>
      </c>
      <c r="S3305" s="4">
        <f t="shared" si="208"/>
        <v>-1.5786215485779902E-3</v>
      </c>
      <c r="T3305" s="4">
        <f t="shared" si="208"/>
        <v>4.4939843813479679E-5</v>
      </c>
      <c r="U3305" s="35"/>
      <c r="V3305" s="35"/>
      <c r="W3305" s="35"/>
      <c r="X3305" s="35"/>
    </row>
    <row r="3306" spans="4:24" x14ac:dyDescent="0.3">
      <c r="D3306" s="23">
        <v>44378</v>
      </c>
      <c r="E3306" s="5">
        <v>413.14532500000001</v>
      </c>
      <c r="F3306" s="28">
        <v>79.245530000000002</v>
      </c>
      <c r="G3306" s="28">
        <v>166.2</v>
      </c>
      <c r="H3306" s="28">
        <v>348.2679</v>
      </c>
      <c r="I3306" s="28">
        <v>214.78370000000001</v>
      </c>
      <c r="J3306" s="29"/>
      <c r="K3306" s="29"/>
      <c r="L3306" s="29"/>
      <c r="M3306" s="29"/>
      <c r="N3306" s="29"/>
      <c r="P3306" s="4">
        <f t="shared" si="208"/>
        <v>5.5212938180069244E-3</v>
      </c>
      <c r="Q3306" s="4">
        <f t="shared" si="208"/>
        <v>-9.3250123333763954E-5</v>
      </c>
      <c r="R3306" s="4">
        <f t="shared" si="208"/>
        <v>3.4354974572847704E-3</v>
      </c>
      <c r="S3306" s="4">
        <f t="shared" si="208"/>
        <v>3.9517621323740821E-4</v>
      </c>
      <c r="T3306" s="4">
        <f t="shared" si="208"/>
        <v>5.4154192244076178E-3</v>
      </c>
      <c r="U3306" s="35"/>
      <c r="V3306" s="35"/>
      <c r="W3306" s="35"/>
      <c r="X3306" s="35"/>
    </row>
    <row r="3307" spans="4:24" x14ac:dyDescent="0.3">
      <c r="D3307" s="23">
        <v>44379</v>
      </c>
      <c r="E3307" s="5">
        <v>416.303223</v>
      </c>
      <c r="F3307" s="28">
        <v>79.384110000000007</v>
      </c>
      <c r="G3307" s="28">
        <v>167.29</v>
      </c>
      <c r="H3307" s="28">
        <v>352.26549999999997</v>
      </c>
      <c r="I3307" s="28">
        <v>215.9725</v>
      </c>
      <c r="J3307" s="29"/>
      <c r="K3307" s="29"/>
      <c r="L3307" s="29"/>
      <c r="M3307" s="29"/>
      <c r="N3307" s="29"/>
      <c r="P3307" s="4">
        <f t="shared" si="208"/>
        <v>7.6144886036034138E-3</v>
      </c>
      <c r="Q3307" s="4">
        <f t="shared" si="208"/>
        <v>1.7472148994889601E-3</v>
      </c>
      <c r="R3307" s="4">
        <f t="shared" si="208"/>
        <v>6.5369509218415759E-3</v>
      </c>
      <c r="S3307" s="4">
        <f t="shared" si="208"/>
        <v>1.1413141454173131E-2</v>
      </c>
      <c r="T3307" s="4">
        <f t="shared" si="208"/>
        <v>5.5196095525609007E-3</v>
      </c>
      <c r="U3307" s="35"/>
      <c r="V3307" s="35"/>
      <c r="W3307" s="35"/>
      <c r="X3307" s="35"/>
    </row>
    <row r="3308" spans="4:24" x14ac:dyDescent="0.3">
      <c r="D3308" s="23">
        <v>44383</v>
      </c>
      <c r="E3308" s="5">
        <v>415.54495200000002</v>
      </c>
      <c r="F3308" s="28">
        <v>79.670630000000003</v>
      </c>
      <c r="G3308" s="28">
        <v>168.12</v>
      </c>
      <c r="H3308" s="28">
        <v>353.78800000000001</v>
      </c>
      <c r="I3308" s="28">
        <v>215.50280000000001</v>
      </c>
      <c r="J3308" s="29"/>
      <c r="K3308" s="29"/>
      <c r="L3308" s="29"/>
      <c r="M3308" s="29"/>
      <c r="N3308" s="29"/>
      <c r="P3308" s="4">
        <f t="shared" si="208"/>
        <v>-1.823100014667149E-3</v>
      </c>
      <c r="Q3308" s="4">
        <f t="shared" si="208"/>
        <v>3.6027886993009574E-3</v>
      </c>
      <c r="R3308" s="4">
        <f t="shared" si="208"/>
        <v>4.9491767937266274E-3</v>
      </c>
      <c r="S3308" s="4">
        <f t="shared" si="208"/>
        <v>4.3127110333930265E-3</v>
      </c>
      <c r="T3308" s="4">
        <f t="shared" si="208"/>
        <v>-2.1771822652943058E-3</v>
      </c>
      <c r="U3308" s="35"/>
      <c r="V3308" s="35"/>
      <c r="W3308" s="35"/>
      <c r="X3308" s="35"/>
    </row>
    <row r="3309" spans="4:24" x14ac:dyDescent="0.3">
      <c r="D3309" s="23">
        <v>44384</v>
      </c>
      <c r="E3309" s="5">
        <v>417.01348899999999</v>
      </c>
      <c r="F3309" s="28">
        <v>79.836950000000002</v>
      </c>
      <c r="G3309" s="28">
        <v>168.76</v>
      </c>
      <c r="H3309" s="28">
        <v>354.53449999999998</v>
      </c>
      <c r="I3309" s="28">
        <v>215.79040000000001</v>
      </c>
      <c r="J3309" s="29"/>
      <c r="K3309" s="29"/>
      <c r="L3309" s="29"/>
      <c r="M3309" s="29"/>
      <c r="N3309" s="29"/>
      <c r="P3309" s="4">
        <f t="shared" si="208"/>
        <v>3.5277728281829994E-3</v>
      </c>
      <c r="Q3309" s="4">
        <f t="shared" si="208"/>
        <v>2.0854188907729358E-3</v>
      </c>
      <c r="R3309" s="4">
        <f t="shared" si="208"/>
        <v>3.7995771192219818E-3</v>
      </c>
      <c r="S3309" s="4">
        <f t="shared" si="208"/>
        <v>2.1077977231552577E-3</v>
      </c>
      <c r="T3309" s="4">
        <f t="shared" si="208"/>
        <v>1.3336637008350589E-3</v>
      </c>
      <c r="U3309" s="35"/>
      <c r="V3309" s="35"/>
      <c r="W3309" s="35"/>
      <c r="X3309" s="35"/>
    </row>
    <row r="3310" spans="4:24" x14ac:dyDescent="0.3">
      <c r="D3310" s="23">
        <v>44385</v>
      </c>
      <c r="E3310" s="5">
        <v>413.61563100000001</v>
      </c>
      <c r="F3310" s="28">
        <v>79.910910000000001</v>
      </c>
      <c r="G3310" s="28">
        <v>168.65</v>
      </c>
      <c r="H3310" s="28">
        <v>352.39319999999998</v>
      </c>
      <c r="I3310" s="28">
        <v>213.96879999999999</v>
      </c>
      <c r="J3310" s="29"/>
      <c r="K3310" s="29"/>
      <c r="L3310" s="29"/>
      <c r="M3310" s="29"/>
      <c r="N3310" s="29"/>
      <c r="P3310" s="4">
        <f t="shared" si="208"/>
        <v>-8.1814539641573997E-3</v>
      </c>
      <c r="Q3310" s="4">
        <f t="shared" si="208"/>
        <v>9.2595926210782185E-4</v>
      </c>
      <c r="R3310" s="4">
        <f t="shared" si="208"/>
        <v>-6.5202574847857521E-4</v>
      </c>
      <c r="S3310" s="4">
        <f t="shared" si="208"/>
        <v>-6.0580637845413943E-3</v>
      </c>
      <c r="T3310" s="4">
        <f t="shared" si="208"/>
        <v>-8.4773561993795755E-3</v>
      </c>
      <c r="U3310" s="35"/>
      <c r="V3310" s="35"/>
      <c r="W3310" s="35"/>
      <c r="X3310" s="35"/>
    </row>
    <row r="3311" spans="4:24" x14ac:dyDescent="0.3">
      <c r="D3311" s="23">
        <v>44386</v>
      </c>
      <c r="E3311" s="5">
        <v>418.030914</v>
      </c>
      <c r="F3311" s="28">
        <v>79.661379999999994</v>
      </c>
      <c r="G3311" s="28">
        <v>169.21</v>
      </c>
      <c r="H3311" s="28">
        <v>354.59339999999997</v>
      </c>
      <c r="I3311" s="28">
        <v>216.5574</v>
      </c>
      <c r="J3311" s="29"/>
      <c r="K3311" s="29"/>
      <c r="L3311" s="29"/>
      <c r="M3311" s="29"/>
      <c r="N3311" s="29"/>
      <c r="P3311" s="4">
        <f t="shared" si="208"/>
        <v>1.0618271694585551E-2</v>
      </c>
      <c r="Q3311" s="4">
        <f t="shared" si="208"/>
        <v>-3.12748790396468E-3</v>
      </c>
      <c r="R3311" s="4">
        <f t="shared" si="208"/>
        <v>3.3149855728760126E-3</v>
      </c>
      <c r="S3311" s="4">
        <f t="shared" si="208"/>
        <v>6.2241833241490413E-3</v>
      </c>
      <c r="T3311" s="4">
        <f t="shared" si="208"/>
        <v>1.2025429323079687E-2</v>
      </c>
      <c r="U3311" s="35"/>
      <c r="V3311" s="35"/>
      <c r="W3311" s="35"/>
      <c r="X3311" s="35"/>
    </row>
    <row r="3312" spans="4:24" x14ac:dyDescent="0.3">
      <c r="D3312" s="23">
        <v>44389</v>
      </c>
      <c r="E3312" s="5">
        <v>419.52832000000001</v>
      </c>
      <c r="F3312" s="28">
        <v>79.633650000000003</v>
      </c>
      <c r="G3312" s="28">
        <v>169</v>
      </c>
      <c r="H3312" s="28">
        <v>355.97829999999999</v>
      </c>
      <c r="I3312" s="28">
        <v>217.16139999999999</v>
      </c>
      <c r="J3312" s="29"/>
      <c r="K3312" s="29"/>
      <c r="L3312" s="29"/>
      <c r="M3312" s="29"/>
      <c r="N3312" s="29"/>
      <c r="P3312" s="4">
        <f t="shared" si="208"/>
        <v>3.5756458399724979E-3</v>
      </c>
      <c r="Q3312" s="4">
        <f t="shared" si="208"/>
        <v>-3.4815901387629075E-4</v>
      </c>
      <c r="R3312" s="4">
        <f t="shared" si="208"/>
        <v>-1.2418321574618159E-3</v>
      </c>
      <c r="S3312" s="4">
        <f t="shared" si="208"/>
        <v>3.8979929922739885E-3</v>
      </c>
      <c r="T3312" s="4">
        <f t="shared" si="208"/>
        <v>2.7852165525557595E-3</v>
      </c>
      <c r="U3312" s="35"/>
      <c r="V3312" s="35"/>
      <c r="W3312" s="35"/>
      <c r="X3312" s="35"/>
    </row>
    <row r="3313" spans="4:24" x14ac:dyDescent="0.3">
      <c r="D3313" s="23">
        <v>44390</v>
      </c>
      <c r="E3313" s="5">
        <v>418.09811400000001</v>
      </c>
      <c r="F3313" s="28">
        <v>79.384110000000007</v>
      </c>
      <c r="G3313" s="28">
        <v>169.22</v>
      </c>
      <c r="H3313" s="28">
        <v>355.97829999999999</v>
      </c>
      <c r="I3313" s="28">
        <v>215.95339999999999</v>
      </c>
      <c r="J3313" s="29"/>
      <c r="K3313" s="29"/>
      <c r="L3313" s="29"/>
      <c r="M3313" s="29"/>
      <c r="N3313" s="29"/>
      <c r="P3313" s="4">
        <f t="shared" si="208"/>
        <v>-3.414905098067049E-3</v>
      </c>
      <c r="Q3313" s="4">
        <f t="shared" si="208"/>
        <v>-3.1385199343407148E-3</v>
      </c>
      <c r="R3313" s="4">
        <f t="shared" si="208"/>
        <v>1.3009285732813148E-3</v>
      </c>
      <c r="S3313" s="4">
        <f t="shared" si="208"/>
        <v>0</v>
      </c>
      <c r="T3313" s="4">
        <f t="shared" si="208"/>
        <v>-5.5782122078848802E-3</v>
      </c>
      <c r="U3313" s="35"/>
      <c r="V3313" s="35"/>
      <c r="W3313" s="35"/>
      <c r="X3313" s="35"/>
    </row>
    <row r="3314" spans="4:24" x14ac:dyDescent="0.3">
      <c r="D3314" s="23">
        <v>44391</v>
      </c>
      <c r="E3314" s="5">
        <v>418.72195399999998</v>
      </c>
      <c r="F3314" s="28">
        <v>79.652150000000006</v>
      </c>
      <c r="G3314" s="28">
        <v>171.04</v>
      </c>
      <c r="H3314" s="28">
        <v>356.61669999999998</v>
      </c>
      <c r="I3314" s="28">
        <v>215.65620000000001</v>
      </c>
      <c r="J3314" s="29"/>
      <c r="K3314" s="29"/>
      <c r="L3314" s="29"/>
      <c r="M3314" s="29"/>
      <c r="N3314" s="29"/>
      <c r="P3314" s="4">
        <f t="shared" si="208"/>
        <v>1.4909779041463458E-3</v>
      </c>
      <c r="Q3314" s="4">
        <f t="shared" si="208"/>
        <v>3.3708068059035683E-3</v>
      </c>
      <c r="R3314" s="4">
        <f t="shared" si="208"/>
        <v>1.0697803780380225E-2</v>
      </c>
      <c r="S3314" s="4">
        <f t="shared" si="208"/>
        <v>1.7917615778772864E-3</v>
      </c>
      <c r="T3314" s="4">
        <f t="shared" si="208"/>
        <v>-1.3771706976509466E-3</v>
      </c>
      <c r="U3314" s="35"/>
      <c r="V3314" s="35"/>
      <c r="W3314" s="35"/>
      <c r="X3314" s="35"/>
    </row>
    <row r="3315" spans="4:24" x14ac:dyDescent="0.3">
      <c r="D3315" s="23">
        <v>44392</v>
      </c>
      <c r="E3315" s="5">
        <v>417.29187000000002</v>
      </c>
      <c r="F3315" s="28">
        <v>79.846220000000002</v>
      </c>
      <c r="G3315" s="28">
        <v>171.07</v>
      </c>
      <c r="H3315" s="28">
        <v>354.1121</v>
      </c>
      <c r="I3315" s="28">
        <v>214.89879999999999</v>
      </c>
      <c r="J3315" s="29"/>
      <c r="K3315" s="29"/>
      <c r="L3315" s="29"/>
      <c r="M3315" s="29"/>
      <c r="N3315" s="29"/>
      <c r="P3315" s="4">
        <f t="shared" si="208"/>
        <v>-3.4212003529769798E-3</v>
      </c>
      <c r="Q3315" s="4">
        <f t="shared" si="208"/>
        <v>2.4335056937913237E-3</v>
      </c>
      <c r="R3315" s="4">
        <f t="shared" si="208"/>
        <v>1.7538218746550516E-4</v>
      </c>
      <c r="S3315" s="4">
        <f t="shared" si="208"/>
        <v>-7.0480058437584984E-3</v>
      </c>
      <c r="T3315" s="4">
        <f t="shared" si="208"/>
        <v>-3.5182533300725199E-3</v>
      </c>
      <c r="U3315" s="35"/>
      <c r="V3315" s="35"/>
      <c r="W3315" s="35"/>
      <c r="X3315" s="35"/>
    </row>
    <row r="3316" spans="4:24" x14ac:dyDescent="0.3">
      <c r="D3316" s="23">
        <v>44393</v>
      </c>
      <c r="E3316" s="5">
        <v>414.01873799999998</v>
      </c>
      <c r="F3316" s="28">
        <v>79.772300000000001</v>
      </c>
      <c r="G3316" s="28">
        <v>169.41</v>
      </c>
      <c r="H3316" s="28">
        <v>351.24400000000003</v>
      </c>
      <c r="I3316" s="28">
        <v>213.2114</v>
      </c>
      <c r="J3316" s="29"/>
      <c r="K3316" s="29"/>
      <c r="L3316" s="29"/>
      <c r="M3316" s="29"/>
      <c r="N3316" s="29"/>
      <c r="P3316" s="4">
        <f t="shared" si="208"/>
        <v>-7.8746713503133493E-3</v>
      </c>
      <c r="Q3316" s="4">
        <f t="shared" si="208"/>
        <v>-9.262083783814865E-4</v>
      </c>
      <c r="R3316" s="4">
        <f t="shared" si="208"/>
        <v>-9.7510171113454804E-3</v>
      </c>
      <c r="S3316" s="4">
        <f t="shared" si="208"/>
        <v>-8.1323910206093069E-3</v>
      </c>
      <c r="T3316" s="4">
        <f t="shared" si="208"/>
        <v>-7.8830578588240836E-3</v>
      </c>
      <c r="U3316" s="35"/>
      <c r="V3316" s="35"/>
      <c r="W3316" s="35"/>
      <c r="X3316" s="35"/>
    </row>
    <row r="3317" spans="4:24" x14ac:dyDescent="0.3">
      <c r="D3317" s="23">
        <v>44396</v>
      </c>
      <c r="E3317" s="5">
        <v>407.90457199999997</v>
      </c>
      <c r="F3317" s="28">
        <v>80.225120000000004</v>
      </c>
      <c r="G3317" s="28">
        <v>169.61</v>
      </c>
      <c r="H3317" s="28">
        <v>348.36610000000002</v>
      </c>
      <c r="I3317" s="28">
        <v>210.18180000000001</v>
      </c>
      <c r="J3317" s="29"/>
      <c r="K3317" s="29"/>
      <c r="L3317" s="29"/>
      <c r="M3317" s="29"/>
      <c r="N3317" s="29"/>
      <c r="P3317" s="4">
        <f t="shared" ref="P3317:T3332" si="209">LN(E3317/E3316)</f>
        <v>-1.4877978780374754E-2</v>
      </c>
      <c r="Q3317" s="4">
        <f t="shared" si="209"/>
        <v>5.6603563859338093E-3</v>
      </c>
      <c r="R3317" s="4">
        <f t="shared" si="209"/>
        <v>1.1798715308926518E-3</v>
      </c>
      <c r="S3317" s="4">
        <f t="shared" si="209"/>
        <v>-8.2272003590991485E-3</v>
      </c>
      <c r="T3317" s="4">
        <f t="shared" si="209"/>
        <v>-1.4311291292791826E-2</v>
      </c>
      <c r="U3317" s="35"/>
      <c r="V3317" s="35"/>
      <c r="W3317" s="35"/>
      <c r="X3317" s="35"/>
    </row>
    <row r="3318" spans="4:24" x14ac:dyDescent="0.3">
      <c r="D3318" s="23">
        <v>44397</v>
      </c>
      <c r="E3318" s="5">
        <v>413.75006100000002</v>
      </c>
      <c r="F3318" s="28">
        <v>80.141930000000002</v>
      </c>
      <c r="G3318" s="28">
        <v>169.39</v>
      </c>
      <c r="H3318" s="28">
        <v>352.4128</v>
      </c>
      <c r="I3318" s="28">
        <v>213.81540000000001</v>
      </c>
      <c r="J3318" s="29"/>
      <c r="K3318" s="29"/>
      <c r="L3318" s="29"/>
      <c r="M3318" s="29"/>
      <c r="N3318" s="29"/>
      <c r="P3318" s="4">
        <f t="shared" si="209"/>
        <v>1.4228819233023425E-2</v>
      </c>
      <c r="Q3318" s="4">
        <f t="shared" si="209"/>
        <v>-1.0374950148688623E-3</v>
      </c>
      <c r="R3318" s="4">
        <f t="shared" si="209"/>
        <v>-1.2979352854573965E-3</v>
      </c>
      <c r="S3318" s="4">
        <f t="shared" si="209"/>
        <v>1.1549277470910673E-2</v>
      </c>
      <c r="T3318" s="4">
        <f t="shared" si="209"/>
        <v>1.7140155442728483E-2</v>
      </c>
      <c r="U3318" s="35"/>
      <c r="V3318" s="35"/>
      <c r="W3318" s="35"/>
      <c r="X3318" s="35"/>
    </row>
    <row r="3319" spans="4:24" x14ac:dyDescent="0.3">
      <c r="D3319" s="23">
        <v>44398</v>
      </c>
      <c r="E3319" s="5">
        <v>417.09988399999997</v>
      </c>
      <c r="F3319" s="28">
        <v>79.883160000000004</v>
      </c>
      <c r="G3319" s="28">
        <v>168.76</v>
      </c>
      <c r="H3319" s="28">
        <v>355.1336</v>
      </c>
      <c r="I3319" s="28">
        <v>215.7329</v>
      </c>
      <c r="J3319" s="29"/>
      <c r="K3319" s="29"/>
      <c r="L3319" s="29"/>
      <c r="M3319" s="29"/>
      <c r="N3319" s="29"/>
      <c r="P3319" s="4">
        <f t="shared" si="209"/>
        <v>8.0636489688100353E-3</v>
      </c>
      <c r="Q3319" s="4">
        <f t="shared" si="209"/>
        <v>-3.2341206688420157E-3</v>
      </c>
      <c r="R3319" s="4">
        <f t="shared" si="209"/>
        <v>-3.7261613421524916E-3</v>
      </c>
      <c r="S3319" s="4">
        <f t="shared" si="209"/>
        <v>7.6908409428542044E-3</v>
      </c>
      <c r="T3319" s="4">
        <f t="shared" si="209"/>
        <v>8.9280424900652199E-3</v>
      </c>
      <c r="U3319" s="35"/>
      <c r="V3319" s="35"/>
      <c r="W3319" s="35"/>
      <c r="X3319" s="35"/>
    </row>
    <row r="3320" spans="4:24" x14ac:dyDescent="0.3">
      <c r="D3320" s="23">
        <v>44399</v>
      </c>
      <c r="E3320" s="5">
        <v>417.973389</v>
      </c>
      <c r="F3320" s="28">
        <v>80.058750000000003</v>
      </c>
      <c r="G3320" s="28">
        <v>169.09</v>
      </c>
      <c r="H3320" s="28">
        <v>357.48110000000003</v>
      </c>
      <c r="I3320" s="28">
        <v>215.91499999999999</v>
      </c>
      <c r="J3320" s="29"/>
      <c r="K3320" s="29"/>
      <c r="L3320" s="29"/>
      <c r="M3320" s="29"/>
      <c r="N3320" s="29"/>
      <c r="P3320" s="4">
        <f t="shared" si="209"/>
        <v>2.0920447266799852E-3</v>
      </c>
      <c r="Q3320" s="4">
        <f t="shared" si="209"/>
        <v>2.1956730483334453E-3</v>
      </c>
      <c r="R3320" s="4">
        <f t="shared" si="209"/>
        <v>1.9535302942000053E-3</v>
      </c>
      <c r="S3320" s="4">
        <f t="shared" si="209"/>
        <v>6.5884368974881416E-3</v>
      </c>
      <c r="T3320" s="4">
        <f t="shared" si="209"/>
        <v>8.4374329541793522E-4</v>
      </c>
      <c r="U3320" s="35"/>
      <c r="V3320" s="35"/>
      <c r="W3320" s="35"/>
      <c r="X3320" s="35"/>
    </row>
    <row r="3321" spans="4:24" x14ac:dyDescent="0.3">
      <c r="D3321" s="23">
        <v>44400</v>
      </c>
      <c r="E3321" s="5">
        <v>422.27340700000002</v>
      </c>
      <c r="F3321" s="28">
        <v>79.966329999999999</v>
      </c>
      <c r="G3321" s="28">
        <v>168.56</v>
      </c>
      <c r="H3321" s="28">
        <v>361.65550000000002</v>
      </c>
      <c r="I3321" s="28">
        <v>218.07220000000001</v>
      </c>
      <c r="J3321" s="29"/>
      <c r="K3321" s="29"/>
      <c r="L3321" s="29"/>
      <c r="M3321" s="29"/>
      <c r="N3321" s="29"/>
      <c r="P3321" s="4">
        <f t="shared" si="209"/>
        <v>1.0235220317333127E-2</v>
      </c>
      <c r="Q3321" s="4">
        <f t="shared" si="209"/>
        <v>-1.1550690713661323E-3</v>
      </c>
      <c r="R3321" s="4">
        <f t="shared" si="209"/>
        <v>-3.1393480544041944E-3</v>
      </c>
      <c r="S3321" s="4">
        <f t="shared" si="209"/>
        <v>1.160960765007381E-2</v>
      </c>
      <c r="T3321" s="4">
        <f t="shared" si="209"/>
        <v>9.9413889005414372E-3</v>
      </c>
      <c r="U3321" s="35"/>
      <c r="V3321" s="35"/>
      <c r="W3321" s="35"/>
      <c r="X3321" s="35"/>
    </row>
    <row r="3322" spans="4:24" x14ac:dyDescent="0.3">
      <c r="D3322" s="23">
        <v>44403</v>
      </c>
      <c r="E3322" s="5">
        <v>423.31002799999999</v>
      </c>
      <c r="F3322" s="28">
        <v>79.920169999999999</v>
      </c>
      <c r="G3322" s="28">
        <v>168.16</v>
      </c>
      <c r="H3322" s="28">
        <v>361.94040000000001</v>
      </c>
      <c r="I3322" s="28">
        <v>218.51320000000001</v>
      </c>
      <c r="J3322" s="29"/>
      <c r="K3322" s="29"/>
      <c r="L3322" s="29"/>
      <c r="M3322" s="29"/>
      <c r="N3322" s="29"/>
      <c r="P3322" s="4">
        <f t="shared" si="209"/>
        <v>2.4518491644988571E-3</v>
      </c>
      <c r="Q3322" s="4">
        <f t="shared" si="209"/>
        <v>-5.7740961597739146E-4</v>
      </c>
      <c r="R3322" s="4">
        <f t="shared" si="209"/>
        <v>-2.3758623672926141E-3</v>
      </c>
      <c r="S3322" s="4">
        <f t="shared" si="209"/>
        <v>7.8745613324214721E-4</v>
      </c>
      <c r="T3322" s="4">
        <f t="shared" si="209"/>
        <v>2.0202239927764585E-3</v>
      </c>
      <c r="U3322" s="35"/>
      <c r="V3322" s="35"/>
      <c r="W3322" s="35"/>
      <c r="X3322" s="35"/>
    </row>
    <row r="3323" spans="4:24" x14ac:dyDescent="0.3">
      <c r="D3323" s="23">
        <v>44404</v>
      </c>
      <c r="E3323" s="5">
        <v>421.38082900000001</v>
      </c>
      <c r="F3323" s="28">
        <v>80.123459999999994</v>
      </c>
      <c r="G3323" s="28">
        <v>168.44</v>
      </c>
      <c r="H3323" s="28">
        <v>357.95249999999999</v>
      </c>
      <c r="I3323" s="28">
        <v>217.3339</v>
      </c>
      <c r="J3323" s="29"/>
      <c r="K3323" s="29"/>
      <c r="L3323" s="29"/>
      <c r="M3323" s="29"/>
      <c r="N3323" s="29"/>
      <c r="P3323" s="4">
        <f t="shared" si="209"/>
        <v>-4.5678305581702263E-3</v>
      </c>
      <c r="Q3323" s="4">
        <f t="shared" si="209"/>
        <v>2.5404336221663626E-3</v>
      </c>
      <c r="R3323" s="4">
        <f t="shared" si="209"/>
        <v>1.6636961650861096E-3</v>
      </c>
      <c r="S3323" s="4">
        <f t="shared" si="209"/>
        <v>-1.1079261353518039E-2</v>
      </c>
      <c r="T3323" s="4">
        <f t="shared" si="209"/>
        <v>-5.4115439931258233E-3</v>
      </c>
      <c r="U3323" s="35"/>
      <c r="V3323" s="35"/>
      <c r="W3323" s="35"/>
      <c r="X3323" s="35"/>
    </row>
    <row r="3324" spans="4:24" x14ac:dyDescent="0.3">
      <c r="D3324" s="23">
        <v>44405</v>
      </c>
      <c r="E3324" s="5">
        <v>421.20803799999999</v>
      </c>
      <c r="F3324" s="28">
        <v>80.197400000000002</v>
      </c>
      <c r="G3324" s="28">
        <v>169.29</v>
      </c>
      <c r="H3324" s="28">
        <v>359.32769999999999</v>
      </c>
      <c r="I3324" s="28">
        <v>217.6695</v>
      </c>
      <c r="J3324" s="29"/>
      <c r="K3324" s="29"/>
      <c r="L3324" s="29"/>
      <c r="M3324" s="29"/>
      <c r="N3324" s="29"/>
      <c r="P3324" s="4">
        <f t="shared" si="209"/>
        <v>-4.1014309395622769E-4</v>
      </c>
      <c r="Q3324" s="4">
        <f t="shared" si="209"/>
        <v>9.2240030701544668E-4</v>
      </c>
      <c r="R3324" s="4">
        <f t="shared" si="209"/>
        <v>5.0336173554314245E-3</v>
      </c>
      <c r="S3324" s="4">
        <f t="shared" si="209"/>
        <v>3.8344894645044661E-3</v>
      </c>
      <c r="T3324" s="4">
        <f t="shared" si="209"/>
        <v>1.5429767518249583E-3</v>
      </c>
      <c r="U3324" s="35"/>
      <c r="V3324" s="35"/>
      <c r="W3324" s="35"/>
      <c r="X3324" s="35"/>
    </row>
    <row r="3325" spans="4:24" x14ac:dyDescent="0.3">
      <c r="D3325" s="23">
        <v>44406</v>
      </c>
      <c r="E3325" s="5">
        <v>422.95486499999998</v>
      </c>
      <c r="F3325" s="28">
        <v>80.058750000000003</v>
      </c>
      <c r="G3325" s="28">
        <v>171.17</v>
      </c>
      <c r="H3325" s="28">
        <v>359.96620000000001</v>
      </c>
      <c r="I3325" s="28">
        <v>218.62819999999999</v>
      </c>
      <c r="J3325" s="29"/>
      <c r="K3325" s="29"/>
      <c r="L3325" s="29"/>
      <c r="M3325" s="29"/>
      <c r="N3325" s="29"/>
      <c r="P3325" s="4">
        <f t="shared" si="209"/>
        <v>4.1386075770597046E-3</v>
      </c>
      <c r="Q3325" s="4">
        <f t="shared" si="209"/>
        <v>-1.7303552418382816E-3</v>
      </c>
      <c r="R3325" s="4">
        <f t="shared" si="209"/>
        <v>1.1043994058414526E-2</v>
      </c>
      <c r="S3325" s="4">
        <f t="shared" si="209"/>
        <v>1.7753526554476953E-3</v>
      </c>
      <c r="T3325" s="4">
        <f t="shared" si="209"/>
        <v>4.3947127981067355E-3</v>
      </c>
      <c r="U3325" s="35"/>
      <c r="V3325" s="35"/>
      <c r="W3325" s="35"/>
      <c r="X3325" s="35"/>
    </row>
    <row r="3326" spans="4:24" x14ac:dyDescent="0.3">
      <c r="D3326" s="23">
        <v>44407</v>
      </c>
      <c r="E3326" s="5">
        <v>420.90087899999997</v>
      </c>
      <c r="F3326" s="28">
        <v>80.178899999999999</v>
      </c>
      <c r="G3326" s="28">
        <v>169.82</v>
      </c>
      <c r="H3326" s="28">
        <v>358.09010000000001</v>
      </c>
      <c r="I3326" s="28">
        <v>217.3339</v>
      </c>
      <c r="J3326" s="29"/>
      <c r="K3326" s="29"/>
      <c r="L3326" s="29"/>
      <c r="M3326" s="29"/>
      <c r="N3326" s="29"/>
      <c r="P3326" s="4">
        <f t="shared" si="209"/>
        <v>-4.8681070691586606E-3</v>
      </c>
      <c r="Q3326" s="4">
        <f t="shared" si="209"/>
        <v>1.4996478357932614E-3</v>
      </c>
      <c r="R3326" s="4">
        <f t="shared" si="209"/>
        <v>-7.9181621363555027E-3</v>
      </c>
      <c r="S3326" s="4">
        <f t="shared" si="209"/>
        <v>-5.2255074401613404E-3</v>
      </c>
      <c r="T3326" s="4">
        <f t="shared" si="209"/>
        <v>-5.9376895499316119E-3</v>
      </c>
      <c r="U3326" s="35"/>
      <c r="V3326" s="35"/>
      <c r="W3326" s="35"/>
      <c r="X3326" s="35"/>
    </row>
    <row r="3327" spans="4:24" x14ac:dyDescent="0.3">
      <c r="D3327" s="23">
        <v>44410</v>
      </c>
      <c r="E3327" s="5">
        <v>420.01773100000003</v>
      </c>
      <c r="F3327" s="28">
        <v>80.369590000000002</v>
      </c>
      <c r="G3327" s="28">
        <v>169.61</v>
      </c>
      <c r="H3327" s="28">
        <v>358.11959999999999</v>
      </c>
      <c r="I3327" s="28">
        <v>217.02709999999999</v>
      </c>
      <c r="J3327" s="29"/>
      <c r="K3327" s="29"/>
      <c r="L3327" s="29"/>
      <c r="M3327" s="29"/>
      <c r="N3327" s="29"/>
      <c r="P3327" s="4">
        <f t="shared" si="209"/>
        <v>-2.1004371034004116E-3</v>
      </c>
      <c r="Q3327" s="4">
        <f t="shared" si="209"/>
        <v>2.3754828173179316E-3</v>
      </c>
      <c r="R3327" s="4">
        <f t="shared" si="209"/>
        <v>-1.2373686874695624E-3</v>
      </c>
      <c r="S3327" s="4">
        <f t="shared" si="209"/>
        <v>8.2378108022371704E-5</v>
      </c>
      <c r="T3327" s="4">
        <f t="shared" si="209"/>
        <v>-1.4126500814776359E-3</v>
      </c>
      <c r="U3327" s="35"/>
      <c r="V3327" s="35"/>
      <c r="W3327" s="35"/>
      <c r="X3327" s="35"/>
    </row>
    <row r="3328" spans="4:24" x14ac:dyDescent="0.3">
      <c r="D3328" s="23">
        <v>44411</v>
      </c>
      <c r="E3328" s="5">
        <v>423.43481400000002</v>
      </c>
      <c r="F3328" s="28">
        <v>80.388099999999994</v>
      </c>
      <c r="G3328" s="28">
        <v>169.49</v>
      </c>
      <c r="H3328" s="28">
        <v>360.2903</v>
      </c>
      <c r="I3328" s="28">
        <v>218.58029999999999</v>
      </c>
      <c r="J3328" s="29"/>
      <c r="K3328" s="29"/>
      <c r="L3328" s="29"/>
      <c r="M3328" s="29"/>
      <c r="N3328" s="29"/>
      <c r="P3328" s="4">
        <f t="shared" si="209"/>
        <v>8.1026531139859383E-3</v>
      </c>
      <c r="Q3328" s="4">
        <f t="shared" si="209"/>
        <v>2.3028447450057344E-4</v>
      </c>
      <c r="R3328" s="4">
        <f t="shared" si="209"/>
        <v>-7.0775585378467221E-4</v>
      </c>
      <c r="S3328" s="4">
        <f t="shared" si="209"/>
        <v>6.0430865609167319E-3</v>
      </c>
      <c r="T3328" s="4">
        <f t="shared" si="209"/>
        <v>7.1312222071521535E-3</v>
      </c>
      <c r="U3328" s="35"/>
      <c r="V3328" s="35"/>
      <c r="W3328" s="35"/>
      <c r="X3328" s="35"/>
    </row>
    <row r="3329" spans="4:24" x14ac:dyDescent="0.3">
      <c r="D3329" s="23">
        <v>44412</v>
      </c>
      <c r="E3329" s="5">
        <v>421.35199</v>
      </c>
      <c r="F3329" s="28">
        <v>80.388099999999994</v>
      </c>
      <c r="G3329" s="28">
        <v>169.53</v>
      </c>
      <c r="H3329" s="28">
        <v>360.81079999999997</v>
      </c>
      <c r="I3329" s="28">
        <v>217.60239999999999</v>
      </c>
      <c r="J3329" s="29"/>
      <c r="K3329" s="29"/>
      <c r="L3329" s="29"/>
      <c r="M3329" s="29"/>
      <c r="N3329" s="29"/>
      <c r="P3329" s="4">
        <f t="shared" si="209"/>
        <v>-4.9310150453171263E-3</v>
      </c>
      <c r="Q3329" s="4">
        <f t="shared" si="209"/>
        <v>0</v>
      </c>
      <c r="R3329" s="4">
        <f t="shared" si="209"/>
        <v>2.3597427989857653E-4</v>
      </c>
      <c r="S3329" s="4">
        <f t="shared" si="209"/>
        <v>1.4436258394166363E-3</v>
      </c>
      <c r="T3329" s="4">
        <f t="shared" si="209"/>
        <v>-4.4839084100531485E-3</v>
      </c>
      <c r="U3329" s="35"/>
      <c r="V3329" s="35"/>
      <c r="W3329" s="35"/>
      <c r="X3329" s="35"/>
    </row>
    <row r="3330" spans="4:24" x14ac:dyDescent="0.3">
      <c r="D3330" s="23">
        <v>44413</v>
      </c>
      <c r="E3330" s="5">
        <v>424.02041600000001</v>
      </c>
      <c r="F3330" s="28">
        <v>80.202969999999993</v>
      </c>
      <c r="G3330" s="28">
        <v>168.86</v>
      </c>
      <c r="H3330" s="28">
        <v>363.0994</v>
      </c>
      <c r="I3330" s="28">
        <v>219.15549999999999</v>
      </c>
      <c r="J3330" s="29"/>
      <c r="K3330" s="29"/>
      <c r="L3330" s="29"/>
      <c r="M3330" s="29"/>
      <c r="N3330" s="29"/>
      <c r="P3330" s="4">
        <f t="shared" si="209"/>
        <v>6.3130398944833575E-3</v>
      </c>
      <c r="Q3330" s="4">
        <f t="shared" si="209"/>
        <v>-2.3056086743799354E-3</v>
      </c>
      <c r="R3330" s="4">
        <f t="shared" si="209"/>
        <v>-3.959933068507674E-3</v>
      </c>
      <c r="S3330" s="4">
        <f t="shared" si="209"/>
        <v>6.3229047599558906E-3</v>
      </c>
      <c r="T3330" s="4">
        <f t="shared" si="209"/>
        <v>7.1119791827146169E-3</v>
      </c>
      <c r="U3330" s="35"/>
      <c r="V3330" s="35"/>
      <c r="W3330" s="35"/>
      <c r="X3330" s="35"/>
    </row>
    <row r="3331" spans="4:24" x14ac:dyDescent="0.3">
      <c r="D3331" s="23">
        <v>44414</v>
      </c>
      <c r="E3331" s="5">
        <v>424.72100799999998</v>
      </c>
      <c r="F3331" s="28">
        <v>79.82347</v>
      </c>
      <c r="G3331" s="28">
        <v>164.64</v>
      </c>
      <c r="H3331" s="28">
        <v>361.50830000000002</v>
      </c>
      <c r="I3331" s="28">
        <v>219.42400000000001</v>
      </c>
      <c r="J3331" s="29"/>
      <c r="K3331" s="29"/>
      <c r="L3331" s="29"/>
      <c r="M3331" s="29"/>
      <c r="N3331" s="29"/>
      <c r="P3331" s="4">
        <f t="shared" si="209"/>
        <v>1.6508965847755435E-3</v>
      </c>
      <c r="Q3331" s="4">
        <f t="shared" si="209"/>
        <v>-4.7429751162346243E-3</v>
      </c>
      <c r="R3331" s="4">
        <f t="shared" si="209"/>
        <v>-2.530869715561453E-2</v>
      </c>
      <c r="S3331" s="4">
        <f t="shared" si="209"/>
        <v>-4.3916247569846184E-3</v>
      </c>
      <c r="T3331" s="4">
        <f t="shared" si="209"/>
        <v>1.2244075865106318E-3</v>
      </c>
      <c r="U3331" s="35"/>
      <c r="V3331" s="35"/>
      <c r="W3331" s="35"/>
      <c r="X3331" s="35"/>
    </row>
    <row r="3332" spans="4:24" x14ac:dyDescent="0.3">
      <c r="D3332" s="23">
        <v>44417</v>
      </c>
      <c r="E3332" s="5">
        <v>424.375519</v>
      </c>
      <c r="F3332" s="28">
        <v>79.675399999999996</v>
      </c>
      <c r="G3332" s="28">
        <v>161.72</v>
      </c>
      <c r="H3332" s="28">
        <v>362.17610000000002</v>
      </c>
      <c r="I3332" s="28">
        <v>219.33770000000001</v>
      </c>
      <c r="J3332" s="29"/>
      <c r="K3332" s="29"/>
      <c r="L3332" s="29"/>
      <c r="M3332" s="29"/>
      <c r="N3332" s="29"/>
      <c r="P3332" s="4">
        <f t="shared" si="209"/>
        <v>-8.1378031373415102E-4</v>
      </c>
      <c r="Q3332" s="4">
        <f t="shared" si="209"/>
        <v>-1.8566908033494692E-3</v>
      </c>
      <c r="R3332" s="4">
        <f t="shared" si="209"/>
        <v>-1.7894827313169288E-2</v>
      </c>
      <c r="S3332" s="4">
        <f t="shared" si="209"/>
        <v>1.845556404278488E-3</v>
      </c>
      <c r="T3332" s="4">
        <f t="shared" si="209"/>
        <v>-3.9337982833454642E-4</v>
      </c>
      <c r="U3332" s="35"/>
      <c r="V3332" s="35"/>
      <c r="W3332" s="35"/>
      <c r="X3332" s="35"/>
    </row>
    <row r="3333" spans="4:24" x14ac:dyDescent="0.3">
      <c r="D3333" s="23">
        <v>44418</v>
      </c>
      <c r="E3333" s="5">
        <v>424.90338100000002</v>
      </c>
      <c r="F3333" s="28">
        <v>79.555049999999994</v>
      </c>
      <c r="G3333" s="28">
        <v>161.77000000000001</v>
      </c>
      <c r="H3333" s="28">
        <v>360.31970000000001</v>
      </c>
      <c r="I3333" s="28">
        <v>219.48150000000001</v>
      </c>
      <c r="J3333" s="29"/>
      <c r="K3333" s="29"/>
      <c r="L3333" s="29"/>
      <c r="M3333" s="29"/>
      <c r="N3333" s="29"/>
      <c r="P3333" s="4">
        <f t="shared" ref="P3333:T3348" si="210">LN(E3333/E3332)</f>
        <v>1.2430829683240153E-3</v>
      </c>
      <c r="Q3333" s="4">
        <f t="shared" si="210"/>
        <v>-1.5116458305227118E-3</v>
      </c>
      <c r="R3333" s="4">
        <f t="shared" si="210"/>
        <v>3.0912856903258666E-4</v>
      </c>
      <c r="S3333" s="4">
        <f t="shared" si="210"/>
        <v>-5.1388647111998854E-3</v>
      </c>
      <c r="T3333" s="4">
        <f t="shared" si="210"/>
        <v>6.5539522950398984E-4</v>
      </c>
      <c r="U3333" s="35"/>
      <c r="V3333" s="35"/>
      <c r="W3333" s="35"/>
      <c r="X3333" s="35"/>
    </row>
    <row r="3334" spans="4:24" x14ac:dyDescent="0.3">
      <c r="D3334" s="23">
        <v>44419</v>
      </c>
      <c r="E3334" s="5">
        <v>425.95919800000001</v>
      </c>
      <c r="F3334" s="28">
        <v>79.610579999999999</v>
      </c>
      <c r="G3334" s="28">
        <v>164</v>
      </c>
      <c r="H3334" s="28">
        <v>359.70089999999999</v>
      </c>
      <c r="I3334" s="28">
        <v>219.91290000000001</v>
      </c>
      <c r="J3334" s="29"/>
      <c r="K3334" s="29"/>
      <c r="L3334" s="29"/>
      <c r="M3334" s="29"/>
      <c r="N3334" s="29"/>
      <c r="P3334" s="4">
        <f t="shared" si="210"/>
        <v>2.4817580840133264E-3</v>
      </c>
      <c r="Q3334" s="4">
        <f t="shared" si="210"/>
        <v>6.9776373521113547E-4</v>
      </c>
      <c r="R3334" s="4">
        <f t="shared" si="210"/>
        <v>1.3690854482595778E-2</v>
      </c>
      <c r="S3334" s="4">
        <f t="shared" si="210"/>
        <v>-1.7188401341548939E-3</v>
      </c>
      <c r="T3334" s="4">
        <f t="shared" si="210"/>
        <v>1.9636123656334502E-3</v>
      </c>
      <c r="U3334" s="35"/>
      <c r="V3334" s="35"/>
      <c r="W3334" s="35"/>
      <c r="X3334" s="35"/>
    </row>
    <row r="3335" spans="4:24" x14ac:dyDescent="0.3">
      <c r="D3335" s="23">
        <v>44420</v>
      </c>
      <c r="E3335" s="5">
        <v>427.23577899999998</v>
      </c>
      <c r="F3335" s="28">
        <v>79.61985</v>
      </c>
      <c r="G3335" s="28">
        <v>164.04</v>
      </c>
      <c r="H3335" s="28">
        <v>360.99740000000003</v>
      </c>
      <c r="I3335" s="28">
        <v>220.5265</v>
      </c>
      <c r="J3335" s="29"/>
      <c r="K3335" s="29"/>
      <c r="L3335" s="29"/>
      <c r="M3335" s="29"/>
      <c r="N3335" s="29"/>
      <c r="P3335" s="4">
        <f t="shared" si="210"/>
        <v>2.9924741402641928E-3</v>
      </c>
      <c r="Q3335" s="4">
        <f t="shared" si="210"/>
        <v>1.164350307973793E-4</v>
      </c>
      <c r="R3335" s="4">
        <f t="shared" si="210"/>
        <v>2.4387269966008016E-4</v>
      </c>
      <c r="S3335" s="4">
        <f t="shared" si="210"/>
        <v>3.5979033073595219E-3</v>
      </c>
      <c r="T3335" s="4">
        <f t="shared" si="210"/>
        <v>2.7863102028329529E-3</v>
      </c>
      <c r="U3335" s="35"/>
      <c r="V3335" s="35"/>
      <c r="W3335" s="35"/>
      <c r="X3335" s="35"/>
    </row>
    <row r="3336" spans="4:24" x14ac:dyDescent="0.3">
      <c r="D3336" s="23">
        <v>44421</v>
      </c>
      <c r="E3336" s="5">
        <v>428.013306</v>
      </c>
      <c r="F3336" s="28">
        <v>79.934550000000002</v>
      </c>
      <c r="G3336" s="28">
        <v>166.39</v>
      </c>
      <c r="H3336" s="28">
        <v>362.26459999999997</v>
      </c>
      <c r="I3336" s="28">
        <v>220.65110000000001</v>
      </c>
      <c r="J3336" s="29"/>
      <c r="K3336" s="29"/>
      <c r="L3336" s="29"/>
      <c r="M3336" s="29"/>
      <c r="N3336" s="29"/>
      <c r="P3336" s="4">
        <f t="shared" si="210"/>
        <v>1.8182474038198333E-3</v>
      </c>
      <c r="Q3336" s="4">
        <f t="shared" si="210"/>
        <v>3.9447412053402802E-3</v>
      </c>
      <c r="R3336" s="4">
        <f t="shared" si="210"/>
        <v>1.4224129903557302E-2</v>
      </c>
      <c r="S3336" s="4">
        <f t="shared" si="210"/>
        <v>3.5041279554375387E-3</v>
      </c>
      <c r="T3336" s="4">
        <f t="shared" si="210"/>
        <v>5.6485190233093968E-4</v>
      </c>
      <c r="U3336" s="35"/>
      <c r="V3336" s="35"/>
      <c r="W3336" s="35"/>
      <c r="X3336" s="35"/>
    </row>
    <row r="3337" spans="4:24" x14ac:dyDescent="0.3">
      <c r="D3337" s="23">
        <v>44424</v>
      </c>
      <c r="E3337" s="5">
        <v>429.021118</v>
      </c>
      <c r="F3337" s="28">
        <v>80.008579999999995</v>
      </c>
      <c r="G3337" s="28">
        <v>167.22</v>
      </c>
      <c r="H3337" s="28">
        <v>362.42169999999999</v>
      </c>
      <c r="I3337" s="28">
        <v>220.73740000000001</v>
      </c>
      <c r="J3337" s="29"/>
      <c r="K3337" s="29"/>
      <c r="L3337" s="29"/>
      <c r="M3337" s="29"/>
      <c r="N3337" s="29"/>
      <c r="P3337" s="4">
        <f t="shared" si="210"/>
        <v>2.3518599400808257E-3</v>
      </c>
      <c r="Q3337" s="4">
        <f t="shared" si="210"/>
        <v>9.2570409603128911E-4</v>
      </c>
      <c r="R3337" s="4">
        <f t="shared" si="210"/>
        <v>4.9758802944961005E-3</v>
      </c>
      <c r="S3337" s="4">
        <f t="shared" si="210"/>
        <v>4.3356691705353378E-4</v>
      </c>
      <c r="T3337" s="4">
        <f t="shared" si="210"/>
        <v>3.9103873843417217E-4</v>
      </c>
      <c r="U3337" s="35"/>
      <c r="V3337" s="35"/>
      <c r="W3337" s="35"/>
      <c r="X3337" s="35"/>
    </row>
    <row r="3338" spans="4:24" x14ac:dyDescent="0.3">
      <c r="D3338" s="23">
        <v>44425</v>
      </c>
      <c r="E3338" s="5">
        <v>426.20880099999999</v>
      </c>
      <c r="F3338" s="28">
        <v>79.925290000000004</v>
      </c>
      <c r="G3338" s="28">
        <v>166.97</v>
      </c>
      <c r="H3338" s="28">
        <v>359.22949999999997</v>
      </c>
      <c r="I3338" s="28">
        <v>219.09800000000001</v>
      </c>
      <c r="J3338" s="29"/>
      <c r="K3338" s="29"/>
      <c r="L3338" s="29"/>
      <c r="M3338" s="29"/>
      <c r="N3338" s="29"/>
      <c r="P3338" s="4">
        <f t="shared" si="210"/>
        <v>-6.5767744427576141E-3</v>
      </c>
      <c r="Q3338" s="4">
        <f t="shared" si="210"/>
        <v>-1.0415555820624477E-3</v>
      </c>
      <c r="R3338" s="4">
        <f t="shared" si="210"/>
        <v>-1.4961551610460932E-3</v>
      </c>
      <c r="S3338" s="4">
        <f t="shared" si="210"/>
        <v>-8.8469909587833798E-3</v>
      </c>
      <c r="T3338" s="4">
        <f t="shared" si="210"/>
        <v>-7.4546414045365507E-3</v>
      </c>
      <c r="U3338" s="35"/>
      <c r="V3338" s="35"/>
      <c r="W3338" s="35"/>
      <c r="X3338" s="35"/>
    </row>
    <row r="3339" spans="4:24" x14ac:dyDescent="0.3">
      <c r="D3339" s="23">
        <v>44426</v>
      </c>
      <c r="E3339" s="5">
        <v>421.54397599999999</v>
      </c>
      <c r="F3339" s="28">
        <v>79.906779999999998</v>
      </c>
      <c r="G3339" s="28">
        <v>167.1</v>
      </c>
      <c r="H3339" s="28">
        <v>355.77199999999999</v>
      </c>
      <c r="I3339" s="28">
        <v>216.91210000000001</v>
      </c>
      <c r="J3339" s="29"/>
      <c r="K3339" s="29"/>
      <c r="L3339" s="29"/>
      <c r="M3339" s="29"/>
      <c r="N3339" s="29"/>
      <c r="P3339" s="4">
        <f t="shared" si="210"/>
        <v>-1.1005265234136549E-2</v>
      </c>
      <c r="Q3339" s="4">
        <f t="shared" si="210"/>
        <v>-2.3161809870522057E-4</v>
      </c>
      <c r="R3339" s="4">
        <f t="shared" si="210"/>
        <v>7.7828004048221102E-4</v>
      </c>
      <c r="S3339" s="4">
        <f t="shared" si="210"/>
        <v>-9.6713837661072163E-3</v>
      </c>
      <c r="T3339" s="4">
        <f t="shared" si="210"/>
        <v>-1.0026915954441995E-2</v>
      </c>
      <c r="U3339" s="35"/>
      <c r="V3339" s="35"/>
      <c r="W3339" s="35"/>
      <c r="X3339" s="35"/>
    </row>
    <row r="3340" spans="4:24" x14ac:dyDescent="0.3">
      <c r="D3340" s="23">
        <v>44427</v>
      </c>
      <c r="E3340" s="5">
        <v>422.196686</v>
      </c>
      <c r="F3340" s="28">
        <v>80.082629999999995</v>
      </c>
      <c r="G3340" s="28">
        <v>166.61</v>
      </c>
      <c r="H3340" s="28">
        <v>357.49090000000001</v>
      </c>
      <c r="I3340" s="28">
        <v>216.7491</v>
      </c>
      <c r="J3340" s="29"/>
      <c r="K3340" s="29"/>
      <c r="L3340" s="29"/>
      <c r="M3340" s="29"/>
      <c r="N3340" s="29"/>
      <c r="P3340" s="4">
        <f t="shared" si="210"/>
        <v>1.5471818761372137E-3</v>
      </c>
      <c r="Q3340" s="4">
        <f t="shared" si="210"/>
        <v>2.198271383271506E-3</v>
      </c>
      <c r="R3340" s="4">
        <f t="shared" si="210"/>
        <v>-2.9366836603705237E-3</v>
      </c>
      <c r="S3340" s="4">
        <f t="shared" si="210"/>
        <v>4.8198310261563472E-3</v>
      </c>
      <c r="T3340" s="4">
        <f t="shared" si="210"/>
        <v>-7.517389504807327E-4</v>
      </c>
      <c r="U3340" s="35"/>
      <c r="V3340" s="35"/>
      <c r="W3340" s="35"/>
      <c r="X3340" s="35"/>
    </row>
    <row r="3341" spans="4:24" x14ac:dyDescent="0.3">
      <c r="D3341" s="23">
        <v>44428</v>
      </c>
      <c r="E3341" s="5">
        <v>425.55612200000002</v>
      </c>
      <c r="F3341" s="28">
        <v>80.064149999999998</v>
      </c>
      <c r="G3341" s="28">
        <v>166.7</v>
      </c>
      <c r="H3341" s="28">
        <v>361.19389999999999</v>
      </c>
      <c r="I3341" s="28">
        <v>218.6953</v>
      </c>
      <c r="J3341" s="29"/>
      <c r="K3341" s="29"/>
      <c r="L3341" s="29"/>
      <c r="M3341" s="29"/>
      <c r="N3341" s="29"/>
      <c r="P3341" s="4">
        <f t="shared" si="210"/>
        <v>7.9255498851613926E-3</v>
      </c>
      <c r="Q3341" s="4">
        <f t="shared" si="210"/>
        <v>-2.3078828162542865E-4</v>
      </c>
      <c r="R3341" s="4">
        <f t="shared" si="210"/>
        <v>5.4003781577072565E-4</v>
      </c>
      <c r="S3341" s="4">
        <f t="shared" si="210"/>
        <v>1.0305025984979501E-2</v>
      </c>
      <c r="T3341" s="4">
        <f t="shared" si="210"/>
        <v>8.9389734224707574E-3</v>
      </c>
      <c r="U3341" s="35"/>
      <c r="V3341" s="35"/>
      <c r="W3341" s="35"/>
      <c r="X3341" s="35"/>
    </row>
    <row r="3342" spans="4:24" x14ac:dyDescent="0.3">
      <c r="D3342" s="23">
        <v>44431</v>
      </c>
      <c r="E3342" s="5">
        <v>429.29953</v>
      </c>
      <c r="F3342" s="28">
        <v>80.082629999999995</v>
      </c>
      <c r="G3342" s="28">
        <v>168.73</v>
      </c>
      <c r="H3342" s="28">
        <v>366.59620000000001</v>
      </c>
      <c r="I3342" s="28">
        <v>220.8141</v>
      </c>
      <c r="J3342" s="29"/>
      <c r="K3342" s="29"/>
      <c r="L3342" s="29"/>
      <c r="M3342" s="29"/>
      <c r="N3342" s="29"/>
      <c r="P3342" s="4">
        <f t="shared" si="210"/>
        <v>8.7580445163357602E-3</v>
      </c>
      <c r="Q3342" s="4">
        <f t="shared" si="210"/>
        <v>2.3078828162552656E-4</v>
      </c>
      <c r="R3342" s="4">
        <f t="shared" si="210"/>
        <v>1.2104014453497694E-2</v>
      </c>
      <c r="S3342" s="4">
        <f t="shared" si="210"/>
        <v>1.4846036581263617E-2</v>
      </c>
      <c r="T3342" s="4">
        <f t="shared" si="210"/>
        <v>9.6417342343461405E-3</v>
      </c>
      <c r="U3342" s="35"/>
      <c r="V3342" s="35"/>
      <c r="W3342" s="35"/>
      <c r="X3342" s="35"/>
    </row>
    <row r="3343" spans="4:24" x14ac:dyDescent="0.3">
      <c r="D3343" s="23">
        <v>44432</v>
      </c>
      <c r="E3343" s="5">
        <v>429.98098800000002</v>
      </c>
      <c r="F3343" s="28">
        <v>79.925290000000004</v>
      </c>
      <c r="G3343" s="28">
        <v>168.65</v>
      </c>
      <c r="H3343" s="28">
        <v>367.71589999999998</v>
      </c>
      <c r="I3343" s="28">
        <v>221.6003</v>
      </c>
      <c r="J3343" s="29"/>
      <c r="K3343" s="29"/>
      <c r="L3343" s="29"/>
      <c r="M3343" s="29"/>
      <c r="N3343" s="29"/>
      <c r="P3343" s="4">
        <f t="shared" si="210"/>
        <v>1.5861133322358631E-3</v>
      </c>
      <c r="Q3343" s="4">
        <f t="shared" si="210"/>
        <v>-1.9666532845663081E-3</v>
      </c>
      <c r="R3343" s="4">
        <f t="shared" si="210"/>
        <v>-4.7424270258672073E-4</v>
      </c>
      <c r="S3343" s="4">
        <f t="shared" si="210"/>
        <v>3.0496593146340117E-3</v>
      </c>
      <c r="T3343" s="4">
        <f t="shared" si="210"/>
        <v>3.5541376031135016E-3</v>
      </c>
      <c r="U3343" s="35"/>
      <c r="V3343" s="35"/>
      <c r="W3343" s="35"/>
      <c r="X3343" s="35"/>
    </row>
    <row r="3344" spans="4:24" x14ac:dyDescent="0.3">
      <c r="D3344" s="23">
        <v>44433</v>
      </c>
      <c r="E3344" s="5">
        <v>430.88320900000002</v>
      </c>
      <c r="F3344" s="28">
        <v>79.795720000000003</v>
      </c>
      <c r="G3344" s="28">
        <v>167.48</v>
      </c>
      <c r="H3344" s="28">
        <v>368.13819999999998</v>
      </c>
      <c r="I3344" s="28">
        <v>222.23310000000001</v>
      </c>
      <c r="J3344" s="29"/>
      <c r="K3344" s="29"/>
      <c r="L3344" s="29"/>
      <c r="M3344" s="29"/>
      <c r="N3344" s="29"/>
      <c r="P3344" s="4">
        <f t="shared" si="210"/>
        <v>2.0960828281034885E-3</v>
      </c>
      <c r="Q3344" s="4">
        <f t="shared" si="210"/>
        <v>-1.6224544087580165E-3</v>
      </c>
      <c r="R3344" s="4">
        <f t="shared" si="210"/>
        <v>-6.9616203567167941E-3</v>
      </c>
      <c r="S3344" s="4">
        <f t="shared" si="210"/>
        <v>1.147782002876987E-3</v>
      </c>
      <c r="T3344" s="4">
        <f t="shared" si="210"/>
        <v>2.8515223450246482E-3</v>
      </c>
      <c r="U3344" s="35"/>
      <c r="V3344" s="35"/>
      <c r="W3344" s="35"/>
      <c r="X3344" s="35"/>
    </row>
    <row r="3345" spans="4:24" x14ac:dyDescent="0.3">
      <c r="D3345" s="23">
        <v>44434</v>
      </c>
      <c r="E3345" s="5">
        <v>428.33966099999998</v>
      </c>
      <c r="F3345" s="28">
        <v>79.80498</v>
      </c>
      <c r="G3345" s="28">
        <v>167.67</v>
      </c>
      <c r="H3345" s="28">
        <v>365.80059999999997</v>
      </c>
      <c r="I3345" s="28">
        <v>220.74700000000001</v>
      </c>
      <c r="J3345" s="29"/>
      <c r="K3345" s="29"/>
      <c r="L3345" s="29"/>
      <c r="M3345" s="29"/>
      <c r="N3345" s="29"/>
      <c r="P3345" s="4">
        <f t="shared" si="210"/>
        <v>-5.9205952700174978E-3</v>
      </c>
      <c r="Q3345" s="4">
        <f t="shared" si="210"/>
        <v>1.1603959143526278E-4</v>
      </c>
      <c r="R3345" s="4">
        <f t="shared" si="210"/>
        <v>1.1338207987738938E-3</v>
      </c>
      <c r="S3345" s="4">
        <f t="shared" si="210"/>
        <v>-6.3700349524007036E-3</v>
      </c>
      <c r="T3345" s="4">
        <f t="shared" si="210"/>
        <v>-6.7095816501018769E-3</v>
      </c>
      <c r="U3345" s="35"/>
      <c r="V3345" s="35"/>
      <c r="W3345" s="35"/>
      <c r="X3345" s="35"/>
    </row>
    <row r="3346" spans="4:24" x14ac:dyDescent="0.3">
      <c r="D3346" s="23">
        <v>44435</v>
      </c>
      <c r="E3346" s="5">
        <v>432.16940299999999</v>
      </c>
      <c r="F3346" s="28">
        <v>80.036370000000005</v>
      </c>
      <c r="G3346" s="28">
        <v>170.19</v>
      </c>
      <c r="H3346" s="28">
        <v>369.3562</v>
      </c>
      <c r="I3346" s="28">
        <v>223.12469999999999</v>
      </c>
      <c r="J3346" s="29"/>
      <c r="K3346" s="29"/>
      <c r="L3346" s="29"/>
      <c r="M3346" s="29"/>
      <c r="N3346" s="29"/>
      <c r="P3346" s="4">
        <f t="shared" si="210"/>
        <v>8.9011666379917569E-3</v>
      </c>
      <c r="Q3346" s="4">
        <f t="shared" si="210"/>
        <v>2.8952478396205281E-3</v>
      </c>
      <c r="R3346" s="4">
        <f t="shared" si="210"/>
        <v>1.4917698056869103E-2</v>
      </c>
      <c r="S3346" s="4">
        <f t="shared" si="210"/>
        <v>9.6731138839785871E-3</v>
      </c>
      <c r="T3346" s="4">
        <f t="shared" si="210"/>
        <v>1.0713558637435519E-2</v>
      </c>
      <c r="U3346" s="35"/>
      <c r="V3346" s="35"/>
      <c r="W3346" s="35"/>
      <c r="X3346" s="35"/>
    </row>
    <row r="3347" spans="4:24" x14ac:dyDescent="0.3">
      <c r="D3347" s="23">
        <v>44438</v>
      </c>
      <c r="E3347" s="5">
        <v>434.06994600000002</v>
      </c>
      <c r="F3347" s="28">
        <v>80.128929999999997</v>
      </c>
      <c r="G3347" s="28">
        <v>169.35</v>
      </c>
      <c r="H3347" s="28">
        <v>373.50130000000001</v>
      </c>
      <c r="I3347" s="28">
        <v>223.9683</v>
      </c>
      <c r="J3347" s="29"/>
      <c r="K3347" s="29"/>
      <c r="L3347" s="29"/>
      <c r="M3347" s="29"/>
      <c r="N3347" s="29"/>
      <c r="P3347" s="4">
        <f t="shared" si="210"/>
        <v>4.3880390604623589E-3</v>
      </c>
      <c r="Q3347" s="4">
        <f t="shared" si="210"/>
        <v>1.1558060366901274E-3</v>
      </c>
      <c r="R3347" s="4">
        <f t="shared" si="210"/>
        <v>-4.9478807428048463E-3</v>
      </c>
      <c r="S3347" s="4">
        <f t="shared" si="210"/>
        <v>1.1159995075870229E-2</v>
      </c>
      <c r="T3347" s="4">
        <f t="shared" si="210"/>
        <v>3.7737159881158114E-3</v>
      </c>
      <c r="U3347" s="35"/>
      <c r="V3347" s="35"/>
      <c r="W3347" s="35"/>
      <c r="X3347" s="35"/>
    </row>
    <row r="3348" spans="4:24" x14ac:dyDescent="0.3">
      <c r="D3348" s="23">
        <v>44439</v>
      </c>
      <c r="E3348" s="5">
        <v>433.42681900000002</v>
      </c>
      <c r="F3348" s="28">
        <v>80.027100000000004</v>
      </c>
      <c r="G3348" s="28">
        <v>169.69</v>
      </c>
      <c r="H3348" s="28">
        <v>373.19670000000002</v>
      </c>
      <c r="I3348" s="28">
        <v>223.54650000000001</v>
      </c>
      <c r="J3348" s="29"/>
      <c r="K3348" s="29"/>
      <c r="L3348" s="29"/>
      <c r="M3348" s="29"/>
      <c r="N3348" s="29"/>
      <c r="P3348" s="4">
        <f t="shared" si="210"/>
        <v>-1.482719345527214E-3</v>
      </c>
      <c r="Q3348" s="4">
        <f t="shared" si="210"/>
        <v>-1.2716350888824523E-3</v>
      </c>
      <c r="R3348" s="4">
        <f t="shared" si="210"/>
        <v>2.0056637209540816E-3</v>
      </c>
      <c r="S3348" s="4">
        <f t="shared" si="210"/>
        <v>-8.1585866547325911E-4</v>
      </c>
      <c r="T3348" s="4">
        <f t="shared" si="210"/>
        <v>-1.8850778785691564E-3</v>
      </c>
      <c r="U3348" s="35"/>
      <c r="V3348" s="35"/>
      <c r="W3348" s="35"/>
      <c r="X3348" s="35"/>
    </row>
    <row r="3349" spans="4:24" x14ac:dyDescent="0.3">
      <c r="D3349" s="23">
        <v>44440</v>
      </c>
      <c r="E3349" s="5">
        <v>433.657196</v>
      </c>
      <c r="F3349" s="28">
        <v>80.04101</v>
      </c>
      <c r="G3349" s="28">
        <v>169.7</v>
      </c>
      <c r="H3349" s="28">
        <v>373.81549999999999</v>
      </c>
      <c r="I3349" s="28">
        <v>223.93960000000001</v>
      </c>
      <c r="J3349" s="29"/>
      <c r="K3349" s="29"/>
      <c r="L3349" s="29"/>
      <c r="M3349" s="29"/>
      <c r="N3349" s="29"/>
      <c r="P3349" s="4">
        <f t="shared" ref="P3349:T3364" si="211">LN(E3349/E3348)</f>
        <v>5.3138335255993303E-4</v>
      </c>
      <c r="Q3349" s="4">
        <f t="shared" si="211"/>
        <v>1.7380101551775216E-4</v>
      </c>
      <c r="R3349" s="4">
        <f t="shared" si="211"/>
        <v>5.8929255445966745E-5</v>
      </c>
      <c r="S3349" s="4">
        <f t="shared" si="211"/>
        <v>1.6567336960184821E-3</v>
      </c>
      <c r="T3349" s="4">
        <f t="shared" si="211"/>
        <v>1.7569265329945409E-3</v>
      </c>
      <c r="U3349" s="35"/>
      <c r="V3349" s="35"/>
      <c r="W3349" s="35"/>
      <c r="X3349" s="35"/>
    </row>
    <row r="3350" spans="4:24" x14ac:dyDescent="0.3">
      <c r="D3350" s="23">
        <v>44441</v>
      </c>
      <c r="E3350" s="5">
        <v>434.99136399999998</v>
      </c>
      <c r="F3350" s="28">
        <v>80.152270000000001</v>
      </c>
      <c r="G3350" s="28">
        <v>169.25</v>
      </c>
      <c r="H3350" s="28">
        <v>373.63869999999997</v>
      </c>
      <c r="I3350" s="28">
        <v>224.6969</v>
      </c>
      <c r="J3350" s="29"/>
      <c r="K3350" s="29"/>
      <c r="L3350" s="29"/>
      <c r="M3350" s="29"/>
      <c r="N3350" s="29"/>
      <c r="P3350" s="4">
        <f t="shared" si="211"/>
        <v>3.0718269978230691E-3</v>
      </c>
      <c r="Q3350" s="4">
        <f t="shared" si="211"/>
        <v>1.3890722243765281E-3</v>
      </c>
      <c r="R3350" s="4">
        <f t="shared" si="211"/>
        <v>-2.6552604477961595E-3</v>
      </c>
      <c r="S3350" s="4">
        <f t="shared" si="211"/>
        <v>-4.7307247266066842E-4</v>
      </c>
      <c r="T3350" s="4">
        <f t="shared" si="211"/>
        <v>3.3760102857152588E-3</v>
      </c>
      <c r="U3350" s="35"/>
      <c r="V3350" s="35"/>
      <c r="W3350" s="35"/>
      <c r="X3350" s="35"/>
    </row>
    <row r="3351" spans="4:24" x14ac:dyDescent="0.3">
      <c r="D3351" s="23">
        <v>44442</v>
      </c>
      <c r="E3351" s="5">
        <v>434.88577299999997</v>
      </c>
      <c r="F3351" s="28">
        <v>79.985380000000006</v>
      </c>
      <c r="G3351" s="28">
        <v>171.06</v>
      </c>
      <c r="H3351" s="28">
        <v>374.78789999999998</v>
      </c>
      <c r="I3351" s="28">
        <v>224.62029999999999</v>
      </c>
      <c r="J3351" s="29"/>
      <c r="K3351" s="29"/>
      <c r="L3351" s="29"/>
      <c r="M3351" s="29"/>
      <c r="N3351" s="29"/>
      <c r="P3351" s="4">
        <f t="shared" si="211"/>
        <v>-2.4277221696570616E-4</v>
      </c>
      <c r="Q3351" s="4">
        <f t="shared" si="211"/>
        <v>-2.0843325778831336E-3</v>
      </c>
      <c r="R3351" s="4">
        <f t="shared" si="211"/>
        <v>1.0637460360251262E-2</v>
      </c>
      <c r="S3351" s="4">
        <f t="shared" si="211"/>
        <v>3.0709782446707986E-3</v>
      </c>
      <c r="T3351" s="4">
        <f t="shared" si="211"/>
        <v>-3.4096180044789252E-4</v>
      </c>
      <c r="U3351" s="35"/>
      <c r="V3351" s="35"/>
      <c r="W3351" s="35"/>
      <c r="X3351" s="35"/>
    </row>
    <row r="3352" spans="4:24" x14ac:dyDescent="0.3">
      <c r="D3352" s="23">
        <v>44446</v>
      </c>
      <c r="E3352" s="5">
        <v>433.33081099999998</v>
      </c>
      <c r="F3352" s="28">
        <v>79.753619999999998</v>
      </c>
      <c r="G3352" s="28">
        <v>167.71</v>
      </c>
      <c r="H3352" s="28">
        <v>375.31830000000002</v>
      </c>
      <c r="I3352" s="28">
        <v>223.65190000000001</v>
      </c>
      <c r="J3352" s="29"/>
      <c r="K3352" s="29"/>
      <c r="L3352" s="29"/>
      <c r="M3352" s="29"/>
      <c r="N3352" s="29"/>
      <c r="P3352" s="4">
        <f t="shared" si="211"/>
        <v>-3.5819718057373746E-3</v>
      </c>
      <c r="Q3352" s="4">
        <f t="shared" si="211"/>
        <v>-2.9017354887608013E-3</v>
      </c>
      <c r="R3352" s="4">
        <f t="shared" si="211"/>
        <v>-1.9778074809099218E-2</v>
      </c>
      <c r="S3352" s="4">
        <f t="shared" si="211"/>
        <v>1.4141999850110828E-3</v>
      </c>
      <c r="T3352" s="4">
        <f t="shared" si="211"/>
        <v>-4.3205958632754398E-3</v>
      </c>
      <c r="U3352" s="35"/>
      <c r="V3352" s="35"/>
      <c r="W3352" s="35"/>
      <c r="X3352" s="35"/>
    </row>
    <row r="3353" spans="4:24" x14ac:dyDescent="0.3">
      <c r="D3353" s="23">
        <v>44447</v>
      </c>
      <c r="E3353" s="5">
        <v>432.80291699999998</v>
      </c>
      <c r="F3353" s="28">
        <v>79.883430000000004</v>
      </c>
      <c r="G3353" s="28">
        <v>167.29</v>
      </c>
      <c r="H3353" s="28">
        <v>374.012</v>
      </c>
      <c r="I3353" s="28">
        <v>223.12469999999999</v>
      </c>
      <c r="J3353" s="29"/>
      <c r="K3353" s="29"/>
      <c r="L3353" s="29"/>
      <c r="M3353" s="29"/>
      <c r="N3353" s="29"/>
      <c r="P3353" s="4">
        <f t="shared" si="211"/>
        <v>-1.2189666521463106E-3</v>
      </c>
      <c r="Q3353" s="4">
        <f t="shared" si="211"/>
        <v>1.6263145505531742E-3</v>
      </c>
      <c r="R3353" s="4">
        <f t="shared" si="211"/>
        <v>-2.5074640003470796E-3</v>
      </c>
      <c r="S3353" s="4">
        <f t="shared" si="211"/>
        <v>-3.4865834821051303E-3</v>
      </c>
      <c r="T3353" s="4">
        <f t="shared" si="211"/>
        <v>-2.3600172645329705E-3</v>
      </c>
      <c r="U3353" s="35"/>
      <c r="V3353" s="35"/>
      <c r="W3353" s="35"/>
      <c r="X3353" s="35"/>
    </row>
    <row r="3354" spans="4:24" x14ac:dyDescent="0.3">
      <c r="D3354" s="23">
        <v>44448</v>
      </c>
      <c r="E3354" s="5">
        <v>430.95043900000002</v>
      </c>
      <c r="F3354" s="28">
        <v>80.170760000000001</v>
      </c>
      <c r="G3354" s="28">
        <v>168.03</v>
      </c>
      <c r="H3354" s="28">
        <v>372.7253</v>
      </c>
      <c r="I3354" s="28">
        <v>222.34809999999999</v>
      </c>
      <c r="J3354" s="29"/>
      <c r="K3354" s="29"/>
      <c r="L3354" s="29"/>
      <c r="M3354" s="29"/>
      <c r="N3354" s="29"/>
      <c r="P3354" s="4">
        <f t="shared" si="211"/>
        <v>-4.2893745706498601E-3</v>
      </c>
      <c r="Q3354" s="4">
        <f t="shared" si="211"/>
        <v>3.5904128303761414E-3</v>
      </c>
      <c r="R3354" s="4">
        <f t="shared" si="211"/>
        <v>4.4137015466613021E-3</v>
      </c>
      <c r="S3354" s="4">
        <f t="shared" si="211"/>
        <v>-3.4461952642031311E-3</v>
      </c>
      <c r="T3354" s="4">
        <f t="shared" si="211"/>
        <v>-3.4866361615637068E-3</v>
      </c>
      <c r="U3354" s="35"/>
      <c r="V3354" s="35"/>
      <c r="W3354" s="35"/>
      <c r="X3354" s="35"/>
    </row>
    <row r="3355" spans="4:24" x14ac:dyDescent="0.3">
      <c r="D3355" s="23">
        <v>44449</v>
      </c>
      <c r="E3355" s="5">
        <v>427.55252100000001</v>
      </c>
      <c r="F3355" s="28">
        <v>79.976100000000002</v>
      </c>
      <c r="G3355" s="28">
        <v>167.18</v>
      </c>
      <c r="H3355" s="28">
        <v>369.89640000000003</v>
      </c>
      <c r="I3355" s="28">
        <v>220.584</v>
      </c>
      <c r="J3355" s="29"/>
      <c r="K3355" s="29"/>
      <c r="L3355" s="29"/>
      <c r="M3355" s="29"/>
      <c r="N3355" s="29"/>
      <c r="P3355" s="4">
        <f t="shared" si="211"/>
        <v>-7.9159558015823583E-3</v>
      </c>
      <c r="Q3355" s="4">
        <f t="shared" si="211"/>
        <v>-2.4310198260237784E-3</v>
      </c>
      <c r="R3355" s="4">
        <f t="shared" si="211"/>
        <v>-5.0714586188405431E-3</v>
      </c>
      <c r="S3355" s="4">
        <f t="shared" si="211"/>
        <v>-7.6187207661441731E-3</v>
      </c>
      <c r="T3355" s="4">
        <f t="shared" si="211"/>
        <v>-7.9655971097026788E-3</v>
      </c>
      <c r="U3355" s="35"/>
      <c r="V3355" s="35"/>
      <c r="W3355" s="35"/>
      <c r="X3355" s="35"/>
    </row>
    <row r="3356" spans="4:24" x14ac:dyDescent="0.3">
      <c r="D3356" s="23">
        <v>44452</v>
      </c>
      <c r="E3356" s="5">
        <v>428.64681999999999</v>
      </c>
      <c r="F3356" s="28">
        <v>80.096639999999994</v>
      </c>
      <c r="G3356" s="28">
        <v>167.74</v>
      </c>
      <c r="H3356" s="28">
        <v>369.64109999999999</v>
      </c>
      <c r="I3356" s="28">
        <v>221.08260000000001</v>
      </c>
      <c r="J3356" s="29"/>
      <c r="K3356" s="29"/>
      <c r="L3356" s="29"/>
      <c r="M3356" s="29"/>
      <c r="N3356" s="29"/>
      <c r="P3356" s="4">
        <f t="shared" si="211"/>
        <v>2.5561794863624837E-3</v>
      </c>
      <c r="Q3356" s="4">
        <f t="shared" si="211"/>
        <v>1.5060655897361625E-3</v>
      </c>
      <c r="R3356" s="4">
        <f t="shared" si="211"/>
        <v>3.3440852852553702E-3</v>
      </c>
      <c r="S3356" s="4">
        <f t="shared" si="211"/>
        <v>-6.9043154712704466E-4</v>
      </c>
      <c r="T3356" s="4">
        <f t="shared" si="211"/>
        <v>2.2578126206969822E-3</v>
      </c>
      <c r="U3356" s="35"/>
      <c r="V3356" s="35"/>
      <c r="W3356" s="35"/>
      <c r="X3356" s="35"/>
    </row>
    <row r="3357" spans="4:24" x14ac:dyDescent="0.3">
      <c r="D3357" s="23">
        <v>44453</v>
      </c>
      <c r="E3357" s="5">
        <v>426.33358800000002</v>
      </c>
      <c r="F3357" s="28">
        <v>80.291290000000004</v>
      </c>
      <c r="G3357" s="28">
        <v>168.82</v>
      </c>
      <c r="H3357" s="28">
        <v>368.59</v>
      </c>
      <c r="I3357" s="28">
        <v>219.7499</v>
      </c>
      <c r="J3357" s="29"/>
      <c r="K3357" s="29"/>
      <c r="L3357" s="29"/>
      <c r="M3357" s="29"/>
      <c r="N3357" s="29"/>
      <c r="P3357" s="4">
        <f t="shared" si="211"/>
        <v>-5.411206205102834E-3</v>
      </c>
      <c r="Q3357" s="4">
        <f t="shared" si="211"/>
        <v>2.4272411965792699E-3</v>
      </c>
      <c r="R3357" s="4">
        <f t="shared" si="211"/>
        <v>6.4178969993084522E-3</v>
      </c>
      <c r="S3357" s="4">
        <f t="shared" si="211"/>
        <v>-2.8476196959876226E-3</v>
      </c>
      <c r="T3357" s="4">
        <f t="shared" si="211"/>
        <v>-6.0463058420033447E-3</v>
      </c>
      <c r="U3357" s="35"/>
      <c r="V3357" s="35"/>
      <c r="W3357" s="35"/>
      <c r="X3357" s="35"/>
    </row>
    <row r="3358" spans="4:24" x14ac:dyDescent="0.3">
      <c r="D3358" s="23">
        <v>44454</v>
      </c>
      <c r="E3358" s="5">
        <v>429.89459199999999</v>
      </c>
      <c r="F3358" s="28">
        <v>80.217150000000004</v>
      </c>
      <c r="G3358" s="28">
        <v>167.83</v>
      </c>
      <c r="H3358" s="28">
        <v>371.33049999999997</v>
      </c>
      <c r="I3358" s="28">
        <v>221.56190000000001</v>
      </c>
      <c r="J3358" s="29"/>
      <c r="K3358" s="29"/>
      <c r="L3358" s="29"/>
      <c r="M3358" s="29"/>
      <c r="N3358" s="29"/>
      <c r="P3358" s="4">
        <f t="shared" si="211"/>
        <v>8.317933501192757E-3</v>
      </c>
      <c r="Q3358" s="4">
        <f t="shared" si="211"/>
        <v>-9.2381441465371578E-4</v>
      </c>
      <c r="R3358" s="4">
        <f t="shared" si="211"/>
        <v>-5.8814962354859172E-3</v>
      </c>
      <c r="S3358" s="4">
        <f t="shared" si="211"/>
        <v>7.4075864405931079E-3</v>
      </c>
      <c r="T3358" s="4">
        <f t="shared" si="211"/>
        <v>8.2119271806760357E-3</v>
      </c>
      <c r="U3358" s="35"/>
      <c r="V3358" s="35"/>
      <c r="W3358" s="35"/>
      <c r="X3358" s="35"/>
    </row>
    <row r="3359" spans="4:24" x14ac:dyDescent="0.3">
      <c r="D3359" s="23">
        <v>44455</v>
      </c>
      <c r="E3359" s="5">
        <v>429.21310399999999</v>
      </c>
      <c r="F3359" s="28">
        <v>80.068830000000005</v>
      </c>
      <c r="G3359" s="28">
        <v>164.03</v>
      </c>
      <c r="H3359" s="28">
        <v>371.58589999999998</v>
      </c>
      <c r="I3359" s="28">
        <v>221.36060000000001</v>
      </c>
      <c r="J3359" s="29"/>
      <c r="K3359" s="29"/>
      <c r="L3359" s="29"/>
      <c r="M3359" s="29"/>
      <c r="N3359" s="29"/>
      <c r="P3359" s="4">
        <f t="shared" si="211"/>
        <v>-1.5865022420693338E-3</v>
      </c>
      <c r="Q3359" s="4">
        <f t="shared" si="211"/>
        <v>-1.85069264740155E-3</v>
      </c>
      <c r="R3359" s="4">
        <f t="shared" si="211"/>
        <v>-2.2902224395693539E-2</v>
      </c>
      <c r="S3359" s="4">
        <f t="shared" si="211"/>
        <v>6.8756056552650869E-4</v>
      </c>
      <c r="T3359" s="4">
        <f t="shared" si="211"/>
        <v>-9.0896269148549064E-4</v>
      </c>
      <c r="U3359" s="35"/>
      <c r="V3359" s="35"/>
      <c r="W3359" s="35"/>
      <c r="X3359" s="35"/>
    </row>
    <row r="3360" spans="4:24" x14ac:dyDescent="0.3">
      <c r="D3360" s="23">
        <v>44456</v>
      </c>
      <c r="E3360" s="5">
        <v>425.032104</v>
      </c>
      <c r="F3360" s="28">
        <v>79.966840000000005</v>
      </c>
      <c r="G3360" s="28">
        <v>163.77000000000001</v>
      </c>
      <c r="H3360" s="28">
        <v>367.18549999999999</v>
      </c>
      <c r="I3360" s="28">
        <v>219.58699999999999</v>
      </c>
      <c r="J3360" s="29"/>
      <c r="K3360" s="29"/>
      <c r="L3360" s="29"/>
      <c r="M3360" s="29"/>
      <c r="N3360" s="29"/>
      <c r="P3360" s="4">
        <f t="shared" si="211"/>
        <v>-9.7888366163182174E-3</v>
      </c>
      <c r="Q3360" s="4">
        <f t="shared" si="211"/>
        <v>-1.2745910184597331E-3</v>
      </c>
      <c r="R3360" s="4">
        <f t="shared" si="211"/>
        <v>-1.5863334626184458E-3</v>
      </c>
      <c r="S3360" s="4">
        <f t="shared" si="211"/>
        <v>-1.1912892244722556E-2</v>
      </c>
      <c r="T3360" s="4">
        <f t="shared" si="211"/>
        <v>-8.0445366515347009E-3</v>
      </c>
      <c r="U3360" s="35"/>
      <c r="V3360" s="35"/>
      <c r="W3360" s="35"/>
      <c r="X3360" s="35"/>
    </row>
    <row r="3361" spans="4:24" x14ac:dyDescent="0.3">
      <c r="D3361" s="23">
        <v>44459</v>
      </c>
      <c r="E3361" s="5">
        <v>417.94503800000001</v>
      </c>
      <c r="F3361" s="28">
        <v>80.189329999999998</v>
      </c>
      <c r="G3361" s="28">
        <v>164.94</v>
      </c>
      <c r="H3361" s="28">
        <v>359.59829999999999</v>
      </c>
      <c r="I3361" s="28">
        <v>215.7808</v>
      </c>
      <c r="J3361" s="29"/>
      <c r="K3361" s="29"/>
      <c r="L3361" s="29"/>
      <c r="M3361" s="29"/>
      <c r="N3361" s="29"/>
      <c r="P3361" s="4">
        <f t="shared" si="211"/>
        <v>-1.6814769053864101E-2</v>
      </c>
      <c r="Q3361" s="4">
        <f t="shared" si="211"/>
        <v>2.7784148825186037E-3</v>
      </c>
      <c r="R3361" s="4">
        <f t="shared" si="211"/>
        <v>7.1187669434333595E-3</v>
      </c>
      <c r="S3361" s="4">
        <f t="shared" si="211"/>
        <v>-2.0879594837915422E-2</v>
      </c>
      <c r="T3361" s="4">
        <f t="shared" si="211"/>
        <v>-1.748543174410562E-2</v>
      </c>
      <c r="U3361" s="35"/>
      <c r="V3361" s="35"/>
      <c r="W3361" s="35"/>
      <c r="X3361" s="35"/>
    </row>
    <row r="3362" spans="4:24" x14ac:dyDescent="0.3">
      <c r="D3362" s="23">
        <v>44460</v>
      </c>
      <c r="E3362" s="5">
        <v>417.55026199999998</v>
      </c>
      <c r="F3362" s="28">
        <v>80.170760000000001</v>
      </c>
      <c r="G3362" s="28">
        <v>166.04</v>
      </c>
      <c r="H3362" s="28">
        <v>360.04070000000002</v>
      </c>
      <c r="I3362" s="28">
        <v>215.76159999999999</v>
      </c>
      <c r="J3362" s="29"/>
      <c r="K3362" s="29"/>
      <c r="L3362" s="29"/>
      <c r="M3362" s="29"/>
      <c r="N3362" s="29"/>
      <c r="P3362" s="4">
        <f t="shared" si="211"/>
        <v>-9.4501077236324176E-4</v>
      </c>
      <c r="Q3362" s="4">
        <f t="shared" si="211"/>
        <v>-2.316037622953097E-4</v>
      </c>
      <c r="R3362" s="4">
        <f t="shared" si="211"/>
        <v>6.6469517796285838E-3</v>
      </c>
      <c r="S3362" s="4">
        <f t="shared" si="211"/>
        <v>1.2295055040951422E-3</v>
      </c>
      <c r="T3362" s="4">
        <f t="shared" si="211"/>
        <v>-8.8983145168001574E-5</v>
      </c>
      <c r="U3362" s="35"/>
      <c r="V3362" s="35"/>
      <c r="W3362" s="35"/>
      <c r="X3362" s="35"/>
    </row>
    <row r="3363" spans="4:24" x14ac:dyDescent="0.3">
      <c r="D3363" s="23">
        <v>44461</v>
      </c>
      <c r="E3363" s="5">
        <v>421.62338299999999</v>
      </c>
      <c r="F3363" s="28">
        <v>80.254249999999999</v>
      </c>
      <c r="G3363" s="28">
        <v>165.42</v>
      </c>
      <c r="H3363" s="28">
        <v>363.40359999999998</v>
      </c>
      <c r="I3363" s="28">
        <v>217.93790000000001</v>
      </c>
      <c r="J3363" s="29"/>
      <c r="K3363" s="29"/>
      <c r="L3363" s="29"/>
      <c r="M3363" s="29"/>
      <c r="N3363" s="29"/>
      <c r="P3363" s="4">
        <f t="shared" si="211"/>
        <v>9.7075331440771018E-3</v>
      </c>
      <c r="Q3363" s="4">
        <f t="shared" si="211"/>
        <v>1.040860244143867E-3</v>
      </c>
      <c r="R3363" s="4">
        <f t="shared" si="211"/>
        <v>-3.7410289210776802E-3</v>
      </c>
      <c r="S3363" s="4">
        <f t="shared" si="211"/>
        <v>9.2969817367741237E-3</v>
      </c>
      <c r="T3363" s="4">
        <f t="shared" si="211"/>
        <v>1.0036065371778025E-2</v>
      </c>
      <c r="U3363" s="35"/>
      <c r="V3363" s="35"/>
      <c r="W3363" s="35"/>
      <c r="X3363" s="35"/>
    </row>
    <row r="3364" spans="4:24" x14ac:dyDescent="0.3">
      <c r="D3364" s="23">
        <v>44462</v>
      </c>
      <c r="E3364" s="5">
        <v>426.74615499999999</v>
      </c>
      <c r="F3364" s="28">
        <v>79.827809999999999</v>
      </c>
      <c r="G3364" s="28">
        <v>163.51</v>
      </c>
      <c r="H3364" s="28">
        <v>366.7568</v>
      </c>
      <c r="I3364" s="28">
        <v>220.59360000000001</v>
      </c>
      <c r="J3364" s="29"/>
      <c r="K3364" s="29"/>
      <c r="L3364" s="29"/>
      <c r="M3364" s="29"/>
      <c r="N3364" s="29"/>
      <c r="P3364" s="4">
        <f t="shared" si="211"/>
        <v>1.2076893462084801E-2</v>
      </c>
      <c r="Q3364" s="4">
        <f t="shared" si="211"/>
        <v>-5.327780123723729E-3</v>
      </c>
      <c r="R3364" s="4">
        <f t="shared" si="211"/>
        <v>-1.1613543717265329E-2</v>
      </c>
      <c r="S3364" s="4">
        <f t="shared" si="211"/>
        <v>9.1848957396437423E-3</v>
      </c>
      <c r="T3364" s="4">
        <f t="shared" si="211"/>
        <v>1.2111934789742203E-2</v>
      </c>
      <c r="U3364" s="35"/>
      <c r="V3364" s="35"/>
      <c r="W3364" s="35"/>
      <c r="X3364" s="35"/>
    </row>
    <row r="3365" spans="4:24" x14ac:dyDescent="0.3">
      <c r="D3365" s="23">
        <v>44463</v>
      </c>
      <c r="E3365" s="5">
        <v>427.449005</v>
      </c>
      <c r="F3365" s="28">
        <v>79.660939999999997</v>
      </c>
      <c r="G3365" s="28">
        <v>163.30000000000001</v>
      </c>
      <c r="H3365" s="28">
        <v>367.10090000000002</v>
      </c>
      <c r="I3365" s="28">
        <v>220.8571</v>
      </c>
      <c r="J3365" s="29"/>
      <c r="K3365" s="29"/>
      <c r="L3365" s="29"/>
      <c r="M3365" s="29"/>
      <c r="N3365" s="29"/>
      <c r="P3365" s="4">
        <f t="shared" ref="P3365:T3380" si="212">LN(E3365/E3364)</f>
        <v>1.6456430369333893E-3</v>
      </c>
      <c r="Q3365" s="4">
        <f t="shared" si="212"/>
        <v>-2.0925621511371146E-3</v>
      </c>
      <c r="R3365" s="4">
        <f t="shared" si="212"/>
        <v>-1.2851505700755214E-3</v>
      </c>
      <c r="S3365" s="4">
        <f t="shared" si="212"/>
        <v>9.3778405600423217E-4</v>
      </c>
      <c r="T3365" s="4">
        <f t="shared" si="212"/>
        <v>1.1937914303618952E-3</v>
      </c>
      <c r="U3365" s="35"/>
      <c r="V3365" s="35"/>
      <c r="W3365" s="35"/>
      <c r="X3365" s="35"/>
    </row>
    <row r="3366" spans="4:24" x14ac:dyDescent="0.3">
      <c r="D3366" s="23">
        <v>44466</v>
      </c>
      <c r="E3366" s="5">
        <v>426.22616599999998</v>
      </c>
      <c r="F3366" s="28">
        <v>79.56823</v>
      </c>
      <c r="G3366" s="28">
        <v>163.63999999999999</v>
      </c>
      <c r="H3366" s="28">
        <v>364.17070000000001</v>
      </c>
      <c r="I3366" s="28">
        <v>220.37629999999999</v>
      </c>
      <c r="J3366" s="29"/>
      <c r="K3366" s="29"/>
      <c r="L3366" s="29"/>
      <c r="M3366" s="29"/>
      <c r="N3366" s="29"/>
      <c r="P3366" s="4">
        <f t="shared" si="212"/>
        <v>-2.8648832200287183E-3</v>
      </c>
      <c r="Q3366" s="4">
        <f t="shared" si="212"/>
        <v>-1.1644852570219706E-3</v>
      </c>
      <c r="R3366" s="4">
        <f t="shared" si="212"/>
        <v>2.0798930847782792E-3</v>
      </c>
      <c r="S3366" s="4">
        <f t="shared" si="212"/>
        <v>-8.0140283926591095E-3</v>
      </c>
      <c r="T3366" s="4">
        <f t="shared" si="212"/>
        <v>-2.1793463065065228E-3</v>
      </c>
      <c r="U3366" s="35"/>
      <c r="V3366" s="35"/>
      <c r="W3366" s="35"/>
      <c r="X3366" s="35"/>
    </row>
    <row r="3367" spans="4:24" x14ac:dyDescent="0.3">
      <c r="D3367" s="23">
        <v>44467</v>
      </c>
      <c r="E3367" s="5">
        <v>417.63699300000002</v>
      </c>
      <c r="F3367" s="28">
        <v>79.225200000000001</v>
      </c>
      <c r="G3367" s="28">
        <v>162.05000000000001</v>
      </c>
      <c r="H3367" s="28">
        <v>353.8655</v>
      </c>
      <c r="I3367" s="28">
        <v>215.75980000000001</v>
      </c>
      <c r="J3367" s="29"/>
      <c r="K3367" s="29"/>
      <c r="L3367" s="29"/>
      <c r="M3367" s="29"/>
      <c r="N3367" s="29"/>
      <c r="P3367" s="4">
        <f t="shared" si="212"/>
        <v>-2.0357494076727389E-2</v>
      </c>
      <c r="Q3367" s="4">
        <f t="shared" si="212"/>
        <v>-4.3204625480328376E-3</v>
      </c>
      <c r="R3367" s="4">
        <f t="shared" si="212"/>
        <v>-9.7639634736412812E-3</v>
      </c>
      <c r="S3367" s="4">
        <f t="shared" si="212"/>
        <v>-2.8705816321047451E-2</v>
      </c>
      <c r="T3367" s="4">
        <f t="shared" si="212"/>
        <v>-2.1170787861201502E-2</v>
      </c>
      <c r="U3367" s="35"/>
      <c r="V3367" s="35"/>
      <c r="W3367" s="35"/>
      <c r="X3367" s="35"/>
    </row>
    <row r="3368" spans="4:24" x14ac:dyDescent="0.3">
      <c r="D3368" s="23">
        <v>44468</v>
      </c>
      <c r="E3368" s="5">
        <v>418.33981299999999</v>
      </c>
      <c r="F3368" s="28">
        <v>79.234499999999997</v>
      </c>
      <c r="G3368" s="28">
        <v>161.32</v>
      </c>
      <c r="H3368" s="28">
        <v>353.28539999999998</v>
      </c>
      <c r="I3368" s="28">
        <v>215.9041</v>
      </c>
      <c r="J3368" s="29"/>
      <c r="K3368" s="29"/>
      <c r="L3368" s="29"/>
      <c r="M3368" s="29"/>
      <c r="N3368" s="29"/>
      <c r="P3368" s="4">
        <f t="shared" si="212"/>
        <v>1.6814346057004142E-3</v>
      </c>
      <c r="Q3368" s="4">
        <f t="shared" si="212"/>
        <v>1.1738000274735614E-4</v>
      </c>
      <c r="R3368" s="4">
        <f t="shared" si="212"/>
        <v>-4.5149595823890968E-3</v>
      </c>
      <c r="S3368" s="4">
        <f t="shared" si="212"/>
        <v>-1.6406685761858619E-3</v>
      </c>
      <c r="T3368" s="4">
        <f t="shared" si="212"/>
        <v>6.685757385552722E-4</v>
      </c>
      <c r="U3368" s="35"/>
      <c r="V3368" s="35"/>
      <c r="W3368" s="35"/>
      <c r="X3368" s="35"/>
    </row>
    <row r="3369" spans="4:24" x14ac:dyDescent="0.3">
      <c r="D3369" s="23">
        <v>44469</v>
      </c>
      <c r="E3369" s="5">
        <v>413.22674599999999</v>
      </c>
      <c r="F3369" s="28">
        <v>79.215940000000003</v>
      </c>
      <c r="G3369" s="28">
        <v>164.22</v>
      </c>
      <c r="H3369" s="28">
        <v>351.9873</v>
      </c>
      <c r="I3369" s="28">
        <v>213.56700000000001</v>
      </c>
      <c r="J3369" s="29"/>
      <c r="K3369" s="29"/>
      <c r="L3369" s="29"/>
      <c r="M3369" s="29"/>
      <c r="N3369" s="29"/>
      <c r="P3369" s="4">
        <f t="shared" si="212"/>
        <v>-1.2297587925368706E-2</v>
      </c>
      <c r="Q3369" s="4">
        <f t="shared" si="212"/>
        <v>-2.3426883617212244E-4</v>
      </c>
      <c r="R3369" s="4">
        <f t="shared" si="212"/>
        <v>1.7817022275475287E-2</v>
      </c>
      <c r="S3369" s="4">
        <f t="shared" si="212"/>
        <v>-3.6811334561832458E-3</v>
      </c>
      <c r="T3369" s="4">
        <f t="shared" si="212"/>
        <v>-1.0883726845192369E-2</v>
      </c>
      <c r="U3369" s="35"/>
      <c r="V3369" s="35"/>
      <c r="W3369" s="35"/>
      <c r="X3369" s="35"/>
    </row>
    <row r="3370" spans="4:24" x14ac:dyDescent="0.3">
      <c r="D3370" s="23">
        <v>44470</v>
      </c>
      <c r="E3370" s="5">
        <v>418.13766500000003</v>
      </c>
      <c r="F3370" s="28">
        <v>79.485190000000003</v>
      </c>
      <c r="G3370" s="28">
        <v>164.59</v>
      </c>
      <c r="H3370" s="28">
        <v>354.1703</v>
      </c>
      <c r="I3370" s="28">
        <v>216.51</v>
      </c>
      <c r="J3370" s="29"/>
      <c r="K3370" s="29"/>
      <c r="L3370" s="29"/>
      <c r="M3370" s="29"/>
      <c r="N3370" s="29"/>
      <c r="P3370" s="4">
        <f t="shared" si="212"/>
        <v>1.1814256313336283E-2</v>
      </c>
      <c r="Q3370" s="4">
        <f t="shared" si="212"/>
        <v>3.3931738020642017E-3</v>
      </c>
      <c r="R3370" s="4">
        <f t="shared" si="212"/>
        <v>2.2505407753339248E-3</v>
      </c>
      <c r="S3370" s="4">
        <f t="shared" si="212"/>
        <v>6.1827754996101776E-3</v>
      </c>
      <c r="T3370" s="4">
        <f t="shared" si="212"/>
        <v>1.3686134983760532E-2</v>
      </c>
      <c r="U3370" s="35"/>
      <c r="V3370" s="35"/>
      <c r="W3370" s="35"/>
      <c r="X3370" s="35"/>
    </row>
    <row r="3371" spans="4:24" x14ac:dyDescent="0.3">
      <c r="D3371" s="23">
        <v>44473</v>
      </c>
      <c r="E3371" s="5">
        <v>412.74527</v>
      </c>
      <c r="F3371" s="28">
        <v>79.429479999999998</v>
      </c>
      <c r="G3371" s="28">
        <v>165.36</v>
      </c>
      <c r="H3371" s="28">
        <v>346.73649999999998</v>
      </c>
      <c r="I3371" s="28">
        <v>213.24969999999999</v>
      </c>
      <c r="J3371" s="29"/>
      <c r="K3371" s="29"/>
      <c r="L3371" s="29"/>
      <c r="M3371" s="29"/>
      <c r="N3371" s="29"/>
      <c r="P3371" s="4">
        <f t="shared" si="212"/>
        <v>-1.2980097395619653E-2</v>
      </c>
      <c r="Q3371" s="4">
        <f t="shared" si="212"/>
        <v>-7.0113101933490967E-4</v>
      </c>
      <c r="R3371" s="4">
        <f t="shared" si="212"/>
        <v>4.6673823175361461E-3</v>
      </c>
      <c r="S3371" s="4">
        <f t="shared" si="212"/>
        <v>-2.1212745413146595E-2</v>
      </c>
      <c r="T3371" s="4">
        <f t="shared" si="212"/>
        <v>-1.5172956181023673E-2</v>
      </c>
      <c r="U3371" s="35"/>
      <c r="V3371" s="35"/>
      <c r="W3371" s="35"/>
      <c r="X3371" s="35"/>
    </row>
    <row r="3372" spans="4:24" x14ac:dyDescent="0.3">
      <c r="D3372" s="23">
        <v>44474</v>
      </c>
      <c r="E3372" s="5">
        <v>417.03997800000002</v>
      </c>
      <c r="F3372" s="28">
        <v>79.23451</v>
      </c>
      <c r="G3372" s="28">
        <v>164.59</v>
      </c>
      <c r="H3372" s="28">
        <v>351.4171</v>
      </c>
      <c r="I3372" s="28">
        <v>215.2405</v>
      </c>
      <c r="J3372" s="29"/>
      <c r="K3372" s="29"/>
      <c r="L3372" s="29"/>
      <c r="M3372" s="29"/>
      <c r="N3372" s="29"/>
      <c r="P3372" s="4">
        <f t="shared" si="212"/>
        <v>1.0351464693922216E-2</v>
      </c>
      <c r="Q3372" s="4">
        <f t="shared" si="212"/>
        <v>-2.4576477389155866E-3</v>
      </c>
      <c r="R3372" s="4">
        <f t="shared" si="212"/>
        <v>-4.6673823175362259E-3</v>
      </c>
      <c r="S3372" s="4">
        <f t="shared" si="212"/>
        <v>1.3408711573678185E-2</v>
      </c>
      <c r="T3372" s="4">
        <f t="shared" si="212"/>
        <v>9.2922280355450596E-3</v>
      </c>
      <c r="U3372" s="35"/>
      <c r="V3372" s="35"/>
      <c r="W3372" s="35"/>
      <c r="X3372" s="35"/>
    </row>
    <row r="3373" spans="4:24" x14ac:dyDescent="0.3">
      <c r="D3373" s="23">
        <v>44475</v>
      </c>
      <c r="E3373" s="5">
        <v>418.77313199999998</v>
      </c>
      <c r="F3373" s="28">
        <v>79.271649999999994</v>
      </c>
      <c r="G3373" s="28">
        <v>165.03</v>
      </c>
      <c r="H3373" s="28">
        <v>353.66890000000001</v>
      </c>
      <c r="I3373" s="28">
        <v>216.13489999999999</v>
      </c>
      <c r="J3373" s="29"/>
      <c r="K3373" s="29"/>
      <c r="L3373" s="29"/>
      <c r="M3373" s="29"/>
      <c r="N3373" s="29"/>
      <c r="P3373" s="4">
        <f t="shared" si="212"/>
        <v>4.147234503469795E-3</v>
      </c>
      <c r="Q3373" s="4">
        <f t="shared" si="212"/>
        <v>4.686253288790829E-4</v>
      </c>
      <c r="R3373" s="4">
        <f t="shared" si="212"/>
        <v>2.6697424994996722E-3</v>
      </c>
      <c r="S3373" s="4">
        <f t="shared" si="212"/>
        <v>6.3873276613945137E-3</v>
      </c>
      <c r="T3373" s="4">
        <f t="shared" si="212"/>
        <v>4.146742172295252E-3</v>
      </c>
      <c r="U3373" s="35"/>
      <c r="V3373" s="35"/>
      <c r="W3373" s="35"/>
      <c r="X3373" s="35"/>
    </row>
    <row r="3374" spans="4:24" x14ac:dyDescent="0.3">
      <c r="D3374" s="23">
        <v>44476</v>
      </c>
      <c r="E3374" s="5">
        <v>422.39373799999998</v>
      </c>
      <c r="F3374" s="28">
        <v>79.048810000000003</v>
      </c>
      <c r="G3374" s="28">
        <v>164.16</v>
      </c>
      <c r="H3374" s="28">
        <v>356.91379999999998</v>
      </c>
      <c r="I3374" s="28">
        <v>218.2123</v>
      </c>
      <c r="J3374" s="29"/>
      <c r="K3374" s="29"/>
      <c r="L3374" s="29"/>
      <c r="M3374" s="29"/>
      <c r="N3374" s="29"/>
      <c r="P3374" s="4">
        <f t="shared" si="212"/>
        <v>8.6085852609715727E-3</v>
      </c>
      <c r="Q3374" s="4">
        <f t="shared" si="212"/>
        <v>-2.815051789999154E-3</v>
      </c>
      <c r="R3374" s="4">
        <f t="shared" si="212"/>
        <v>-5.2857135730716995E-3</v>
      </c>
      <c r="S3374" s="4">
        <f t="shared" si="212"/>
        <v>9.1331313183757642E-3</v>
      </c>
      <c r="T3374" s="4">
        <f t="shared" si="212"/>
        <v>9.5656923335913063E-3</v>
      </c>
      <c r="U3374" s="35"/>
      <c r="V3374" s="35"/>
      <c r="W3374" s="35"/>
      <c r="X3374" s="35"/>
    </row>
    <row r="3375" spans="4:24" x14ac:dyDescent="0.3">
      <c r="D3375" s="23">
        <v>44477</v>
      </c>
      <c r="E3375" s="5">
        <v>421.62338299999999</v>
      </c>
      <c r="F3375" s="28">
        <v>78.853840000000005</v>
      </c>
      <c r="G3375" s="28">
        <v>164.23</v>
      </c>
      <c r="H3375" s="28">
        <v>355.13400000000001</v>
      </c>
      <c r="I3375" s="28">
        <v>217.73140000000001</v>
      </c>
      <c r="J3375" s="29"/>
      <c r="K3375" s="29"/>
      <c r="L3375" s="29"/>
      <c r="M3375" s="29"/>
      <c r="N3375" s="29"/>
      <c r="P3375" s="4">
        <f t="shared" si="212"/>
        <v>-1.8254492586742682E-3</v>
      </c>
      <c r="Q3375" s="4">
        <f t="shared" si="212"/>
        <v>-2.4694974920817332E-3</v>
      </c>
      <c r="R3375" s="4">
        <f t="shared" si="212"/>
        <v>4.2632236706486042E-4</v>
      </c>
      <c r="S3375" s="4">
        <f t="shared" si="212"/>
        <v>-4.9991129994352897E-3</v>
      </c>
      <c r="T3375" s="4">
        <f t="shared" si="212"/>
        <v>-2.2062490870561804E-3</v>
      </c>
      <c r="U3375" s="35"/>
      <c r="V3375" s="35"/>
      <c r="W3375" s="35"/>
      <c r="X3375" s="35"/>
    </row>
    <row r="3376" spans="4:24" x14ac:dyDescent="0.3">
      <c r="D3376" s="23">
        <v>44480</v>
      </c>
      <c r="E3376" s="5">
        <v>418.57098400000001</v>
      </c>
      <c r="F3376" s="28">
        <v>78.733149999999995</v>
      </c>
      <c r="G3376" s="28">
        <v>163.92</v>
      </c>
      <c r="H3376" s="28">
        <v>352.41019999999997</v>
      </c>
      <c r="I3376" s="28">
        <v>216.16380000000001</v>
      </c>
      <c r="J3376" s="29"/>
      <c r="K3376" s="29"/>
      <c r="L3376" s="29"/>
      <c r="M3376" s="29"/>
      <c r="N3376" s="29"/>
      <c r="P3376" s="4">
        <f t="shared" si="212"/>
        <v>-7.2659673736880709E-3</v>
      </c>
      <c r="Q3376" s="4">
        <f t="shared" si="212"/>
        <v>-1.5317257293480276E-3</v>
      </c>
      <c r="R3376" s="4">
        <f t="shared" si="212"/>
        <v>-1.8893804188252765E-3</v>
      </c>
      <c r="S3376" s="4">
        <f t="shared" si="212"/>
        <v>-7.6993450177081446E-3</v>
      </c>
      <c r="T3376" s="4">
        <f t="shared" si="212"/>
        <v>-7.225739397584933E-3</v>
      </c>
      <c r="U3376" s="35"/>
      <c r="V3376" s="35"/>
      <c r="W3376" s="35"/>
      <c r="X3376" s="35"/>
    </row>
    <row r="3377" spans="4:24" x14ac:dyDescent="0.3">
      <c r="D3377" s="23">
        <v>44481</v>
      </c>
      <c r="E3377" s="5">
        <v>417.54064899999997</v>
      </c>
      <c r="F3377" s="28">
        <v>79.020949999999999</v>
      </c>
      <c r="G3377" s="28">
        <v>164.66</v>
      </c>
      <c r="H3377" s="28">
        <v>351.18110000000001</v>
      </c>
      <c r="I3377" s="28">
        <v>216.00989999999999</v>
      </c>
      <c r="J3377" s="29"/>
      <c r="K3377" s="29"/>
      <c r="L3377" s="29"/>
      <c r="M3377" s="29"/>
      <c r="N3377" s="29"/>
      <c r="P3377" s="4">
        <f t="shared" si="212"/>
        <v>-2.4645884134901451E-3</v>
      </c>
      <c r="Q3377" s="4">
        <f t="shared" si="212"/>
        <v>3.6487206265185352E-3</v>
      </c>
      <c r="R3377" s="4">
        <f t="shared" si="212"/>
        <v>4.5042379396356162E-3</v>
      </c>
      <c r="S3377" s="4">
        <f t="shared" si="212"/>
        <v>-3.4937932014218525E-3</v>
      </c>
      <c r="T3377" s="4">
        <f t="shared" si="212"/>
        <v>-7.1221366087520488E-4</v>
      </c>
      <c r="U3377" s="35"/>
      <c r="V3377" s="35"/>
      <c r="W3377" s="35"/>
      <c r="X3377" s="35"/>
    </row>
    <row r="3378" spans="4:24" x14ac:dyDescent="0.3">
      <c r="D3378" s="23">
        <v>44482</v>
      </c>
      <c r="E3378" s="5">
        <v>419.04278599999998</v>
      </c>
      <c r="F3378" s="28">
        <v>79.23451</v>
      </c>
      <c r="G3378" s="28">
        <v>167.59</v>
      </c>
      <c r="H3378" s="28">
        <v>353.99329999999998</v>
      </c>
      <c r="I3378" s="28">
        <v>216.99090000000001</v>
      </c>
      <c r="J3378" s="29"/>
      <c r="K3378" s="29"/>
      <c r="L3378" s="29"/>
      <c r="M3378" s="29"/>
      <c r="N3378" s="29"/>
      <c r="P3378" s="4">
        <f t="shared" si="212"/>
        <v>3.5911268415690692E-3</v>
      </c>
      <c r="Q3378" s="4">
        <f t="shared" si="212"/>
        <v>2.6989290560310688E-3</v>
      </c>
      <c r="R3378" s="4">
        <f t="shared" si="212"/>
        <v>1.7637778526502137E-2</v>
      </c>
      <c r="S3378" s="4">
        <f t="shared" si="212"/>
        <v>7.9759415778858003E-3</v>
      </c>
      <c r="T3378" s="4">
        <f t="shared" si="212"/>
        <v>4.5311772100884154E-3</v>
      </c>
      <c r="U3378" s="35"/>
      <c r="V3378" s="35"/>
      <c r="W3378" s="35"/>
      <c r="X3378" s="35"/>
    </row>
    <row r="3379" spans="4:24" x14ac:dyDescent="0.3">
      <c r="D3379" s="23">
        <v>44483</v>
      </c>
      <c r="E3379" s="5">
        <v>426.091339</v>
      </c>
      <c r="F3379" s="28">
        <v>79.373810000000006</v>
      </c>
      <c r="G3379" s="28">
        <v>168</v>
      </c>
      <c r="H3379" s="28">
        <v>360.5127</v>
      </c>
      <c r="I3379" s="28">
        <v>220.59739999999999</v>
      </c>
      <c r="J3379" s="29"/>
      <c r="K3379" s="29"/>
      <c r="L3379" s="29"/>
      <c r="M3379" s="29"/>
      <c r="N3379" s="29"/>
      <c r="P3379" s="4">
        <f t="shared" si="212"/>
        <v>1.668070481750886E-2</v>
      </c>
      <c r="Q3379" s="4">
        <f t="shared" si="212"/>
        <v>1.7565287346373261E-3</v>
      </c>
      <c r="R3379" s="4">
        <f t="shared" si="212"/>
        <v>2.4434590064768748E-3</v>
      </c>
      <c r="S3379" s="4">
        <f t="shared" si="212"/>
        <v>1.8249198552310927E-2</v>
      </c>
      <c r="T3379" s="4">
        <f t="shared" si="212"/>
        <v>1.6483903534596642E-2</v>
      </c>
      <c r="U3379" s="35"/>
      <c r="V3379" s="35"/>
      <c r="W3379" s="35"/>
      <c r="X3379" s="35"/>
    </row>
    <row r="3380" spans="4:24" x14ac:dyDescent="0.3">
      <c r="D3380" s="23">
        <v>44484</v>
      </c>
      <c r="E3380" s="5">
        <v>429.336365</v>
      </c>
      <c r="F3380" s="28">
        <v>79.178799999999995</v>
      </c>
      <c r="G3380" s="28">
        <v>165.33</v>
      </c>
      <c r="H3380" s="28">
        <v>362.7842</v>
      </c>
      <c r="I3380" s="28">
        <v>221.90539999999999</v>
      </c>
      <c r="J3380" s="29"/>
      <c r="K3380" s="29"/>
      <c r="L3380" s="29"/>
      <c r="M3380" s="29"/>
      <c r="N3380" s="29"/>
      <c r="P3380" s="4">
        <f t="shared" si="212"/>
        <v>7.5869452218793971E-3</v>
      </c>
      <c r="Q3380" s="4">
        <f t="shared" si="212"/>
        <v>-2.4598787536054554E-3</v>
      </c>
      <c r="R3380" s="4">
        <f t="shared" si="212"/>
        <v>-1.6020502840005155E-2</v>
      </c>
      <c r="S3380" s="4">
        <f t="shared" si="212"/>
        <v>6.2809821739615839E-3</v>
      </c>
      <c r="T3380" s="4">
        <f t="shared" si="212"/>
        <v>5.9118442167466765E-3</v>
      </c>
      <c r="U3380" s="35"/>
      <c r="V3380" s="35"/>
      <c r="W3380" s="35"/>
      <c r="X3380" s="35"/>
    </row>
    <row r="3381" spans="4:24" x14ac:dyDescent="0.3">
      <c r="D3381" s="23">
        <v>44487</v>
      </c>
      <c r="E3381" s="5">
        <v>430.60742199999999</v>
      </c>
      <c r="F3381" s="28">
        <v>79.132390000000001</v>
      </c>
      <c r="G3381" s="28">
        <v>164.92</v>
      </c>
      <c r="H3381" s="28">
        <v>366.4323</v>
      </c>
      <c r="I3381" s="28">
        <v>222.7133</v>
      </c>
      <c r="J3381" s="29"/>
      <c r="K3381" s="29"/>
      <c r="L3381" s="29"/>
      <c r="M3381" s="29"/>
      <c r="N3381" s="29"/>
      <c r="P3381" s="4">
        <f t="shared" ref="P3381:T3396" si="213">LN(E3381/E3380)</f>
        <v>2.9561418893611423E-3</v>
      </c>
      <c r="Q3381" s="4">
        <f t="shared" si="213"/>
        <v>-5.8631359323999812E-4</v>
      </c>
      <c r="R3381" s="4">
        <f t="shared" si="213"/>
        <v>-2.4829687245545508E-3</v>
      </c>
      <c r="S3381" s="4">
        <f t="shared" si="213"/>
        <v>1.0005616809118559E-2</v>
      </c>
      <c r="T3381" s="4">
        <f t="shared" si="213"/>
        <v>3.6341291500064875E-3</v>
      </c>
      <c r="U3381" s="35"/>
      <c r="V3381" s="35"/>
      <c r="W3381" s="35"/>
      <c r="X3381" s="35"/>
    </row>
    <row r="3382" spans="4:24" x14ac:dyDescent="0.3">
      <c r="D3382" s="23">
        <v>44488</v>
      </c>
      <c r="E3382" s="5">
        <v>433.92947400000003</v>
      </c>
      <c r="F3382" s="28">
        <v>78.909540000000007</v>
      </c>
      <c r="G3382" s="28">
        <v>165.45</v>
      </c>
      <c r="H3382" s="28">
        <v>369.20519999999999</v>
      </c>
      <c r="I3382" s="28">
        <v>224.33869999999999</v>
      </c>
      <c r="J3382" s="29"/>
      <c r="K3382" s="29"/>
      <c r="L3382" s="29"/>
      <c r="M3382" s="29"/>
      <c r="N3382" s="29"/>
      <c r="P3382" s="4">
        <f t="shared" si="213"/>
        <v>7.6851973953044155E-3</v>
      </c>
      <c r="Q3382" s="4">
        <f t="shared" si="213"/>
        <v>-2.8201395376186958E-3</v>
      </c>
      <c r="R3382" s="4">
        <f t="shared" si="213"/>
        <v>3.2085265289218856E-3</v>
      </c>
      <c r="S3382" s="4">
        <f t="shared" si="213"/>
        <v>7.5388031001698518E-3</v>
      </c>
      <c r="T3382" s="4">
        <f t="shared" si="213"/>
        <v>7.2716693458792971E-3</v>
      </c>
      <c r="U3382" s="35"/>
      <c r="V3382" s="35"/>
      <c r="W3382" s="35"/>
      <c r="X3382" s="35"/>
    </row>
    <row r="3383" spans="4:24" x14ac:dyDescent="0.3">
      <c r="D3383" s="23">
        <v>44489</v>
      </c>
      <c r="E3383" s="5">
        <v>435.63378899999998</v>
      </c>
      <c r="F3383" s="28">
        <v>78.816689999999994</v>
      </c>
      <c r="G3383" s="28">
        <v>166.9</v>
      </c>
      <c r="H3383" s="28">
        <v>368.72340000000003</v>
      </c>
      <c r="I3383" s="28">
        <v>225.2139</v>
      </c>
      <c r="J3383" s="29"/>
      <c r="K3383" s="29"/>
      <c r="L3383" s="29"/>
      <c r="M3383" s="29"/>
      <c r="N3383" s="29"/>
      <c r="P3383" s="4">
        <f t="shared" si="213"/>
        <v>3.919938329692097E-3</v>
      </c>
      <c r="Q3383" s="4">
        <f t="shared" si="213"/>
        <v>-1.1773566226175012E-3</v>
      </c>
      <c r="R3383" s="4">
        <f t="shared" si="213"/>
        <v>8.7257963001683928E-3</v>
      </c>
      <c r="S3383" s="4">
        <f t="shared" si="213"/>
        <v>-1.3058175776413225E-3</v>
      </c>
      <c r="T3383" s="4">
        <f t="shared" si="213"/>
        <v>3.893653849220208E-3</v>
      </c>
      <c r="U3383" s="35"/>
      <c r="V3383" s="35"/>
      <c r="W3383" s="35"/>
      <c r="X3383" s="35"/>
    </row>
    <row r="3384" spans="4:24" x14ac:dyDescent="0.3">
      <c r="D3384" s="23">
        <v>44490</v>
      </c>
      <c r="E3384" s="5">
        <v>436.77014200000002</v>
      </c>
      <c r="F3384" s="28">
        <v>78.705280000000002</v>
      </c>
      <c r="G3384" s="28">
        <v>166.75</v>
      </c>
      <c r="H3384" s="28">
        <v>370.9751</v>
      </c>
      <c r="I3384" s="28">
        <v>225.82939999999999</v>
      </c>
      <c r="J3384" s="29"/>
      <c r="K3384" s="29"/>
      <c r="L3384" s="29"/>
      <c r="M3384" s="29"/>
      <c r="N3384" s="29"/>
      <c r="P3384" s="4">
        <f t="shared" si="213"/>
        <v>2.6051089461761726E-3</v>
      </c>
      <c r="Q3384" s="4">
        <f t="shared" si="213"/>
        <v>-1.4145330784869218E-3</v>
      </c>
      <c r="R3384" s="4">
        <f t="shared" si="213"/>
        <v>-8.9914587205636826E-4</v>
      </c>
      <c r="S3384" s="4">
        <f t="shared" si="213"/>
        <v>6.0881749931848469E-3</v>
      </c>
      <c r="T3384" s="4">
        <f t="shared" si="213"/>
        <v>2.7292296861783352E-3</v>
      </c>
      <c r="U3384" s="35"/>
      <c r="V3384" s="35"/>
      <c r="W3384" s="35"/>
      <c r="X3384" s="35"/>
    </row>
    <row r="3385" spans="4:24" x14ac:dyDescent="0.3">
      <c r="D3385" s="23">
        <v>44491</v>
      </c>
      <c r="E3385" s="5">
        <v>436.31753500000002</v>
      </c>
      <c r="F3385" s="28">
        <v>78.872429999999994</v>
      </c>
      <c r="G3385" s="28">
        <v>167.77</v>
      </c>
      <c r="H3385" s="28">
        <v>367.85809999999998</v>
      </c>
      <c r="I3385" s="28">
        <v>225.39660000000001</v>
      </c>
      <c r="J3385" s="29"/>
      <c r="K3385" s="29"/>
      <c r="L3385" s="29"/>
      <c r="M3385" s="29"/>
      <c r="N3385" s="29"/>
      <c r="P3385" s="4">
        <f t="shared" si="213"/>
        <v>-1.0367963091616023E-3</v>
      </c>
      <c r="Q3385" s="4">
        <f t="shared" si="213"/>
        <v>2.1214937403455343E-3</v>
      </c>
      <c r="R3385" s="4">
        <f t="shared" si="213"/>
        <v>6.0983089865760988E-3</v>
      </c>
      <c r="S3385" s="4">
        <f t="shared" si="213"/>
        <v>-8.4376784712115009E-3</v>
      </c>
      <c r="T3385" s="4">
        <f t="shared" si="213"/>
        <v>-1.9183297625798386E-3</v>
      </c>
      <c r="U3385" s="35"/>
      <c r="V3385" s="35"/>
      <c r="W3385" s="35"/>
      <c r="X3385" s="35"/>
    </row>
    <row r="3386" spans="4:24" x14ac:dyDescent="0.3">
      <c r="D3386" s="23">
        <v>44494</v>
      </c>
      <c r="E3386" s="5">
        <v>438.65741000000003</v>
      </c>
      <c r="F3386" s="28">
        <v>78.909540000000007</v>
      </c>
      <c r="G3386" s="28">
        <v>168.93</v>
      </c>
      <c r="H3386" s="28">
        <v>371.62419999999997</v>
      </c>
      <c r="I3386" s="28">
        <v>226.78149999999999</v>
      </c>
      <c r="J3386" s="29"/>
      <c r="K3386" s="29"/>
      <c r="L3386" s="29"/>
      <c r="M3386" s="29"/>
      <c r="N3386" s="29"/>
      <c r="P3386" s="4">
        <f t="shared" si="213"/>
        <v>5.3484516127638481E-3</v>
      </c>
      <c r="Q3386" s="4">
        <f t="shared" si="213"/>
        <v>4.7039596075889716E-4</v>
      </c>
      <c r="R3386" s="4">
        <f t="shared" si="213"/>
        <v>6.8904341523276305E-3</v>
      </c>
      <c r="S3386" s="4">
        <f t="shared" si="213"/>
        <v>1.0185862627356282E-2</v>
      </c>
      <c r="T3386" s="4">
        <f t="shared" si="213"/>
        <v>6.1254816643885532E-3</v>
      </c>
      <c r="U3386" s="35"/>
      <c r="V3386" s="35"/>
      <c r="W3386" s="35"/>
      <c r="X3386" s="35"/>
    </row>
    <row r="3387" spans="4:24" x14ac:dyDescent="0.3">
      <c r="D3387" s="23">
        <v>44495</v>
      </c>
      <c r="E3387" s="5">
        <v>439.05224600000003</v>
      </c>
      <c r="F3387" s="28">
        <v>79.067400000000006</v>
      </c>
      <c r="G3387" s="28">
        <v>167.68</v>
      </c>
      <c r="H3387" s="28">
        <v>372.79430000000002</v>
      </c>
      <c r="I3387" s="28">
        <v>226.69499999999999</v>
      </c>
      <c r="J3387" s="29"/>
      <c r="K3387" s="29"/>
      <c r="L3387" s="29"/>
      <c r="M3387" s="29"/>
      <c r="N3387" s="29"/>
      <c r="P3387" s="4">
        <f t="shared" si="213"/>
        <v>8.9969621260129048E-4</v>
      </c>
      <c r="Q3387" s="4">
        <f t="shared" si="213"/>
        <v>1.9985201959495866E-3</v>
      </c>
      <c r="R3387" s="4">
        <f t="shared" si="213"/>
        <v>-7.4270268019594535E-3</v>
      </c>
      <c r="S3387" s="4">
        <f t="shared" si="213"/>
        <v>3.143664386734774E-3</v>
      </c>
      <c r="T3387" s="4">
        <f t="shared" si="213"/>
        <v>-3.8149717151427301E-4</v>
      </c>
      <c r="U3387" s="35"/>
      <c r="V3387" s="35"/>
      <c r="W3387" s="35"/>
      <c r="X3387" s="35"/>
    </row>
    <row r="3388" spans="4:24" x14ac:dyDescent="0.3">
      <c r="D3388" s="23">
        <v>44496</v>
      </c>
      <c r="E3388" s="5">
        <v>437.10711700000002</v>
      </c>
      <c r="F3388" s="28">
        <v>79.35521</v>
      </c>
      <c r="G3388" s="28">
        <v>168.12</v>
      </c>
      <c r="H3388" s="28">
        <v>373.65969999999999</v>
      </c>
      <c r="I3388" s="28">
        <v>225.14660000000001</v>
      </c>
      <c r="J3388" s="29"/>
      <c r="K3388" s="29"/>
      <c r="L3388" s="29"/>
      <c r="M3388" s="29"/>
      <c r="N3388" s="29"/>
      <c r="P3388" s="4">
        <f t="shared" si="213"/>
        <v>-4.4401333314263774E-3</v>
      </c>
      <c r="Q3388" s="4">
        <f t="shared" si="213"/>
        <v>3.6334500061311436E-3</v>
      </c>
      <c r="R3388" s="4">
        <f t="shared" si="213"/>
        <v>2.6206090042386384E-3</v>
      </c>
      <c r="S3388" s="4">
        <f t="shared" si="213"/>
        <v>2.3186971674739828E-3</v>
      </c>
      <c r="T3388" s="4">
        <f t="shared" si="213"/>
        <v>-6.8537561003835243E-3</v>
      </c>
      <c r="U3388" s="35"/>
      <c r="V3388" s="35"/>
      <c r="W3388" s="35"/>
      <c r="X3388" s="35"/>
    </row>
    <row r="3389" spans="4:24" x14ac:dyDescent="0.3">
      <c r="D3389" s="23">
        <v>44497</v>
      </c>
      <c r="E3389" s="5">
        <v>441.32470699999999</v>
      </c>
      <c r="F3389" s="28">
        <v>79.253079999999997</v>
      </c>
      <c r="G3389" s="28">
        <v>168.08</v>
      </c>
      <c r="H3389" s="28">
        <v>377.80919999999998</v>
      </c>
      <c r="I3389" s="28">
        <v>227.55099999999999</v>
      </c>
      <c r="J3389" s="29"/>
      <c r="K3389" s="29"/>
      <c r="L3389" s="29"/>
      <c r="M3389" s="29"/>
      <c r="N3389" s="29"/>
      <c r="P3389" s="4">
        <f t="shared" si="213"/>
        <v>9.6026175133362389E-3</v>
      </c>
      <c r="Q3389" s="4">
        <f t="shared" si="213"/>
        <v>-1.2878269366021998E-3</v>
      </c>
      <c r="R3389" s="4">
        <f t="shared" si="213"/>
        <v>-2.3795360017087107E-4</v>
      </c>
      <c r="S3389" s="4">
        <f t="shared" si="213"/>
        <v>1.1043816117199833E-2</v>
      </c>
      <c r="T3389" s="4">
        <f t="shared" si="213"/>
        <v>1.0622643501725365E-2</v>
      </c>
      <c r="U3389" s="35"/>
      <c r="V3389" s="35"/>
      <c r="W3389" s="35"/>
      <c r="X3389" s="35"/>
    </row>
    <row r="3390" spans="4:24" x14ac:dyDescent="0.3">
      <c r="D3390" s="23">
        <v>44498</v>
      </c>
      <c r="E3390" s="5">
        <v>442.220215</v>
      </c>
      <c r="F3390" s="28">
        <v>79.271649999999994</v>
      </c>
      <c r="G3390" s="28">
        <v>166.65</v>
      </c>
      <c r="H3390" s="28">
        <v>379.66770000000002</v>
      </c>
      <c r="I3390" s="28">
        <v>227.84909999999999</v>
      </c>
      <c r="J3390" s="29"/>
      <c r="K3390" s="29"/>
      <c r="L3390" s="29"/>
      <c r="M3390" s="29"/>
      <c r="N3390" s="29"/>
      <c r="P3390" s="4">
        <f t="shared" si="213"/>
        <v>2.027080421929965E-3</v>
      </c>
      <c r="Q3390" s="4">
        <f t="shared" si="213"/>
        <v>2.3428521322739617E-4</v>
      </c>
      <c r="R3390" s="4">
        <f t="shared" si="213"/>
        <v>-8.5442517829963423E-3</v>
      </c>
      <c r="S3390" s="4">
        <f t="shared" si="213"/>
        <v>4.9070901814073269E-3</v>
      </c>
      <c r="T3390" s="4">
        <f t="shared" si="213"/>
        <v>1.3091786434713758E-3</v>
      </c>
      <c r="U3390" s="35"/>
      <c r="V3390" s="35"/>
      <c r="W3390" s="35"/>
      <c r="X3390" s="35"/>
    </row>
    <row r="3391" spans="4:24" x14ac:dyDescent="0.3">
      <c r="D3391" s="23">
        <v>44501</v>
      </c>
      <c r="E3391" s="5">
        <v>442.98089599999997</v>
      </c>
      <c r="F3391" s="28">
        <v>79.210269999999994</v>
      </c>
      <c r="G3391" s="28">
        <v>167.52</v>
      </c>
      <c r="H3391" s="28">
        <v>380.96559999999999</v>
      </c>
      <c r="I3391" s="28">
        <v>228.98390000000001</v>
      </c>
      <c r="J3391" s="29"/>
      <c r="K3391" s="29"/>
      <c r="L3391" s="29"/>
      <c r="M3391" s="29"/>
      <c r="N3391" s="29"/>
      <c r="P3391" s="4">
        <f t="shared" si="213"/>
        <v>1.7186629745243654E-3</v>
      </c>
      <c r="Q3391" s="4">
        <f t="shared" si="213"/>
        <v>-7.7459943782883748E-4</v>
      </c>
      <c r="R3391" s="4">
        <f t="shared" si="213"/>
        <v>5.2069423684780562E-3</v>
      </c>
      <c r="S3391" s="4">
        <f t="shared" si="213"/>
        <v>3.4126858754609706E-3</v>
      </c>
      <c r="T3391" s="4">
        <f t="shared" si="213"/>
        <v>4.9681276708170964E-3</v>
      </c>
      <c r="U3391" s="35"/>
      <c r="V3391" s="35"/>
      <c r="W3391" s="35"/>
      <c r="X3391" s="35"/>
    </row>
    <row r="3392" spans="4:24" x14ac:dyDescent="0.3">
      <c r="D3392" s="23">
        <v>44502</v>
      </c>
      <c r="E3392" s="5">
        <v>444.77194200000002</v>
      </c>
      <c r="F3392" s="28">
        <v>79.359059999999999</v>
      </c>
      <c r="G3392" s="28">
        <v>167.16</v>
      </c>
      <c r="H3392" s="28">
        <v>382.55869999999999</v>
      </c>
      <c r="I3392" s="28">
        <v>229.69569999999999</v>
      </c>
      <c r="J3392" s="29"/>
      <c r="K3392" s="29"/>
      <c r="L3392" s="29"/>
      <c r="M3392" s="29"/>
      <c r="N3392" s="29"/>
      <c r="P3392" s="4">
        <f t="shared" si="213"/>
        <v>4.0350159490086896E-3</v>
      </c>
      <c r="Q3392" s="4">
        <f t="shared" si="213"/>
        <v>1.8766560175016336E-3</v>
      </c>
      <c r="R3392" s="4">
        <f t="shared" si="213"/>
        <v>-2.151309542512133E-3</v>
      </c>
      <c r="S3392" s="4">
        <f t="shared" si="213"/>
        <v>4.1730232079560557E-3</v>
      </c>
      <c r="T3392" s="4">
        <f t="shared" si="213"/>
        <v>3.1036940443500047E-3</v>
      </c>
      <c r="U3392" s="35"/>
      <c r="V3392" s="35"/>
      <c r="W3392" s="35"/>
      <c r="X3392" s="35"/>
    </row>
    <row r="3393" spans="4:24" x14ac:dyDescent="0.3">
      <c r="D3393" s="23">
        <v>44503</v>
      </c>
      <c r="E3393" s="5">
        <v>447.48739599999999</v>
      </c>
      <c r="F3393" s="28">
        <v>79.219589999999997</v>
      </c>
      <c r="G3393" s="28">
        <v>165.77</v>
      </c>
      <c r="H3393" s="28">
        <v>386.61970000000002</v>
      </c>
      <c r="I3393" s="28">
        <v>231.321</v>
      </c>
      <c r="J3393" s="29"/>
      <c r="K3393" s="29"/>
      <c r="L3393" s="29"/>
      <c r="M3393" s="29"/>
      <c r="N3393" s="29"/>
      <c r="P3393" s="4">
        <f t="shared" si="213"/>
        <v>6.0867110443579902E-3</v>
      </c>
      <c r="Q3393" s="4">
        <f t="shared" si="213"/>
        <v>-1.7590014287675324E-3</v>
      </c>
      <c r="R3393" s="4">
        <f t="shared" si="213"/>
        <v>-8.3501521429399008E-3</v>
      </c>
      <c r="S3393" s="4">
        <f t="shared" si="213"/>
        <v>1.0559416993051039E-2</v>
      </c>
      <c r="T3393" s="4">
        <f t="shared" si="213"/>
        <v>7.0509668462353922E-3</v>
      </c>
      <c r="U3393" s="35"/>
      <c r="V3393" s="35"/>
      <c r="W3393" s="35"/>
      <c r="X3393" s="35"/>
    </row>
    <row r="3394" spans="4:24" x14ac:dyDescent="0.3">
      <c r="D3394" s="23">
        <v>44504</v>
      </c>
      <c r="E3394" s="5">
        <v>449.596161</v>
      </c>
      <c r="F3394" s="28">
        <v>79.582229999999996</v>
      </c>
      <c r="G3394" s="28">
        <v>167.65</v>
      </c>
      <c r="H3394" s="28">
        <v>391.57569999999998</v>
      </c>
      <c r="I3394" s="28">
        <v>232.1962</v>
      </c>
      <c r="J3394" s="29"/>
      <c r="K3394" s="29"/>
      <c r="L3394" s="29"/>
      <c r="M3394" s="29"/>
      <c r="N3394" s="29"/>
      <c r="P3394" s="4">
        <f t="shared" si="213"/>
        <v>4.7013878868285286E-3</v>
      </c>
      <c r="Q3394" s="4">
        <f t="shared" si="213"/>
        <v>4.5672100026444467E-3</v>
      </c>
      <c r="R3394" s="4">
        <f t="shared" si="213"/>
        <v>1.1277187475462832E-2</v>
      </c>
      <c r="S3394" s="4">
        <f t="shared" si="213"/>
        <v>1.2737333078031153E-2</v>
      </c>
      <c r="T3394" s="4">
        <f t="shared" si="213"/>
        <v>3.7763476310589588E-3</v>
      </c>
      <c r="U3394" s="35"/>
      <c r="V3394" s="35"/>
      <c r="W3394" s="35"/>
      <c r="X3394" s="35"/>
    </row>
    <row r="3395" spans="4:24" x14ac:dyDescent="0.3">
      <c r="D3395" s="23">
        <v>44505</v>
      </c>
      <c r="E3395" s="5">
        <v>451.15612800000002</v>
      </c>
      <c r="F3395" s="28">
        <v>79.824020000000004</v>
      </c>
      <c r="G3395" s="28">
        <v>169.84</v>
      </c>
      <c r="H3395" s="28">
        <v>391.94929999999999</v>
      </c>
      <c r="I3395" s="28">
        <v>233.09059999999999</v>
      </c>
      <c r="J3395" s="29"/>
      <c r="K3395" s="29"/>
      <c r="L3395" s="29"/>
      <c r="M3395" s="29"/>
      <c r="N3395" s="29"/>
      <c r="P3395" s="4">
        <f t="shared" si="213"/>
        <v>3.4637015718011889E-3</v>
      </c>
      <c r="Q3395" s="4">
        <f t="shared" si="213"/>
        <v>3.0336349475828662E-3</v>
      </c>
      <c r="R3395" s="4">
        <f t="shared" si="213"/>
        <v>1.2978344482763162E-2</v>
      </c>
      <c r="S3395" s="4">
        <f t="shared" si="213"/>
        <v>9.5363907549473725E-4</v>
      </c>
      <c r="T3395" s="4">
        <f t="shared" si="213"/>
        <v>3.8445152608007293E-3</v>
      </c>
      <c r="U3395" s="35"/>
      <c r="V3395" s="35"/>
      <c r="W3395" s="35"/>
      <c r="X3395" s="35"/>
    </row>
    <row r="3396" spans="4:24" x14ac:dyDescent="0.3">
      <c r="D3396" s="23">
        <v>44508</v>
      </c>
      <c r="E3396" s="5">
        <v>451.54126000000002</v>
      </c>
      <c r="F3396" s="28">
        <v>79.647329999999997</v>
      </c>
      <c r="G3396" s="28">
        <v>170.45</v>
      </c>
      <c r="H3396" s="28">
        <v>391.41829999999999</v>
      </c>
      <c r="I3396" s="28">
        <v>233.4753</v>
      </c>
      <c r="J3396" s="29"/>
      <c r="K3396" s="29"/>
      <c r="L3396" s="29"/>
      <c r="M3396" s="29"/>
      <c r="N3396" s="29"/>
      <c r="P3396" s="4">
        <f t="shared" si="213"/>
        <v>8.5329154263177485E-4</v>
      </c>
      <c r="Q3396" s="4">
        <f t="shared" si="213"/>
        <v>-2.2159475329191682E-3</v>
      </c>
      <c r="R3396" s="4">
        <f t="shared" si="213"/>
        <v>3.5851811889112983E-3</v>
      </c>
      <c r="S3396" s="4">
        <f t="shared" si="213"/>
        <v>-1.3556855844596095E-3</v>
      </c>
      <c r="T3396" s="4">
        <f t="shared" si="213"/>
        <v>1.6490707408343126E-3</v>
      </c>
      <c r="U3396" s="35"/>
      <c r="V3396" s="35"/>
      <c r="W3396" s="35"/>
      <c r="X3396" s="35"/>
    </row>
    <row r="3397" spans="4:24" x14ac:dyDescent="0.3">
      <c r="D3397" s="23">
        <v>44509</v>
      </c>
      <c r="E3397" s="5">
        <v>450.04870599999998</v>
      </c>
      <c r="F3397" s="28">
        <v>79.870500000000007</v>
      </c>
      <c r="G3397" s="28">
        <v>171.29</v>
      </c>
      <c r="H3397" s="28">
        <v>388.72399999999999</v>
      </c>
      <c r="I3397" s="28">
        <v>232.8021</v>
      </c>
      <c r="J3397" s="29"/>
      <c r="K3397" s="29"/>
      <c r="L3397" s="29"/>
      <c r="M3397" s="29"/>
      <c r="N3397" s="29"/>
      <c r="P3397" s="4">
        <f t="shared" ref="P3397:T3412" si="214">LN(E3397/E3396)</f>
        <v>-3.3109404935159621E-3</v>
      </c>
      <c r="Q3397" s="4">
        <f t="shared" si="214"/>
        <v>2.7980589455398864E-3</v>
      </c>
      <c r="R3397" s="4">
        <f t="shared" si="214"/>
        <v>4.9160279259816142E-3</v>
      </c>
      <c r="S3397" s="4">
        <f t="shared" si="214"/>
        <v>-6.9072288787231833E-3</v>
      </c>
      <c r="T3397" s="4">
        <f t="shared" si="214"/>
        <v>-2.8875534939492744E-3</v>
      </c>
      <c r="U3397" s="35"/>
      <c r="V3397" s="35"/>
      <c r="W3397" s="35"/>
      <c r="X3397" s="35"/>
    </row>
    <row r="3398" spans="4:24" x14ac:dyDescent="0.3">
      <c r="D3398" s="23">
        <v>44510</v>
      </c>
      <c r="E3398" s="5">
        <v>446.42819200000002</v>
      </c>
      <c r="F3398" s="28">
        <v>79.33117</v>
      </c>
      <c r="G3398" s="28">
        <v>173.15</v>
      </c>
      <c r="H3398" s="28">
        <v>383.01100000000002</v>
      </c>
      <c r="I3398" s="28">
        <v>230.51320000000001</v>
      </c>
      <c r="J3398" s="29"/>
      <c r="K3398" s="29"/>
      <c r="L3398" s="29"/>
      <c r="M3398" s="29"/>
      <c r="N3398" s="29"/>
      <c r="P3398" s="4">
        <f t="shared" si="214"/>
        <v>-8.0772492680483525E-3</v>
      </c>
      <c r="Q3398" s="4">
        <f t="shared" si="214"/>
        <v>-6.7754573584850562E-3</v>
      </c>
      <c r="R3398" s="4">
        <f t="shared" si="214"/>
        <v>1.0800244338537383E-2</v>
      </c>
      <c r="S3398" s="4">
        <f t="shared" si="214"/>
        <v>-1.4805870833020587E-2</v>
      </c>
      <c r="T3398" s="4">
        <f t="shared" si="214"/>
        <v>-9.8806088268520442E-3</v>
      </c>
      <c r="U3398" s="35"/>
      <c r="V3398" s="35"/>
      <c r="W3398" s="35"/>
      <c r="X3398" s="35"/>
    </row>
    <row r="3399" spans="4:24" x14ac:dyDescent="0.3">
      <c r="D3399" s="23">
        <v>44511</v>
      </c>
      <c r="E3399" s="5">
        <v>446.57260100000002</v>
      </c>
      <c r="F3399" s="28">
        <v>79.200980000000001</v>
      </c>
      <c r="G3399" s="28">
        <v>174.12</v>
      </c>
      <c r="H3399" s="28">
        <v>384.0729</v>
      </c>
      <c r="I3399" s="28">
        <v>230.7921</v>
      </c>
      <c r="J3399" s="29"/>
      <c r="K3399" s="29"/>
      <c r="L3399" s="29"/>
      <c r="M3399" s="29"/>
      <c r="N3399" s="29"/>
      <c r="P3399" s="4">
        <f t="shared" si="214"/>
        <v>3.2342412770695872E-4</v>
      </c>
      <c r="Q3399" s="4">
        <f t="shared" si="214"/>
        <v>-1.6424432427987266E-3</v>
      </c>
      <c r="R3399" s="4">
        <f t="shared" si="214"/>
        <v>5.5864458356658896E-3</v>
      </c>
      <c r="S3399" s="4">
        <f t="shared" si="214"/>
        <v>2.7686689248340173E-3</v>
      </c>
      <c r="T3399" s="4">
        <f t="shared" si="214"/>
        <v>1.2091776703276344E-3</v>
      </c>
      <c r="U3399" s="35"/>
      <c r="V3399" s="35"/>
      <c r="W3399" s="35"/>
      <c r="X3399" s="35"/>
    </row>
    <row r="3400" spans="4:24" x14ac:dyDescent="0.3">
      <c r="D3400" s="23">
        <v>44512</v>
      </c>
      <c r="E3400" s="5">
        <v>449.94281000000001</v>
      </c>
      <c r="F3400" s="28">
        <v>79.210269999999994</v>
      </c>
      <c r="G3400" s="28">
        <v>174.45</v>
      </c>
      <c r="H3400" s="28">
        <v>388.11439999999999</v>
      </c>
      <c r="I3400" s="28">
        <v>232.50399999999999</v>
      </c>
      <c r="J3400" s="29"/>
      <c r="K3400" s="29"/>
      <c r="L3400" s="29"/>
      <c r="M3400" s="29"/>
      <c r="N3400" s="29"/>
      <c r="P3400" s="4">
        <f t="shared" si="214"/>
        <v>7.5184984764650013E-3</v>
      </c>
      <c r="Q3400" s="4">
        <f t="shared" si="214"/>
        <v>1.1728964970163934E-4</v>
      </c>
      <c r="R3400" s="4">
        <f t="shared" si="214"/>
        <v>1.8934509486861944E-3</v>
      </c>
      <c r="S3400" s="4">
        <f t="shared" si="214"/>
        <v>1.0467763206064316E-2</v>
      </c>
      <c r="T3400" s="4">
        <f t="shared" si="214"/>
        <v>7.390123901864604E-3</v>
      </c>
      <c r="U3400" s="35"/>
      <c r="V3400" s="35"/>
      <c r="W3400" s="35"/>
      <c r="X3400" s="35"/>
    </row>
    <row r="3401" spans="4:24" x14ac:dyDescent="0.3">
      <c r="D3401" s="23">
        <v>44515</v>
      </c>
      <c r="E3401" s="5">
        <v>450.09683200000001</v>
      </c>
      <c r="F3401" s="28">
        <v>78.884799999999998</v>
      </c>
      <c r="G3401" s="28">
        <v>174.18</v>
      </c>
      <c r="H3401" s="28">
        <v>388.0258</v>
      </c>
      <c r="I3401" s="28">
        <v>232.50399999999999</v>
      </c>
      <c r="J3401" s="29"/>
      <c r="K3401" s="29"/>
      <c r="L3401" s="29"/>
      <c r="M3401" s="29"/>
      <c r="N3401" s="29"/>
      <c r="P3401" s="4">
        <f t="shared" si="214"/>
        <v>3.4225603921458198E-4</v>
      </c>
      <c r="Q3401" s="4">
        <f t="shared" si="214"/>
        <v>-4.1174017609471505E-3</v>
      </c>
      <c r="R3401" s="4">
        <f t="shared" si="214"/>
        <v>-1.548920368189454E-3</v>
      </c>
      <c r="S3401" s="4">
        <f t="shared" si="214"/>
        <v>-2.2830926779679033E-4</v>
      </c>
      <c r="T3401" s="4">
        <f t="shared" si="214"/>
        <v>0</v>
      </c>
      <c r="U3401" s="35"/>
      <c r="V3401" s="35"/>
      <c r="W3401" s="35"/>
      <c r="X3401" s="35"/>
    </row>
    <row r="3402" spans="4:24" x14ac:dyDescent="0.3">
      <c r="D3402" s="23">
        <v>44516</v>
      </c>
      <c r="E3402" s="5">
        <v>451.878265</v>
      </c>
      <c r="F3402" s="28">
        <v>78.828999999999994</v>
      </c>
      <c r="G3402" s="28">
        <v>172.92</v>
      </c>
      <c r="H3402" s="28">
        <v>390.78899999999999</v>
      </c>
      <c r="I3402" s="28">
        <v>233.5042</v>
      </c>
      <c r="J3402" s="29"/>
      <c r="K3402" s="29"/>
      <c r="L3402" s="29"/>
      <c r="M3402" s="29"/>
      <c r="N3402" s="29"/>
      <c r="P3402" s="4">
        <f t="shared" si="214"/>
        <v>3.9500764982277059E-3</v>
      </c>
      <c r="Q3402" s="4">
        <f t="shared" si="214"/>
        <v>-7.0761090441450163E-4</v>
      </c>
      <c r="R3402" s="4">
        <f t="shared" si="214"/>
        <v>-7.2601874651625625E-3</v>
      </c>
      <c r="S3402" s="4">
        <f t="shared" si="214"/>
        <v>7.0959401245631248E-3</v>
      </c>
      <c r="T3402" s="4">
        <f t="shared" si="214"/>
        <v>4.2926349187253944E-3</v>
      </c>
      <c r="U3402" s="35"/>
      <c r="V3402" s="35"/>
      <c r="W3402" s="35"/>
      <c r="X3402" s="35"/>
    </row>
    <row r="3403" spans="4:24" x14ac:dyDescent="0.3">
      <c r="D3403" s="23">
        <v>44517</v>
      </c>
      <c r="E3403" s="5">
        <v>450.78057899999999</v>
      </c>
      <c r="F3403" s="28">
        <v>78.996409999999997</v>
      </c>
      <c r="G3403" s="28">
        <v>174.5</v>
      </c>
      <c r="H3403" s="28">
        <v>390.99549999999999</v>
      </c>
      <c r="I3403" s="28">
        <v>232.54239999999999</v>
      </c>
      <c r="J3403" s="29"/>
      <c r="K3403" s="29"/>
      <c r="L3403" s="29"/>
      <c r="M3403" s="29"/>
      <c r="N3403" s="29"/>
      <c r="P3403" s="4">
        <f t="shared" si="214"/>
        <v>-2.4321182878388609E-3</v>
      </c>
      <c r="Q3403" s="4">
        <f t="shared" si="214"/>
        <v>2.1214589309408046E-3</v>
      </c>
      <c r="R3403" s="4">
        <f t="shared" si="214"/>
        <v>9.0956818430507867E-3</v>
      </c>
      <c r="S3403" s="4">
        <f t="shared" si="214"/>
        <v>5.282785852175685E-4</v>
      </c>
      <c r="T3403" s="4">
        <f t="shared" si="214"/>
        <v>-4.1274901069936381E-3</v>
      </c>
      <c r="U3403" s="35"/>
      <c r="V3403" s="35"/>
      <c r="W3403" s="35"/>
      <c r="X3403" s="35"/>
    </row>
    <row r="3404" spans="4:24" x14ac:dyDescent="0.3">
      <c r="D3404" s="23">
        <v>44518</v>
      </c>
      <c r="E3404" s="5">
        <v>452.31161500000002</v>
      </c>
      <c r="F3404" s="28">
        <v>79.089399999999998</v>
      </c>
      <c r="G3404" s="28">
        <v>173.94</v>
      </c>
      <c r="H3404" s="28">
        <v>395.04669999999999</v>
      </c>
      <c r="I3404" s="28">
        <v>232.90790000000001</v>
      </c>
      <c r="J3404" s="29"/>
      <c r="K3404" s="29"/>
      <c r="L3404" s="29"/>
      <c r="M3404" s="29"/>
      <c r="N3404" s="29"/>
      <c r="P3404" s="4">
        <f t="shared" si="214"/>
        <v>3.3906559639737175E-3</v>
      </c>
      <c r="Q3404" s="4">
        <f t="shared" si="214"/>
        <v>1.1764498119736762E-3</v>
      </c>
      <c r="R3404" s="4">
        <f t="shared" si="214"/>
        <v>-3.2143294808627066E-3</v>
      </c>
      <c r="S3404" s="4">
        <f t="shared" si="214"/>
        <v>1.0307934793131308E-2</v>
      </c>
      <c r="T3404" s="4">
        <f t="shared" si="214"/>
        <v>1.5705224601928224E-3</v>
      </c>
      <c r="U3404" s="35"/>
      <c r="V3404" s="35"/>
      <c r="W3404" s="35"/>
      <c r="X3404" s="35"/>
    </row>
    <row r="3405" spans="4:24" x14ac:dyDescent="0.3">
      <c r="D3405" s="23">
        <v>44519</v>
      </c>
      <c r="E3405" s="5">
        <v>451.50271600000002</v>
      </c>
      <c r="F3405" s="28">
        <v>79.256780000000006</v>
      </c>
      <c r="G3405" s="28">
        <v>172.61</v>
      </c>
      <c r="H3405" s="28">
        <v>397.24939999999998</v>
      </c>
      <c r="I3405" s="28">
        <v>232.24430000000001</v>
      </c>
      <c r="J3405" s="29"/>
      <c r="K3405" s="29"/>
      <c r="L3405" s="29"/>
      <c r="M3405" s="29"/>
      <c r="N3405" s="29"/>
      <c r="P3405" s="4">
        <f t="shared" si="214"/>
        <v>-1.7899676697535291E-3</v>
      </c>
      <c r="Q3405" s="4">
        <f t="shared" si="214"/>
        <v>2.1141029400408799E-3</v>
      </c>
      <c r="R3405" s="4">
        <f t="shared" si="214"/>
        <v>-7.6756977630211528E-3</v>
      </c>
      <c r="S3405" s="4">
        <f t="shared" si="214"/>
        <v>5.560309270933623E-3</v>
      </c>
      <c r="T3405" s="4">
        <f t="shared" si="214"/>
        <v>-2.8532615784805696E-3</v>
      </c>
      <c r="U3405" s="35"/>
      <c r="V3405" s="35"/>
      <c r="W3405" s="35"/>
      <c r="X3405" s="35"/>
    </row>
    <row r="3406" spans="4:24" x14ac:dyDescent="0.3">
      <c r="D3406" s="23">
        <v>44522</v>
      </c>
      <c r="E3406" s="5">
        <v>450.23172</v>
      </c>
      <c r="F3406" s="28">
        <v>78.866200000000006</v>
      </c>
      <c r="G3406" s="28">
        <v>168.74</v>
      </c>
      <c r="H3406" s="28">
        <v>392.63760000000002</v>
      </c>
      <c r="I3406" s="28">
        <v>231.12870000000001</v>
      </c>
      <c r="J3406" s="29"/>
      <c r="K3406" s="29"/>
      <c r="L3406" s="29"/>
      <c r="M3406" s="29"/>
      <c r="N3406" s="29"/>
      <c r="P3406" s="4">
        <f t="shared" si="214"/>
        <v>-2.8190047777981687E-3</v>
      </c>
      <c r="Q3406" s="4">
        <f t="shared" si="214"/>
        <v>-4.9402154495882264E-3</v>
      </c>
      <c r="R3406" s="4">
        <f t="shared" si="214"/>
        <v>-2.2675645661117159E-2</v>
      </c>
      <c r="S3406" s="4">
        <f t="shared" si="214"/>
        <v>-1.1677245997367688E-2</v>
      </c>
      <c r="T3406" s="4">
        <f t="shared" si="214"/>
        <v>-4.8151366414600173E-3</v>
      </c>
      <c r="U3406" s="35"/>
      <c r="V3406" s="35"/>
      <c r="W3406" s="35"/>
      <c r="X3406" s="35"/>
    </row>
    <row r="3407" spans="4:24" x14ac:dyDescent="0.3">
      <c r="D3407" s="23">
        <v>44523</v>
      </c>
      <c r="E3407" s="5">
        <v>450.828644</v>
      </c>
      <c r="F3407" s="28">
        <v>78.550020000000004</v>
      </c>
      <c r="G3407" s="28">
        <v>167.28</v>
      </c>
      <c r="H3407" s="28">
        <v>390.84800000000001</v>
      </c>
      <c r="I3407" s="28">
        <v>231.2056</v>
      </c>
      <c r="J3407" s="29"/>
      <c r="K3407" s="29"/>
      <c r="L3407" s="29"/>
      <c r="M3407" s="29"/>
      <c r="N3407" s="29"/>
      <c r="P3407" s="4">
        <f t="shared" si="214"/>
        <v>1.3249369546631912E-3</v>
      </c>
      <c r="Q3407" s="4">
        <f t="shared" si="214"/>
        <v>-4.0171263824142281E-3</v>
      </c>
      <c r="R3407" s="4">
        <f t="shared" si="214"/>
        <v>-8.6900136171025356E-3</v>
      </c>
      <c r="S3407" s="4">
        <f t="shared" si="214"/>
        <v>-4.5683114337582344E-3</v>
      </c>
      <c r="T3407" s="4">
        <f t="shared" si="214"/>
        <v>3.326597256970829E-4</v>
      </c>
      <c r="U3407" s="35"/>
      <c r="V3407" s="35"/>
      <c r="W3407" s="35"/>
      <c r="X3407" s="35"/>
    </row>
    <row r="3408" spans="4:24" x14ac:dyDescent="0.3">
      <c r="D3408" s="23">
        <v>44524</v>
      </c>
      <c r="E3408" s="5">
        <v>452.03237899999999</v>
      </c>
      <c r="F3408" s="28">
        <v>78.736009999999993</v>
      </c>
      <c r="G3408" s="28">
        <v>167.12</v>
      </c>
      <c r="H3408" s="28">
        <v>392.10669999999999</v>
      </c>
      <c r="I3408" s="28">
        <v>231.9846</v>
      </c>
      <c r="J3408" s="29"/>
      <c r="K3408" s="29"/>
      <c r="L3408" s="29"/>
      <c r="M3408" s="29"/>
      <c r="N3408" s="29"/>
      <c r="P3408" s="4">
        <f t="shared" si="214"/>
        <v>2.6664917026344125E-3</v>
      </c>
      <c r="Q3408" s="4">
        <f t="shared" si="214"/>
        <v>2.3649918138273457E-3</v>
      </c>
      <c r="R3408" s="4">
        <f t="shared" si="214"/>
        <v>-9.5693787206780755E-4</v>
      </c>
      <c r="S3408" s="4">
        <f t="shared" si="214"/>
        <v>3.2152590293114238E-3</v>
      </c>
      <c r="T3408" s="4">
        <f t="shared" si="214"/>
        <v>3.3636321945861936E-3</v>
      </c>
      <c r="U3408" s="35"/>
      <c r="V3408" s="35"/>
      <c r="W3408" s="35"/>
      <c r="X3408" s="35"/>
    </row>
    <row r="3409" spans="4:24" x14ac:dyDescent="0.3">
      <c r="D3409" s="23">
        <v>44526</v>
      </c>
      <c r="E3409" s="5">
        <v>441.95059199999997</v>
      </c>
      <c r="F3409" s="28">
        <v>79.293959999999998</v>
      </c>
      <c r="G3409" s="28">
        <v>166.85</v>
      </c>
      <c r="H3409" s="28">
        <v>384.6728</v>
      </c>
      <c r="I3409" s="28">
        <v>226.96430000000001</v>
      </c>
      <c r="J3409" s="29"/>
      <c r="K3409" s="29"/>
      <c r="L3409" s="29"/>
      <c r="M3409" s="29"/>
      <c r="N3409" s="29"/>
      <c r="P3409" s="4">
        <f t="shared" si="214"/>
        <v>-2.2555719198217652E-2</v>
      </c>
      <c r="Q3409" s="4">
        <f t="shared" si="214"/>
        <v>7.0613481531759479E-3</v>
      </c>
      <c r="R3409" s="4">
        <f t="shared" si="214"/>
        <v>-1.6169120509274026E-3</v>
      </c>
      <c r="S3409" s="4">
        <f t="shared" si="214"/>
        <v>-1.9140893816430669E-2</v>
      </c>
      <c r="T3409" s="4">
        <f t="shared" si="214"/>
        <v>-2.1878253761847696E-2</v>
      </c>
      <c r="U3409" s="35"/>
      <c r="V3409" s="35"/>
      <c r="W3409" s="35"/>
      <c r="X3409" s="35"/>
    </row>
    <row r="3410" spans="4:24" x14ac:dyDescent="0.3">
      <c r="D3410" s="23">
        <v>44529</v>
      </c>
      <c r="E3410" s="5">
        <v>447.371826</v>
      </c>
      <c r="F3410" s="28">
        <v>79.284649999999999</v>
      </c>
      <c r="G3410" s="28">
        <v>166.62</v>
      </c>
      <c r="H3410" s="28">
        <v>393.02109999999999</v>
      </c>
      <c r="I3410" s="28">
        <v>229.0994</v>
      </c>
      <c r="J3410" s="29"/>
      <c r="K3410" s="29"/>
      <c r="L3410" s="29"/>
      <c r="M3410" s="29"/>
      <c r="N3410" s="29"/>
      <c r="P3410" s="4">
        <f t="shared" si="214"/>
        <v>1.2191981317722178E-2</v>
      </c>
      <c r="Q3410" s="4">
        <f t="shared" si="214"/>
        <v>-1.1741810589328861E-4</v>
      </c>
      <c r="R3410" s="4">
        <f t="shared" si="214"/>
        <v>-1.3794346506198201E-3</v>
      </c>
      <c r="S3410" s="4">
        <f t="shared" si="214"/>
        <v>2.1470197181907662E-2</v>
      </c>
      <c r="T3410" s="4">
        <f t="shared" si="214"/>
        <v>9.3632341214142552E-3</v>
      </c>
      <c r="U3410" s="35"/>
      <c r="V3410" s="35"/>
      <c r="W3410" s="35"/>
      <c r="X3410" s="35"/>
    </row>
    <row r="3411" spans="4:24" x14ac:dyDescent="0.3">
      <c r="D3411" s="23">
        <v>44530</v>
      </c>
      <c r="E3411" s="5">
        <v>438.66705300000001</v>
      </c>
      <c r="F3411" s="28">
        <v>79.433449999999993</v>
      </c>
      <c r="G3411" s="28">
        <v>165.5</v>
      </c>
      <c r="H3411" s="28">
        <v>387.2491</v>
      </c>
      <c r="I3411" s="28">
        <v>224.5214</v>
      </c>
      <c r="J3411" s="29"/>
      <c r="K3411" s="29"/>
      <c r="L3411" s="29"/>
      <c r="M3411" s="29"/>
      <c r="N3411" s="29"/>
      <c r="P3411" s="4">
        <f t="shared" si="214"/>
        <v>-1.9649370425973704E-2</v>
      </c>
      <c r="Q3411" s="4">
        <f t="shared" si="214"/>
        <v>1.8750229947915727E-3</v>
      </c>
      <c r="R3411" s="4">
        <f t="shared" si="214"/>
        <v>-6.744575729645568E-3</v>
      </c>
      <c r="S3411" s="4">
        <f t="shared" si="214"/>
        <v>-1.4795144781232315E-2</v>
      </c>
      <c r="T3411" s="4">
        <f t="shared" si="214"/>
        <v>-2.0184944933095094E-2</v>
      </c>
      <c r="U3411" s="35"/>
      <c r="V3411" s="35"/>
      <c r="W3411" s="35"/>
      <c r="X3411" s="35"/>
    </row>
    <row r="3412" spans="4:24" x14ac:dyDescent="0.3">
      <c r="D3412" s="23">
        <v>44531</v>
      </c>
      <c r="E3412" s="5">
        <v>433.794647</v>
      </c>
      <c r="F3412" s="28">
        <v>79.484669999999994</v>
      </c>
      <c r="G3412" s="28">
        <v>166.16</v>
      </c>
      <c r="H3412" s="28">
        <v>380.66079999999999</v>
      </c>
      <c r="I3412" s="28">
        <v>221.35730000000001</v>
      </c>
      <c r="J3412" s="29"/>
      <c r="K3412" s="29"/>
      <c r="L3412" s="29"/>
      <c r="M3412" s="29"/>
      <c r="N3412" s="29"/>
      <c r="P3412" s="4">
        <f t="shared" si="214"/>
        <v>-1.1169445387135732E-2</v>
      </c>
      <c r="Q3412" s="4">
        <f t="shared" si="214"/>
        <v>6.4460870508122698E-4</v>
      </c>
      <c r="R3412" s="4">
        <f t="shared" si="214"/>
        <v>3.9799847507393255E-3</v>
      </c>
      <c r="S3412" s="4">
        <f t="shared" si="214"/>
        <v>-1.715946534380812E-2</v>
      </c>
      <c r="T3412" s="4">
        <f t="shared" si="214"/>
        <v>-1.4192887500573554E-2</v>
      </c>
      <c r="U3412" s="35"/>
      <c r="V3412" s="35"/>
      <c r="W3412" s="35"/>
      <c r="X3412" s="35"/>
    </row>
    <row r="3413" spans="4:24" x14ac:dyDescent="0.3">
      <c r="D3413" s="23">
        <v>44532</v>
      </c>
      <c r="E3413" s="5">
        <v>440.43884300000002</v>
      </c>
      <c r="F3413" s="28">
        <v>79.494</v>
      </c>
      <c r="G3413" s="28">
        <v>165.24</v>
      </c>
      <c r="H3413" s="28">
        <v>383.40429999999998</v>
      </c>
      <c r="I3413" s="28">
        <v>224.95419999999999</v>
      </c>
      <c r="J3413" s="29"/>
      <c r="K3413" s="29"/>
      <c r="L3413" s="29"/>
      <c r="M3413" s="29"/>
      <c r="N3413" s="29"/>
      <c r="P3413" s="4">
        <f t="shared" ref="P3413:T3428" si="215">LN(E3413/E3412)</f>
        <v>1.5200341794686616E-2</v>
      </c>
      <c r="Q3413" s="4">
        <f t="shared" si="215"/>
        <v>1.1737423656544539E-4</v>
      </c>
      <c r="R3413" s="4">
        <f t="shared" si="215"/>
        <v>-5.5522170392930574E-3</v>
      </c>
      <c r="S3413" s="4">
        <f t="shared" si="215"/>
        <v>7.1813561190269626E-3</v>
      </c>
      <c r="T3413" s="4">
        <f t="shared" si="215"/>
        <v>1.6118687849961486E-2</v>
      </c>
      <c r="U3413" s="35"/>
      <c r="V3413" s="35"/>
      <c r="W3413" s="35"/>
      <c r="X3413" s="35"/>
    </row>
    <row r="3414" spans="4:24" x14ac:dyDescent="0.3">
      <c r="D3414" s="23">
        <v>44533</v>
      </c>
      <c r="E3414" s="5">
        <v>436.60638399999999</v>
      </c>
      <c r="F3414" s="28">
        <v>79.801339999999996</v>
      </c>
      <c r="G3414" s="28">
        <v>166.63</v>
      </c>
      <c r="H3414" s="28">
        <v>376.73739999999998</v>
      </c>
      <c r="I3414" s="28">
        <v>222.34790000000001</v>
      </c>
      <c r="J3414" s="29"/>
      <c r="K3414" s="29"/>
      <c r="L3414" s="29"/>
      <c r="M3414" s="29"/>
      <c r="N3414" s="29"/>
      <c r="P3414" s="4">
        <f t="shared" si="215"/>
        <v>-8.7395342347552744E-3</v>
      </c>
      <c r="Q3414" s="4">
        <f t="shared" si="215"/>
        <v>3.8587491806881895E-3</v>
      </c>
      <c r="R3414" s="4">
        <f t="shared" si="215"/>
        <v>8.3768230219682816E-3</v>
      </c>
      <c r="S3414" s="4">
        <f t="shared" si="215"/>
        <v>-1.7541652970434675E-2</v>
      </c>
      <c r="T3414" s="4">
        <f t="shared" si="215"/>
        <v>-1.1653553585887835E-2</v>
      </c>
      <c r="U3414" s="35"/>
      <c r="V3414" s="35"/>
      <c r="W3414" s="35"/>
      <c r="X3414" s="35"/>
    </row>
    <row r="3415" spans="4:24" x14ac:dyDescent="0.3">
      <c r="D3415" s="23">
        <v>44536</v>
      </c>
      <c r="E3415" s="5">
        <v>441.77728300000001</v>
      </c>
      <c r="F3415" s="28">
        <v>79.587119999999999</v>
      </c>
      <c r="G3415" s="28">
        <v>166.22</v>
      </c>
      <c r="H3415" s="28">
        <v>379.75619999999998</v>
      </c>
      <c r="I3415" s="28">
        <v>225.20429999999999</v>
      </c>
      <c r="J3415" s="29"/>
      <c r="K3415" s="29"/>
      <c r="L3415" s="29"/>
      <c r="M3415" s="29"/>
      <c r="N3415" s="29"/>
      <c r="P3415" s="4">
        <f t="shared" si="215"/>
        <v>1.1773804381150447E-2</v>
      </c>
      <c r="Q3415" s="4">
        <f t="shared" si="215"/>
        <v>-2.6880255821139384E-3</v>
      </c>
      <c r="R3415" s="4">
        <f t="shared" si="215"/>
        <v>-2.4635734256517701E-3</v>
      </c>
      <c r="S3415" s="4">
        <f t="shared" si="215"/>
        <v>7.9810748542084118E-3</v>
      </c>
      <c r="T3415" s="4">
        <f t="shared" si="215"/>
        <v>1.2764717879055431E-2</v>
      </c>
      <c r="U3415" s="35"/>
      <c r="V3415" s="35"/>
      <c r="W3415" s="35"/>
      <c r="X3415" s="35"/>
    </row>
    <row r="3416" spans="4:24" x14ac:dyDescent="0.3">
      <c r="D3416" s="23">
        <v>44537</v>
      </c>
      <c r="E3416" s="5">
        <v>450.915436</v>
      </c>
      <c r="F3416" s="28">
        <v>79.410179999999997</v>
      </c>
      <c r="G3416" s="28">
        <v>166.81</v>
      </c>
      <c r="H3416" s="28">
        <v>391.19209999999998</v>
      </c>
      <c r="I3416" s="28">
        <v>230.02269999999999</v>
      </c>
      <c r="J3416" s="29"/>
      <c r="K3416" s="29"/>
      <c r="L3416" s="29"/>
      <c r="M3416" s="29"/>
      <c r="N3416" s="29"/>
      <c r="P3416" s="4">
        <f t="shared" si="215"/>
        <v>2.0473948125990522E-2</v>
      </c>
      <c r="Q3416" s="4">
        <f t="shared" si="215"/>
        <v>-2.2256990910266162E-3</v>
      </c>
      <c r="R3416" s="4">
        <f t="shared" si="215"/>
        <v>3.5432280410837278E-3</v>
      </c>
      <c r="S3416" s="4">
        <f t="shared" si="215"/>
        <v>2.9669275809508459E-2</v>
      </c>
      <c r="T3416" s="4">
        <f t="shared" si="215"/>
        <v>2.1170009483485651E-2</v>
      </c>
      <c r="U3416" s="35"/>
      <c r="V3416" s="35"/>
      <c r="W3416" s="35"/>
      <c r="X3416" s="35"/>
    </row>
    <row r="3417" spans="4:24" x14ac:dyDescent="0.3">
      <c r="D3417" s="23">
        <v>44538</v>
      </c>
      <c r="E3417" s="5">
        <v>452.109375</v>
      </c>
      <c r="F3417" s="28">
        <v>79.167990000000003</v>
      </c>
      <c r="G3417" s="28">
        <v>166.9</v>
      </c>
      <c r="H3417" s="28">
        <v>392.94240000000002</v>
      </c>
      <c r="I3417" s="28">
        <v>231.01329999999999</v>
      </c>
      <c r="J3417" s="29"/>
      <c r="K3417" s="29"/>
      <c r="L3417" s="29"/>
      <c r="M3417" s="29"/>
      <c r="N3417" s="29"/>
      <c r="P3417" s="4">
        <f t="shared" si="215"/>
        <v>2.6443120524775286E-3</v>
      </c>
      <c r="Q3417" s="4">
        <f t="shared" si="215"/>
        <v>-3.0545211652360546E-3</v>
      </c>
      <c r="R3417" s="4">
        <f t="shared" si="215"/>
        <v>5.3939050182528201E-4</v>
      </c>
      <c r="S3417" s="4">
        <f t="shared" si="215"/>
        <v>4.4642925593560952E-3</v>
      </c>
      <c r="T3417" s="4">
        <f t="shared" si="215"/>
        <v>4.2972849166751197E-3</v>
      </c>
      <c r="U3417" s="35"/>
      <c r="V3417" s="35"/>
      <c r="W3417" s="35"/>
      <c r="X3417" s="35"/>
    </row>
    <row r="3418" spans="4:24" x14ac:dyDescent="0.3">
      <c r="D3418" s="23">
        <v>44539</v>
      </c>
      <c r="E3418" s="5">
        <v>449.05694599999998</v>
      </c>
      <c r="F3418" s="28">
        <v>79.205280000000002</v>
      </c>
      <c r="G3418" s="28">
        <v>165.88</v>
      </c>
      <c r="H3418" s="28">
        <v>387.16059999999999</v>
      </c>
      <c r="I3418" s="28">
        <v>228.8109</v>
      </c>
      <c r="J3418" s="29"/>
      <c r="K3418" s="29"/>
      <c r="L3418" s="29"/>
      <c r="M3418" s="29"/>
      <c r="N3418" s="29"/>
      <c r="P3418" s="4">
        <f t="shared" si="215"/>
        <v>-6.7744224402731881E-3</v>
      </c>
      <c r="Q3418" s="4">
        <f t="shared" si="215"/>
        <v>4.7091280857065019E-4</v>
      </c>
      <c r="R3418" s="4">
        <f t="shared" si="215"/>
        <v>-6.1301952896088566E-3</v>
      </c>
      <c r="S3418" s="4">
        <f t="shared" si="215"/>
        <v>-1.4823442215521015E-2</v>
      </c>
      <c r="T3418" s="4">
        <f t="shared" si="215"/>
        <v>-9.579386390908301E-3</v>
      </c>
      <c r="U3418" s="35"/>
      <c r="V3418" s="35"/>
      <c r="W3418" s="35"/>
      <c r="X3418" s="35"/>
    </row>
    <row r="3419" spans="4:24" x14ac:dyDescent="0.3">
      <c r="D3419" s="23">
        <v>44540</v>
      </c>
      <c r="E3419" s="5">
        <v>453.284088</v>
      </c>
      <c r="F3419" s="28">
        <v>79.23321</v>
      </c>
      <c r="G3419" s="28">
        <v>166.58</v>
      </c>
      <c r="H3419" s="28">
        <v>391.3691</v>
      </c>
      <c r="I3419" s="28">
        <v>230.3689</v>
      </c>
      <c r="J3419" s="29"/>
      <c r="K3419" s="29"/>
      <c r="L3419" s="29"/>
      <c r="M3419" s="29"/>
      <c r="N3419" s="29"/>
      <c r="P3419" s="4">
        <f t="shared" si="215"/>
        <v>9.3693465416271968E-3</v>
      </c>
      <c r="Q3419" s="4">
        <f t="shared" si="215"/>
        <v>3.5256584797435864E-4</v>
      </c>
      <c r="R3419" s="4">
        <f t="shared" si="215"/>
        <v>4.2110391290139841E-3</v>
      </c>
      <c r="S3419" s="4">
        <f t="shared" si="215"/>
        <v>1.0811510450485728E-2</v>
      </c>
      <c r="T3419" s="4">
        <f t="shared" si="215"/>
        <v>6.7860388408304533E-3</v>
      </c>
      <c r="U3419" s="35"/>
      <c r="V3419" s="35"/>
      <c r="W3419" s="35"/>
      <c r="X3419" s="35"/>
    </row>
    <row r="3420" spans="4:24" x14ac:dyDescent="0.3">
      <c r="D3420" s="23">
        <v>44543</v>
      </c>
      <c r="E3420" s="5">
        <v>449.26876800000002</v>
      </c>
      <c r="F3420" s="28">
        <v>79.503320000000002</v>
      </c>
      <c r="G3420" s="28">
        <v>167</v>
      </c>
      <c r="H3420" s="28">
        <v>385.71510000000001</v>
      </c>
      <c r="I3420" s="28">
        <v>228.2723</v>
      </c>
      <c r="J3420" s="29"/>
      <c r="K3420" s="29"/>
      <c r="L3420" s="29"/>
      <c r="M3420" s="29"/>
      <c r="N3420" s="29"/>
      <c r="P3420" s="4">
        <f t="shared" si="215"/>
        <v>-8.8977536647350079E-3</v>
      </c>
      <c r="Q3420" s="4">
        <f t="shared" si="215"/>
        <v>3.4032526817112693E-3</v>
      </c>
      <c r="R3420" s="4">
        <f t="shared" si="215"/>
        <v>2.5181379095605052E-3</v>
      </c>
      <c r="S3420" s="4">
        <f t="shared" si="215"/>
        <v>-1.4552090431057403E-2</v>
      </c>
      <c r="T3420" s="4">
        <f t="shared" si="215"/>
        <v>-9.1427224786456551E-3</v>
      </c>
      <c r="U3420" s="35"/>
      <c r="V3420" s="35"/>
      <c r="W3420" s="35"/>
      <c r="X3420" s="35"/>
    </row>
    <row r="3421" spans="4:24" x14ac:dyDescent="0.3">
      <c r="D3421" s="23">
        <v>44544</v>
      </c>
      <c r="E3421" s="5">
        <v>446.177795</v>
      </c>
      <c r="F3421" s="28">
        <v>79.372910000000005</v>
      </c>
      <c r="G3421" s="28">
        <v>165.44</v>
      </c>
      <c r="H3421" s="28">
        <v>381.72280000000001</v>
      </c>
      <c r="I3421" s="28">
        <v>226.56030000000001</v>
      </c>
      <c r="J3421" s="29"/>
      <c r="K3421" s="29"/>
      <c r="L3421" s="29"/>
      <c r="M3421" s="29"/>
      <c r="N3421" s="29"/>
      <c r="P3421" s="4">
        <f t="shared" si="215"/>
        <v>-6.9037850042730064E-3</v>
      </c>
      <c r="Q3421" s="4">
        <f t="shared" si="215"/>
        <v>-1.641655637073892E-3</v>
      </c>
      <c r="R3421" s="4">
        <f t="shared" si="215"/>
        <v>-9.3852210966907778E-3</v>
      </c>
      <c r="S3421" s="4">
        <f t="shared" si="215"/>
        <v>-1.04043233043067E-2</v>
      </c>
      <c r="T3421" s="4">
        <f t="shared" si="215"/>
        <v>-7.5280799362047197E-3</v>
      </c>
      <c r="U3421" s="35"/>
      <c r="V3421" s="35"/>
      <c r="W3421" s="35"/>
      <c r="X3421" s="35"/>
    </row>
    <row r="3422" spans="4:24" x14ac:dyDescent="0.3">
      <c r="D3422" s="23">
        <v>44545</v>
      </c>
      <c r="E3422" s="5">
        <v>453.14935300000002</v>
      </c>
      <c r="F3422" s="28">
        <v>79.270439999999994</v>
      </c>
      <c r="G3422" s="28">
        <v>166.15</v>
      </c>
      <c r="H3422" s="28">
        <v>390.42509999999999</v>
      </c>
      <c r="I3422" s="28">
        <v>230.0515</v>
      </c>
      <c r="J3422" s="29"/>
      <c r="K3422" s="29"/>
      <c r="L3422" s="29"/>
      <c r="M3422" s="29"/>
      <c r="N3422" s="29"/>
      <c r="P3422" s="4">
        <f t="shared" si="215"/>
        <v>1.5504252635863296E-2</v>
      </c>
      <c r="Q3422" s="4">
        <f t="shared" si="215"/>
        <v>-1.2918286741971823E-3</v>
      </c>
      <c r="R3422" s="4">
        <f t="shared" si="215"/>
        <v>4.2824034805391169E-3</v>
      </c>
      <c r="S3422" s="4">
        <f t="shared" si="215"/>
        <v>2.2541454763332656E-2</v>
      </c>
      <c r="T3422" s="4">
        <f t="shared" si="215"/>
        <v>1.5292062244868994E-2</v>
      </c>
      <c r="U3422" s="35"/>
      <c r="V3422" s="35"/>
      <c r="W3422" s="35"/>
      <c r="X3422" s="35"/>
    </row>
    <row r="3423" spans="4:24" x14ac:dyDescent="0.3">
      <c r="D3423" s="23">
        <v>44546</v>
      </c>
      <c r="E3423" s="5">
        <v>449.15322900000001</v>
      </c>
      <c r="F3423" s="28">
        <v>79.372910000000005</v>
      </c>
      <c r="G3423" s="28">
        <v>168.16</v>
      </c>
      <c r="H3423" s="28">
        <v>380.38549999999998</v>
      </c>
      <c r="I3423" s="28">
        <v>227.47399999999999</v>
      </c>
      <c r="J3423" s="29"/>
      <c r="K3423" s="29"/>
      <c r="L3423" s="29"/>
      <c r="M3423" s="29"/>
      <c r="N3423" s="29"/>
      <c r="P3423" s="4">
        <f t="shared" si="215"/>
        <v>-8.8576719320699465E-3</v>
      </c>
      <c r="Q3423" s="4">
        <f t="shared" si="215"/>
        <v>1.2918286741972354E-3</v>
      </c>
      <c r="R3423" s="4">
        <f t="shared" si="215"/>
        <v>1.2024912328037703E-2</v>
      </c>
      <c r="S3423" s="4">
        <f t="shared" si="215"/>
        <v>-2.6050933331048968E-2</v>
      </c>
      <c r="T3423" s="4">
        <f t="shared" si="215"/>
        <v>-1.126725075628014E-2</v>
      </c>
      <c r="U3423" s="35"/>
      <c r="V3423" s="35"/>
      <c r="W3423" s="35"/>
      <c r="X3423" s="35"/>
    </row>
    <row r="3424" spans="4:24" x14ac:dyDescent="0.3">
      <c r="D3424" s="23">
        <v>44547</v>
      </c>
      <c r="E3424" s="5">
        <v>444.37295499999999</v>
      </c>
      <c r="F3424" s="28">
        <v>79.512630000000001</v>
      </c>
      <c r="G3424" s="28">
        <v>167.8</v>
      </c>
      <c r="H3424" s="28">
        <v>378.48770000000002</v>
      </c>
      <c r="I3424" s="28">
        <v>226.43530000000001</v>
      </c>
      <c r="J3424" s="29"/>
      <c r="K3424" s="29"/>
      <c r="L3424" s="29"/>
      <c r="M3424" s="29"/>
      <c r="N3424" s="29"/>
      <c r="P3424" s="4">
        <f t="shared" si="215"/>
        <v>-1.0699898206548217E-2</v>
      </c>
      <c r="Q3424" s="4">
        <f t="shared" si="215"/>
        <v>1.7587508091071536E-3</v>
      </c>
      <c r="R3424" s="4">
        <f t="shared" si="215"/>
        <v>-2.1431130955351057E-3</v>
      </c>
      <c r="S3424" s="4">
        <f t="shared" si="215"/>
        <v>-5.0016365219825911E-3</v>
      </c>
      <c r="T3424" s="4">
        <f t="shared" si="215"/>
        <v>-4.5766932427278532E-3</v>
      </c>
      <c r="U3424" s="35"/>
      <c r="V3424" s="35"/>
      <c r="W3424" s="35"/>
      <c r="X3424" s="35"/>
    </row>
    <row r="3425" spans="4:24" x14ac:dyDescent="0.3">
      <c r="D3425" s="23">
        <v>44550</v>
      </c>
      <c r="E3425" s="5">
        <v>439.64770499999997</v>
      </c>
      <c r="F3425" s="28">
        <v>79.382220000000004</v>
      </c>
      <c r="G3425" s="28">
        <v>167.09</v>
      </c>
      <c r="H3425" s="28">
        <v>374.81630000000001</v>
      </c>
      <c r="I3425" s="28">
        <v>223.25190000000001</v>
      </c>
      <c r="J3425" s="29"/>
      <c r="K3425" s="29"/>
      <c r="L3425" s="29"/>
      <c r="M3425" s="29"/>
      <c r="N3425" s="29"/>
      <c r="P3425" s="4">
        <f t="shared" si="215"/>
        <v>-1.069046282788458E-2</v>
      </c>
      <c r="Q3425" s="4">
        <f t="shared" si="215"/>
        <v>-1.6414632605324306E-3</v>
      </c>
      <c r="R3425" s="4">
        <f t="shared" si="215"/>
        <v>-4.2402046270538507E-3</v>
      </c>
      <c r="S3425" s="4">
        <f t="shared" si="215"/>
        <v>-9.747536372114415E-3</v>
      </c>
      <c r="T3425" s="4">
        <f t="shared" si="215"/>
        <v>-1.4158522544190522E-2</v>
      </c>
      <c r="U3425" s="35"/>
      <c r="V3425" s="35"/>
      <c r="W3425" s="35"/>
      <c r="X3425" s="35"/>
    </row>
    <row r="3426" spans="4:24" x14ac:dyDescent="0.3">
      <c r="D3426" s="23">
        <v>44551</v>
      </c>
      <c r="E3426" s="5">
        <v>447.45547499999998</v>
      </c>
      <c r="F3426" s="28">
        <v>79.298419999999993</v>
      </c>
      <c r="G3426" s="28">
        <v>167.02</v>
      </c>
      <c r="H3426" s="28">
        <v>383.20479999999998</v>
      </c>
      <c r="I3426" s="28">
        <v>227.62790000000001</v>
      </c>
      <c r="J3426" s="29"/>
      <c r="K3426" s="29"/>
      <c r="L3426" s="29"/>
      <c r="M3426" s="29"/>
      <c r="N3426" s="29"/>
      <c r="P3426" s="4">
        <f t="shared" si="215"/>
        <v>1.7603299808056722E-2</v>
      </c>
      <c r="Q3426" s="4">
        <f t="shared" si="215"/>
        <v>-1.0562096017569227E-3</v>
      </c>
      <c r="R3426" s="4">
        <f t="shared" si="215"/>
        <v>-4.1902368096864045E-4</v>
      </c>
      <c r="S3426" s="4">
        <f t="shared" si="215"/>
        <v>2.213353283441798E-2</v>
      </c>
      <c r="T3426" s="4">
        <f t="shared" si="215"/>
        <v>1.9411547860533118E-2</v>
      </c>
      <c r="U3426" s="35"/>
      <c r="V3426" s="35"/>
      <c r="W3426" s="35"/>
      <c r="X3426" s="35"/>
    </row>
    <row r="3427" spans="4:24" x14ac:dyDescent="0.3">
      <c r="D3427" s="23">
        <v>44552</v>
      </c>
      <c r="E3427" s="5">
        <v>451.92941300000001</v>
      </c>
      <c r="F3427" s="28">
        <v>79.382220000000004</v>
      </c>
      <c r="G3427" s="28">
        <v>168.59</v>
      </c>
      <c r="H3427" s="28">
        <v>387.87169999999998</v>
      </c>
      <c r="I3427" s="28">
        <v>229.8784</v>
      </c>
      <c r="J3427" s="29"/>
      <c r="K3427" s="29"/>
      <c r="L3427" s="29"/>
      <c r="M3427" s="29"/>
      <c r="N3427" s="29"/>
      <c r="P3427" s="4">
        <f t="shared" si="215"/>
        <v>9.9489661498285992E-3</v>
      </c>
      <c r="Q3427" s="4">
        <f t="shared" si="215"/>
        <v>1.056209601756908E-3</v>
      </c>
      <c r="R3427" s="4">
        <f t="shared" si="215"/>
        <v>9.3561661026263111E-3</v>
      </c>
      <c r="S3427" s="4">
        <f t="shared" si="215"/>
        <v>1.2105042722478991E-2</v>
      </c>
      <c r="T3427" s="4">
        <f t="shared" si="215"/>
        <v>9.8381952429711771E-3</v>
      </c>
      <c r="U3427" s="35"/>
      <c r="V3427" s="35"/>
      <c r="W3427" s="35"/>
      <c r="X3427" s="35"/>
    </row>
    <row r="3428" spans="4:24" x14ac:dyDescent="0.3">
      <c r="D3428" s="23">
        <v>44553</v>
      </c>
      <c r="E3428" s="5">
        <v>454.74136399999998</v>
      </c>
      <c r="F3428" s="28">
        <v>79.261690000000002</v>
      </c>
      <c r="G3428" s="28">
        <v>168.97</v>
      </c>
      <c r="H3428" s="28">
        <v>390.79579999999999</v>
      </c>
      <c r="I3428" s="28">
        <v>231.46530000000001</v>
      </c>
      <c r="J3428" s="29"/>
      <c r="K3428" s="29"/>
      <c r="L3428" s="29"/>
      <c r="M3428" s="29"/>
      <c r="N3428" s="29"/>
      <c r="P3428" s="4">
        <f t="shared" si="215"/>
        <v>6.2028248558420136E-3</v>
      </c>
      <c r="Q3428" s="4">
        <f t="shared" si="215"/>
        <v>-1.519503940502966E-3</v>
      </c>
      <c r="R3428" s="4">
        <f t="shared" si="215"/>
        <v>2.2514525448486165E-3</v>
      </c>
      <c r="S3428" s="4">
        <f t="shared" si="215"/>
        <v>7.5105580888482123E-3</v>
      </c>
      <c r="T3428" s="4">
        <f t="shared" si="215"/>
        <v>6.8794968205241952E-3</v>
      </c>
      <c r="U3428" s="35"/>
      <c r="V3428" s="35"/>
      <c r="W3428" s="35"/>
      <c r="X3428" s="35"/>
    </row>
    <row r="3429" spans="4:24" x14ac:dyDescent="0.3">
      <c r="D3429" s="23">
        <v>44557</v>
      </c>
      <c r="E3429" s="5">
        <v>461.176941</v>
      </c>
      <c r="F3429" s="28">
        <v>79.299059999999997</v>
      </c>
      <c r="G3429" s="28">
        <v>169.37</v>
      </c>
      <c r="H3429" s="28">
        <v>397.25459999999998</v>
      </c>
      <c r="I3429" s="28">
        <v>234.50470000000001</v>
      </c>
      <c r="J3429" s="29"/>
      <c r="K3429" s="29"/>
      <c r="L3429" s="29"/>
      <c r="M3429" s="29"/>
      <c r="N3429" s="29"/>
      <c r="P3429" s="4">
        <f t="shared" ref="P3429:T3444" si="216">LN(E3429/E3428)</f>
        <v>1.4052962749526186E-2</v>
      </c>
      <c r="Q3429" s="4">
        <f t="shared" si="216"/>
        <v>4.7136508488914163E-4</v>
      </c>
      <c r="R3429" s="4">
        <f t="shared" si="216"/>
        <v>2.3644865304714522E-3</v>
      </c>
      <c r="S3429" s="4">
        <f t="shared" si="216"/>
        <v>1.6392212033984332E-2</v>
      </c>
      <c r="T3429" s="4">
        <f t="shared" si="216"/>
        <v>1.3045660046686667E-2</v>
      </c>
      <c r="U3429" s="35"/>
      <c r="V3429" s="35"/>
      <c r="W3429" s="35"/>
      <c r="X3429" s="35"/>
    </row>
    <row r="3430" spans="4:24" x14ac:dyDescent="0.3">
      <c r="D3430" s="23">
        <v>44558</v>
      </c>
      <c r="E3430" s="5">
        <v>460.800049</v>
      </c>
      <c r="F3430" s="28">
        <v>79.289709999999999</v>
      </c>
      <c r="G3430" s="28">
        <v>168.64</v>
      </c>
      <c r="H3430" s="28">
        <v>395.41340000000002</v>
      </c>
      <c r="I3430" s="28">
        <v>234.02209999999999</v>
      </c>
      <c r="J3430" s="29"/>
      <c r="K3430" s="29"/>
      <c r="L3430" s="29"/>
      <c r="M3430" s="29"/>
      <c r="N3430" s="29"/>
      <c r="P3430" s="4">
        <f t="shared" si="216"/>
        <v>-8.1757359474603382E-4</v>
      </c>
      <c r="Q3430" s="4">
        <f t="shared" si="216"/>
        <v>-1.179150328340141E-4</v>
      </c>
      <c r="R3430" s="4">
        <f t="shared" si="216"/>
        <v>-4.3194055500325144E-3</v>
      </c>
      <c r="S3430" s="4">
        <f t="shared" si="216"/>
        <v>-4.6455850654100158E-3</v>
      </c>
      <c r="T3430" s="4">
        <f t="shared" si="216"/>
        <v>-2.0600749868562125E-3</v>
      </c>
      <c r="U3430" s="35"/>
      <c r="V3430" s="35"/>
      <c r="W3430" s="35"/>
      <c r="X3430" s="35"/>
    </row>
    <row r="3431" spans="4:24" x14ac:dyDescent="0.3">
      <c r="D3431" s="23">
        <v>44559</v>
      </c>
      <c r="E3431" s="5">
        <v>461.38955700000002</v>
      </c>
      <c r="F3431" s="28">
        <v>79.028109999999998</v>
      </c>
      <c r="G3431" s="28">
        <v>168.59</v>
      </c>
      <c r="H3431" s="28">
        <v>395.3544</v>
      </c>
      <c r="I3431" s="28">
        <v>234.15719999999999</v>
      </c>
      <c r="J3431" s="29"/>
      <c r="K3431" s="29"/>
      <c r="L3431" s="29"/>
      <c r="M3431" s="29"/>
      <c r="N3431" s="29"/>
      <c r="P3431" s="4">
        <f t="shared" si="216"/>
        <v>1.2784964750482931E-3</v>
      </c>
      <c r="Q3431" s="4">
        <f t="shared" si="216"/>
        <v>-3.3047478557444868E-3</v>
      </c>
      <c r="R3431" s="4">
        <f t="shared" si="216"/>
        <v>-2.9653352528764257E-4</v>
      </c>
      <c r="S3431" s="4">
        <f t="shared" si="216"/>
        <v>-1.4922206015347862E-4</v>
      </c>
      <c r="T3431" s="4">
        <f t="shared" si="216"/>
        <v>5.7712933378268813E-4</v>
      </c>
      <c r="U3431" s="35"/>
      <c r="V3431" s="35"/>
      <c r="W3431" s="35"/>
      <c r="X3431" s="35"/>
    </row>
    <row r="3432" spans="4:24" x14ac:dyDescent="0.3">
      <c r="D3432" s="23">
        <v>44560</v>
      </c>
      <c r="E3432" s="5">
        <v>460.114014</v>
      </c>
      <c r="F3432" s="28">
        <v>79.205629999999999</v>
      </c>
      <c r="G3432" s="28">
        <v>169.8</v>
      </c>
      <c r="H3432" s="28">
        <v>394.17290000000003</v>
      </c>
      <c r="I3432" s="28">
        <v>233.7808</v>
      </c>
      <c r="J3432" s="29"/>
      <c r="K3432" s="29"/>
      <c r="L3432" s="29"/>
      <c r="M3432" s="29"/>
      <c r="N3432" s="29"/>
      <c r="P3432" s="4">
        <f t="shared" si="216"/>
        <v>-2.7683969000028984E-3</v>
      </c>
      <c r="Q3432" s="4">
        <f t="shared" si="216"/>
        <v>2.2437701905687318E-3</v>
      </c>
      <c r="R3432" s="4">
        <f t="shared" si="216"/>
        <v>7.1515420495372696E-3</v>
      </c>
      <c r="S3432" s="4">
        <f t="shared" si="216"/>
        <v>-2.9929323076086406E-3</v>
      </c>
      <c r="T3432" s="4">
        <f t="shared" si="216"/>
        <v>-1.6087604818603703E-3</v>
      </c>
      <c r="U3432" s="35"/>
      <c r="V3432" s="35"/>
      <c r="W3432" s="35"/>
      <c r="X3432" s="35"/>
    </row>
    <row r="3433" spans="4:24" x14ac:dyDescent="0.3">
      <c r="D3433" s="23">
        <v>44561</v>
      </c>
      <c r="E3433" s="5">
        <v>458.954407</v>
      </c>
      <c r="F3433" s="28">
        <v>79.186940000000007</v>
      </c>
      <c r="G3433" s="28">
        <v>170.96</v>
      </c>
      <c r="H3433" s="28">
        <v>391.7115</v>
      </c>
      <c r="I3433" s="28">
        <v>233.0376</v>
      </c>
      <c r="J3433" s="29"/>
      <c r="K3433" s="29"/>
      <c r="L3433" s="29"/>
      <c r="M3433" s="29"/>
      <c r="N3433" s="29"/>
      <c r="P3433" s="4">
        <f t="shared" si="216"/>
        <v>-2.5234413213314731E-3</v>
      </c>
      <c r="Q3433" s="4">
        <f t="shared" si="216"/>
        <v>-2.3599591933806053E-4</v>
      </c>
      <c r="R3433" s="4">
        <f t="shared" si="216"/>
        <v>6.8083371336451542E-3</v>
      </c>
      <c r="S3433" s="4">
        <f t="shared" si="216"/>
        <v>-6.2640460821428434E-3</v>
      </c>
      <c r="T3433" s="4">
        <f t="shared" si="216"/>
        <v>-3.1841102574988126E-3</v>
      </c>
      <c r="U3433" s="35"/>
      <c r="V3433" s="35"/>
      <c r="W3433" s="35"/>
      <c r="X3433" s="35"/>
    </row>
    <row r="3434" spans="4:24" x14ac:dyDescent="0.3">
      <c r="D3434" s="23">
        <v>44564</v>
      </c>
      <c r="E3434" s="5">
        <v>461.61172499999998</v>
      </c>
      <c r="F3434" s="28">
        <v>78.654380000000003</v>
      </c>
      <c r="G3434" s="28">
        <v>168.33</v>
      </c>
      <c r="H3434" s="28">
        <v>395.48239999999998</v>
      </c>
      <c r="I3434" s="28">
        <v>234.51439999999999</v>
      </c>
      <c r="J3434" s="29"/>
      <c r="K3434" s="29"/>
      <c r="L3434" s="29"/>
      <c r="M3434" s="29"/>
      <c r="N3434" s="29"/>
      <c r="P3434" s="4">
        <f t="shared" si="216"/>
        <v>5.7732416789961251E-3</v>
      </c>
      <c r="Q3434" s="4">
        <f t="shared" si="216"/>
        <v>-6.7480685146978628E-3</v>
      </c>
      <c r="R3434" s="4">
        <f t="shared" si="216"/>
        <v>-1.5503272579901891E-2</v>
      </c>
      <c r="S3434" s="4">
        <f t="shared" si="216"/>
        <v>9.5806861411299685E-3</v>
      </c>
      <c r="T3434" s="4">
        <f t="shared" si="216"/>
        <v>6.317179313479593E-3</v>
      </c>
      <c r="U3434" s="35"/>
      <c r="V3434" s="35"/>
      <c r="W3434" s="35"/>
      <c r="X3434" s="35"/>
    </row>
    <row r="3435" spans="4:24" x14ac:dyDescent="0.3">
      <c r="D3435" s="23">
        <v>44565</v>
      </c>
      <c r="E3435" s="5">
        <v>461.45712300000002</v>
      </c>
      <c r="F3435" s="28">
        <v>78.645009999999999</v>
      </c>
      <c r="G3435" s="28">
        <v>169.57</v>
      </c>
      <c r="H3435" s="28">
        <v>390.3528</v>
      </c>
      <c r="I3435" s="28">
        <v>234.0703</v>
      </c>
      <c r="J3435" s="29"/>
      <c r="K3435" s="29"/>
      <c r="L3435" s="29"/>
      <c r="M3435" s="29"/>
      <c r="N3435" s="29"/>
      <c r="P3435" s="4">
        <f t="shared" si="216"/>
        <v>-3.3497393348409023E-4</v>
      </c>
      <c r="Q3435" s="4">
        <f t="shared" si="216"/>
        <v>-1.1913587218721721E-4</v>
      </c>
      <c r="R3435" s="4">
        <f t="shared" si="216"/>
        <v>7.3394824880457484E-3</v>
      </c>
      <c r="S3435" s="4">
        <f t="shared" si="216"/>
        <v>-1.3055339995013963E-2</v>
      </c>
      <c r="T3435" s="4">
        <f t="shared" si="216"/>
        <v>-1.8954956615841714E-3</v>
      </c>
      <c r="U3435" s="35"/>
      <c r="V3435" s="35"/>
      <c r="W3435" s="35"/>
      <c r="X3435" s="35"/>
    </row>
    <row r="3436" spans="4:24" x14ac:dyDescent="0.3">
      <c r="D3436" s="23">
        <v>44566</v>
      </c>
      <c r="E3436" s="5">
        <v>452.59619099999998</v>
      </c>
      <c r="F3436" s="28">
        <v>78.374030000000005</v>
      </c>
      <c r="G3436" s="28">
        <v>169.06</v>
      </c>
      <c r="H3436" s="28">
        <v>378.36070000000001</v>
      </c>
      <c r="I3436" s="28">
        <v>228.99340000000001</v>
      </c>
      <c r="J3436" s="29"/>
      <c r="K3436" s="29"/>
      <c r="L3436" s="29"/>
      <c r="M3436" s="29"/>
      <c r="N3436" s="29"/>
      <c r="P3436" s="4">
        <f t="shared" si="216"/>
        <v>-1.9388824373391959E-2</v>
      </c>
      <c r="Q3436" s="4">
        <f t="shared" si="216"/>
        <v>-3.4515593653006308E-3</v>
      </c>
      <c r="R3436" s="4">
        <f t="shared" si="216"/>
        <v>-3.0121394182544285E-3</v>
      </c>
      <c r="S3436" s="4">
        <f t="shared" si="216"/>
        <v>-3.1202972157281003E-2</v>
      </c>
      <c r="T3436" s="4">
        <f t="shared" si="216"/>
        <v>-2.1928315410659691E-2</v>
      </c>
      <c r="U3436" s="35"/>
      <c r="V3436" s="35"/>
      <c r="W3436" s="35"/>
      <c r="X3436" s="35"/>
    </row>
    <row r="3437" spans="4:24" x14ac:dyDescent="0.3">
      <c r="D3437" s="23">
        <v>44567</v>
      </c>
      <c r="E3437" s="5">
        <v>452.17099000000002</v>
      </c>
      <c r="F3437" s="28">
        <v>78.289950000000005</v>
      </c>
      <c r="G3437" s="28">
        <v>166.99</v>
      </c>
      <c r="H3437" s="28">
        <v>378.0949</v>
      </c>
      <c r="I3437" s="28">
        <v>228.93549999999999</v>
      </c>
      <c r="J3437" s="29"/>
      <c r="K3437" s="29"/>
      <c r="L3437" s="29"/>
      <c r="M3437" s="29"/>
      <c r="N3437" s="29"/>
      <c r="P3437" s="4">
        <f t="shared" si="216"/>
        <v>-9.3991258797242747E-4</v>
      </c>
      <c r="Q3437" s="4">
        <f t="shared" si="216"/>
        <v>-1.0733802125120575E-3</v>
      </c>
      <c r="R3437" s="4">
        <f t="shared" si="216"/>
        <v>-1.2319751116440481E-2</v>
      </c>
      <c r="S3437" s="4">
        <f t="shared" si="216"/>
        <v>-7.0275112231038116E-4</v>
      </c>
      <c r="T3437" s="4">
        <f t="shared" si="216"/>
        <v>-2.5287768607121295E-4</v>
      </c>
      <c r="U3437" s="35"/>
      <c r="V3437" s="35"/>
      <c r="W3437" s="35"/>
      <c r="X3437" s="35"/>
    </row>
    <row r="3438" spans="4:24" x14ac:dyDescent="0.3">
      <c r="D3438" s="23">
        <v>44568</v>
      </c>
      <c r="E3438" s="5">
        <v>450.38330100000002</v>
      </c>
      <c r="F3438" s="28">
        <v>78.075040000000001</v>
      </c>
      <c r="G3438" s="28">
        <v>167.75</v>
      </c>
      <c r="H3438" s="28">
        <v>373.9991</v>
      </c>
      <c r="I3438" s="28">
        <v>227.8931</v>
      </c>
      <c r="J3438" s="29"/>
      <c r="K3438" s="29"/>
      <c r="L3438" s="29"/>
      <c r="M3438" s="29"/>
      <c r="N3438" s="29"/>
      <c r="P3438" s="4">
        <f t="shared" si="216"/>
        <v>-3.9614045506961796E-3</v>
      </c>
      <c r="Q3438" s="4">
        <f t="shared" si="216"/>
        <v>-2.7488267715493147E-3</v>
      </c>
      <c r="R3438" s="4">
        <f t="shared" si="216"/>
        <v>4.5408454674501766E-3</v>
      </c>
      <c r="S3438" s="4">
        <f t="shared" si="216"/>
        <v>-1.0891831316285273E-2</v>
      </c>
      <c r="T3438" s="4">
        <f t="shared" si="216"/>
        <v>-4.5636451358736646E-3</v>
      </c>
      <c r="U3438" s="35"/>
      <c r="V3438" s="35"/>
      <c r="W3438" s="35"/>
      <c r="X3438" s="35"/>
    </row>
    <row r="3439" spans="4:24" x14ac:dyDescent="0.3">
      <c r="D3439" s="23">
        <v>44571</v>
      </c>
      <c r="E3439" s="5">
        <v>449.82290599999999</v>
      </c>
      <c r="F3439" s="28">
        <v>78.009649999999993</v>
      </c>
      <c r="G3439" s="28">
        <v>168.26</v>
      </c>
      <c r="H3439" s="28">
        <v>374.24520000000001</v>
      </c>
      <c r="I3439" s="28">
        <v>227.4973</v>
      </c>
      <c r="J3439" s="29"/>
      <c r="K3439" s="29"/>
      <c r="L3439" s="29"/>
      <c r="M3439" s="29"/>
      <c r="N3439" s="29"/>
      <c r="P3439" s="4">
        <f t="shared" si="216"/>
        <v>-1.2450371215666214E-3</v>
      </c>
      <c r="Q3439" s="4">
        <f t="shared" si="216"/>
        <v>-8.3787851102553668E-4</v>
      </c>
      <c r="R3439" s="4">
        <f t="shared" si="216"/>
        <v>3.0356262708763409E-3</v>
      </c>
      <c r="S3439" s="4">
        <f t="shared" si="216"/>
        <v>6.5780657166168092E-4</v>
      </c>
      <c r="T3439" s="4">
        <f t="shared" si="216"/>
        <v>-1.7382891675540673E-3</v>
      </c>
      <c r="U3439" s="35"/>
      <c r="V3439" s="35"/>
      <c r="W3439" s="35"/>
      <c r="X3439" s="35"/>
    </row>
    <row r="3440" spans="4:24" x14ac:dyDescent="0.3">
      <c r="D3440" s="23">
        <v>44572</v>
      </c>
      <c r="E3440" s="5">
        <v>453.91995200000002</v>
      </c>
      <c r="F3440" s="28">
        <v>78.168509999999998</v>
      </c>
      <c r="G3440" s="28">
        <v>170.29</v>
      </c>
      <c r="H3440" s="28">
        <v>379.86709999999999</v>
      </c>
      <c r="I3440" s="28">
        <v>229.7655</v>
      </c>
      <c r="J3440" s="29"/>
      <c r="K3440" s="29"/>
      <c r="L3440" s="29"/>
      <c r="M3440" s="29"/>
      <c r="N3440" s="29"/>
      <c r="P3440" s="4">
        <f t="shared" si="216"/>
        <v>9.0669022309497679E-3</v>
      </c>
      <c r="Q3440" s="4">
        <f t="shared" si="216"/>
        <v>2.0343440438482232E-3</v>
      </c>
      <c r="R3440" s="4">
        <f t="shared" si="216"/>
        <v>1.1992463915845745E-2</v>
      </c>
      <c r="S3440" s="4">
        <f t="shared" si="216"/>
        <v>1.4910257139947819E-2</v>
      </c>
      <c r="T3440" s="4">
        <f t="shared" si="216"/>
        <v>9.9208534069234484E-3</v>
      </c>
      <c r="U3440" s="35"/>
      <c r="V3440" s="35"/>
      <c r="W3440" s="35"/>
      <c r="X3440" s="35"/>
    </row>
    <row r="3441" spans="4:24" x14ac:dyDescent="0.3">
      <c r="D3441" s="23">
        <v>44573</v>
      </c>
      <c r="E3441" s="5">
        <v>455.14721700000001</v>
      </c>
      <c r="F3441" s="28">
        <v>78.140460000000004</v>
      </c>
      <c r="G3441" s="28">
        <v>170.74</v>
      </c>
      <c r="H3441" s="28">
        <v>381.37349999999998</v>
      </c>
      <c r="I3441" s="28">
        <v>230.12270000000001</v>
      </c>
      <c r="J3441" s="29"/>
      <c r="K3441" s="29"/>
      <c r="L3441" s="29"/>
      <c r="M3441" s="29"/>
      <c r="N3441" s="29"/>
      <c r="P3441" s="4">
        <f t="shared" si="216"/>
        <v>2.70005514981675E-3</v>
      </c>
      <c r="Q3441" s="4">
        <f t="shared" si="216"/>
        <v>-3.5890455040543136E-4</v>
      </c>
      <c r="R3441" s="4">
        <f t="shared" si="216"/>
        <v>2.6390655436471025E-3</v>
      </c>
      <c r="S3441" s="4">
        <f t="shared" si="216"/>
        <v>3.9577551862888371E-3</v>
      </c>
      <c r="T3441" s="4">
        <f t="shared" si="216"/>
        <v>1.5534213394928597E-3</v>
      </c>
      <c r="U3441" s="35"/>
      <c r="V3441" s="35"/>
      <c r="W3441" s="35"/>
      <c r="X3441" s="35"/>
    </row>
    <row r="3442" spans="4:24" x14ac:dyDescent="0.3">
      <c r="D3442" s="23">
        <v>44574</v>
      </c>
      <c r="E3442" s="5">
        <v>448.87588499999998</v>
      </c>
      <c r="F3442" s="28">
        <v>78.271249999999995</v>
      </c>
      <c r="G3442" s="28">
        <v>170.16</v>
      </c>
      <c r="H3442" s="28">
        <v>371.83300000000003</v>
      </c>
      <c r="I3442" s="28">
        <v>226.75409999999999</v>
      </c>
      <c r="J3442" s="29"/>
      <c r="K3442" s="29"/>
      <c r="L3442" s="29"/>
      <c r="M3442" s="29"/>
      <c r="N3442" s="29"/>
      <c r="P3442" s="4">
        <f t="shared" si="216"/>
        <v>-1.3874496324887386E-2</v>
      </c>
      <c r="Q3442" s="4">
        <f t="shared" si="216"/>
        <v>1.672381568917528E-3</v>
      </c>
      <c r="R3442" s="4">
        <f t="shared" si="216"/>
        <v>-3.4027606901786711E-3</v>
      </c>
      <c r="S3442" s="4">
        <f t="shared" si="216"/>
        <v>-2.5334381147333628E-2</v>
      </c>
      <c r="T3442" s="4">
        <f t="shared" si="216"/>
        <v>-1.4746474515698882E-2</v>
      </c>
      <c r="U3442" s="35"/>
      <c r="V3442" s="35"/>
      <c r="W3442" s="35"/>
      <c r="X3442" s="35"/>
    </row>
    <row r="3443" spans="4:24" x14ac:dyDescent="0.3">
      <c r="D3443" s="23">
        <v>44575</v>
      </c>
      <c r="E3443" s="5">
        <v>449.05954000000003</v>
      </c>
      <c r="F3443" s="28">
        <v>77.841459999999998</v>
      </c>
      <c r="G3443" s="28">
        <v>169.67</v>
      </c>
      <c r="H3443" s="28">
        <v>374.14679999999998</v>
      </c>
      <c r="I3443" s="28">
        <v>226.84100000000001</v>
      </c>
      <c r="J3443" s="29"/>
      <c r="K3443" s="29"/>
      <c r="L3443" s="29"/>
      <c r="M3443" s="29"/>
      <c r="N3443" s="29"/>
      <c r="P3443" s="4">
        <f t="shared" si="216"/>
        <v>4.0906060157055605E-4</v>
      </c>
      <c r="Q3443" s="4">
        <f t="shared" si="216"/>
        <v>-5.5061639229528041E-3</v>
      </c>
      <c r="R3443" s="4">
        <f t="shared" si="216"/>
        <v>-2.8837968371336355E-3</v>
      </c>
      <c r="S3443" s="4">
        <f t="shared" si="216"/>
        <v>6.203405025206399E-3</v>
      </c>
      <c r="T3443" s="4">
        <f t="shared" si="216"/>
        <v>3.8316111026417857E-4</v>
      </c>
      <c r="U3443" s="35"/>
      <c r="V3443" s="35"/>
      <c r="W3443" s="35"/>
      <c r="X3443" s="35"/>
    </row>
    <row r="3444" spans="4:24" x14ac:dyDescent="0.3">
      <c r="D3444" s="23">
        <v>44579</v>
      </c>
      <c r="E3444" s="5">
        <v>441.10687300000001</v>
      </c>
      <c r="F3444" s="28">
        <v>77.355599999999995</v>
      </c>
      <c r="G3444" s="28">
        <v>169.39</v>
      </c>
      <c r="H3444" s="28">
        <v>364.83269999999999</v>
      </c>
      <c r="I3444" s="28">
        <v>222.43</v>
      </c>
      <c r="J3444" s="29"/>
      <c r="K3444" s="29"/>
      <c r="L3444" s="29"/>
      <c r="M3444" s="29"/>
      <c r="N3444" s="29"/>
      <c r="P3444" s="4">
        <f t="shared" si="216"/>
        <v>-1.7868296251232374E-2</v>
      </c>
      <c r="Q3444" s="4">
        <f t="shared" si="216"/>
        <v>-6.2612215367848761E-3</v>
      </c>
      <c r="R3444" s="4">
        <f t="shared" si="216"/>
        <v>-1.6516254565576893E-3</v>
      </c>
      <c r="S3444" s="4">
        <f t="shared" si="216"/>
        <v>-2.5209341429483823E-2</v>
      </c>
      <c r="T3444" s="4">
        <f t="shared" si="216"/>
        <v>-1.9636886164052861E-2</v>
      </c>
      <c r="U3444" s="35"/>
      <c r="V3444" s="35"/>
      <c r="W3444" s="35"/>
      <c r="X3444" s="35"/>
    </row>
    <row r="3445" spans="4:24" x14ac:dyDescent="0.3">
      <c r="D3445" s="23">
        <v>44580</v>
      </c>
      <c r="E3445" s="5">
        <v>436.52654999999999</v>
      </c>
      <c r="F3445" s="28">
        <v>77.542469999999994</v>
      </c>
      <c r="G3445" s="28">
        <v>172.08</v>
      </c>
      <c r="H3445" s="28">
        <v>360.82560000000001</v>
      </c>
      <c r="I3445" s="28">
        <v>220.0943</v>
      </c>
      <c r="J3445" s="29"/>
      <c r="K3445" s="29"/>
      <c r="L3445" s="29"/>
      <c r="M3445" s="29"/>
      <c r="N3445" s="29"/>
      <c r="P3445" s="4">
        <f t="shared" ref="P3445:T3460" si="217">LN(E3445/E3444)</f>
        <v>-1.0437990318121881E-2</v>
      </c>
      <c r="Q3445" s="4">
        <f t="shared" si="217"/>
        <v>2.4128136736363951E-3</v>
      </c>
      <c r="R3445" s="4">
        <f t="shared" si="217"/>
        <v>1.5755736361184266E-2</v>
      </c>
      <c r="S3445" s="4">
        <f t="shared" si="217"/>
        <v>-1.1044153232611785E-2</v>
      </c>
      <c r="T3445" s="4">
        <f t="shared" si="217"/>
        <v>-1.055635448796451E-2</v>
      </c>
      <c r="U3445" s="35"/>
      <c r="V3445" s="35"/>
      <c r="W3445" s="35"/>
      <c r="X3445" s="35"/>
    </row>
    <row r="3446" spans="4:24" x14ac:dyDescent="0.3">
      <c r="D3446" s="23">
        <v>44581</v>
      </c>
      <c r="E3446" s="5">
        <v>431.69506799999999</v>
      </c>
      <c r="F3446" s="28">
        <v>77.626559999999998</v>
      </c>
      <c r="G3446" s="28">
        <v>171.65</v>
      </c>
      <c r="H3446" s="28">
        <v>356.13889999999998</v>
      </c>
      <c r="I3446" s="28">
        <v>217.52680000000001</v>
      </c>
      <c r="J3446" s="29"/>
      <c r="K3446" s="29"/>
      <c r="L3446" s="29"/>
      <c r="M3446" s="29"/>
      <c r="N3446" s="29"/>
      <c r="P3446" s="4">
        <f t="shared" si="217"/>
        <v>-1.1129720276421708E-2</v>
      </c>
      <c r="Q3446" s="4">
        <f t="shared" si="217"/>
        <v>1.0838504079317087E-3</v>
      </c>
      <c r="R3446" s="4">
        <f t="shared" si="217"/>
        <v>-2.5019650557735707E-3</v>
      </c>
      <c r="S3446" s="4">
        <f t="shared" si="217"/>
        <v>-1.3073915812795076E-2</v>
      </c>
      <c r="T3446" s="4">
        <f t="shared" si="217"/>
        <v>-1.1734029548893301E-2</v>
      </c>
      <c r="U3446" s="35"/>
      <c r="V3446" s="35"/>
      <c r="W3446" s="35"/>
      <c r="X3446" s="35"/>
    </row>
    <row r="3447" spans="4:24" x14ac:dyDescent="0.3">
      <c r="D3447" s="23">
        <v>44582</v>
      </c>
      <c r="E3447" s="5">
        <v>423.22058099999998</v>
      </c>
      <c r="F3447" s="28">
        <v>77.916240000000002</v>
      </c>
      <c r="G3447" s="28">
        <v>171.09</v>
      </c>
      <c r="H3447" s="28">
        <v>346.26369999999997</v>
      </c>
      <c r="I3447" s="28">
        <v>213.22210000000001</v>
      </c>
      <c r="J3447" s="29"/>
      <c r="K3447" s="29"/>
      <c r="L3447" s="29"/>
      <c r="M3447" s="29"/>
      <c r="N3447" s="29"/>
      <c r="P3447" s="4">
        <f t="shared" si="217"/>
        <v>-1.9825966681602202E-2</v>
      </c>
      <c r="Q3447" s="4">
        <f t="shared" si="217"/>
        <v>3.7247668797989724E-3</v>
      </c>
      <c r="R3447" s="4">
        <f t="shared" si="217"/>
        <v>-3.2677860671439106E-3</v>
      </c>
      <c r="S3447" s="4">
        <f t="shared" si="217"/>
        <v>-2.812019978959748E-2</v>
      </c>
      <c r="T3447" s="4">
        <f t="shared" si="217"/>
        <v>-1.9987715872681056E-2</v>
      </c>
      <c r="U3447" s="35"/>
      <c r="V3447" s="35"/>
      <c r="W3447" s="35"/>
      <c r="X3447" s="35"/>
    </row>
    <row r="3448" spans="4:24" x14ac:dyDescent="0.3">
      <c r="D3448" s="23">
        <v>44585</v>
      </c>
      <c r="E3448" s="5">
        <v>425.01791400000002</v>
      </c>
      <c r="F3448" s="28">
        <v>77.79477</v>
      </c>
      <c r="G3448" s="28">
        <v>172.03</v>
      </c>
      <c r="H3448" s="28">
        <v>347.84879999999998</v>
      </c>
      <c r="I3448" s="28">
        <v>214.5926</v>
      </c>
      <c r="J3448" s="29"/>
      <c r="K3448" s="29"/>
      <c r="L3448" s="29"/>
      <c r="M3448" s="29"/>
      <c r="N3448" s="29"/>
      <c r="P3448" s="4">
        <f t="shared" si="217"/>
        <v>4.2378074101897941E-3</v>
      </c>
      <c r="Q3448" s="4">
        <f t="shared" si="217"/>
        <v>-1.5601982755154317E-3</v>
      </c>
      <c r="R3448" s="4">
        <f t="shared" si="217"/>
        <v>5.479146372390639E-3</v>
      </c>
      <c r="S3448" s="4">
        <f t="shared" si="217"/>
        <v>4.5672790950639763E-3</v>
      </c>
      <c r="T3448" s="4">
        <f t="shared" si="217"/>
        <v>6.4070013873334742E-3</v>
      </c>
      <c r="U3448" s="35"/>
      <c r="V3448" s="35"/>
      <c r="W3448" s="35"/>
      <c r="X3448" s="35"/>
    </row>
    <row r="3449" spans="4:24" x14ac:dyDescent="0.3">
      <c r="D3449" s="23">
        <v>44586</v>
      </c>
      <c r="E3449" s="5">
        <v>419.82891799999999</v>
      </c>
      <c r="F3449" s="28">
        <v>77.691969999999998</v>
      </c>
      <c r="G3449" s="28">
        <v>172.58</v>
      </c>
      <c r="H3449" s="28">
        <v>339.78519999999997</v>
      </c>
      <c r="I3449" s="28">
        <v>211.5909</v>
      </c>
      <c r="J3449" s="29"/>
      <c r="K3449" s="29"/>
      <c r="L3449" s="29"/>
      <c r="M3449" s="29"/>
      <c r="N3449" s="29"/>
      <c r="P3449" s="4">
        <f t="shared" si="217"/>
        <v>-1.228402842686312E-2</v>
      </c>
      <c r="Q3449" s="4">
        <f t="shared" si="217"/>
        <v>-1.3222994446807361E-3</v>
      </c>
      <c r="R3449" s="4">
        <f t="shared" si="217"/>
        <v>3.192016871213618E-3</v>
      </c>
      <c r="S3449" s="4">
        <f t="shared" si="217"/>
        <v>-2.3454249343959399E-2</v>
      </c>
      <c r="T3449" s="4">
        <f t="shared" si="217"/>
        <v>-1.4086653455137019E-2</v>
      </c>
      <c r="U3449" s="35"/>
      <c r="V3449" s="35"/>
      <c r="W3449" s="35"/>
      <c r="X3449" s="35"/>
    </row>
    <row r="3450" spans="4:24" x14ac:dyDescent="0.3">
      <c r="D3450" s="23">
        <v>44587</v>
      </c>
      <c r="E3450" s="5">
        <v>418.77563500000002</v>
      </c>
      <c r="F3450" s="28">
        <v>77.262169999999998</v>
      </c>
      <c r="G3450" s="28">
        <v>169.79</v>
      </c>
      <c r="H3450" s="28">
        <v>339.25349999999997</v>
      </c>
      <c r="I3450" s="28">
        <v>210.7704</v>
      </c>
      <c r="J3450" s="29"/>
      <c r="K3450" s="29"/>
      <c r="L3450" s="29"/>
      <c r="M3450" s="29"/>
      <c r="N3450" s="29"/>
      <c r="P3450" s="4">
        <f t="shared" si="217"/>
        <v>-2.5119910214938153E-3</v>
      </c>
      <c r="Q3450" s="4">
        <f t="shared" si="217"/>
        <v>-5.5474620069334134E-3</v>
      </c>
      <c r="R3450" s="4">
        <f t="shared" si="217"/>
        <v>-1.6298517752241119E-2</v>
      </c>
      <c r="S3450" s="4">
        <f t="shared" si="217"/>
        <v>-1.5660377196911616E-3</v>
      </c>
      <c r="T3450" s="4">
        <f t="shared" si="217"/>
        <v>-3.8853040378488859E-3</v>
      </c>
      <c r="U3450" s="35"/>
      <c r="V3450" s="35"/>
      <c r="W3450" s="35"/>
      <c r="X3450" s="35"/>
    </row>
    <row r="3451" spans="4:24" x14ac:dyDescent="0.3">
      <c r="D3451" s="23">
        <v>44588</v>
      </c>
      <c r="E3451" s="5">
        <v>416.70773300000002</v>
      </c>
      <c r="F3451" s="28">
        <v>77.514430000000004</v>
      </c>
      <c r="G3451" s="28">
        <v>167.6</v>
      </c>
      <c r="H3451" s="28">
        <v>335.83710000000002</v>
      </c>
      <c r="I3451" s="28">
        <v>209.20679999999999</v>
      </c>
      <c r="J3451" s="29"/>
      <c r="K3451" s="29"/>
      <c r="L3451" s="29"/>
      <c r="M3451" s="29"/>
      <c r="N3451" s="29"/>
      <c r="P3451" s="4">
        <f t="shared" si="217"/>
        <v>-4.9502032043858401E-3</v>
      </c>
      <c r="Q3451" s="4">
        <f t="shared" si="217"/>
        <v>3.2596687530858648E-3</v>
      </c>
      <c r="R3451" s="4">
        <f t="shared" si="217"/>
        <v>-1.2982191279937765E-2</v>
      </c>
      <c r="S3451" s="4">
        <f t="shared" si="217"/>
        <v>-1.0121394566496274E-2</v>
      </c>
      <c r="T3451" s="4">
        <f t="shared" si="217"/>
        <v>-7.4461529078340546E-3</v>
      </c>
      <c r="U3451" s="35"/>
      <c r="V3451" s="35"/>
      <c r="W3451" s="35"/>
      <c r="X3451" s="35"/>
    </row>
    <row r="3452" spans="4:24" x14ac:dyDescent="0.3">
      <c r="D3452" s="23">
        <v>44589</v>
      </c>
      <c r="E3452" s="5">
        <v>427.05688500000002</v>
      </c>
      <c r="F3452" s="28">
        <v>77.607870000000005</v>
      </c>
      <c r="G3452" s="28">
        <v>167.1</v>
      </c>
      <c r="H3452" s="28">
        <v>346.37189999999998</v>
      </c>
      <c r="I3452" s="28">
        <v>214.36099999999999</v>
      </c>
      <c r="J3452" s="29"/>
      <c r="K3452" s="29"/>
      <c r="L3452" s="29"/>
      <c r="M3452" s="29"/>
      <c r="N3452" s="29"/>
      <c r="P3452" s="4">
        <f t="shared" si="217"/>
        <v>2.453212852452652E-2</v>
      </c>
      <c r="Q3452" s="4">
        <f t="shared" si="217"/>
        <v>1.204726996715685E-3</v>
      </c>
      <c r="R3452" s="4">
        <f t="shared" si="217"/>
        <v>-2.9877524466346709E-3</v>
      </c>
      <c r="S3452" s="4">
        <f t="shared" si="217"/>
        <v>3.0886832334764372E-2</v>
      </c>
      <c r="T3452" s="4">
        <f t="shared" si="217"/>
        <v>2.4338273222604078E-2</v>
      </c>
      <c r="U3452" s="35"/>
      <c r="V3452" s="35"/>
      <c r="W3452" s="35"/>
      <c r="X3452" s="35"/>
    </row>
    <row r="3453" spans="4:24" x14ac:dyDescent="0.3">
      <c r="D3453" s="23">
        <v>44592</v>
      </c>
      <c r="E3453" s="5">
        <v>434.748627</v>
      </c>
      <c r="F3453" s="28">
        <v>77.5518</v>
      </c>
      <c r="G3453" s="28">
        <v>168.09</v>
      </c>
      <c r="H3453" s="28">
        <v>357.44839999999999</v>
      </c>
      <c r="I3453" s="28">
        <v>218.91669999999999</v>
      </c>
      <c r="J3453" s="29"/>
      <c r="K3453" s="29"/>
      <c r="L3453" s="29"/>
      <c r="M3453" s="29"/>
      <c r="N3453" s="29"/>
      <c r="P3453" s="4">
        <f t="shared" si="217"/>
        <v>1.7850770596420266E-2</v>
      </c>
      <c r="Q3453" s="4">
        <f t="shared" si="217"/>
        <v>-7.2273938763466842E-4</v>
      </c>
      <c r="R3453" s="4">
        <f t="shared" si="217"/>
        <v>5.9071146439549213E-3</v>
      </c>
      <c r="S3453" s="4">
        <f t="shared" si="217"/>
        <v>3.1477962746843509E-2</v>
      </c>
      <c r="T3453" s="4">
        <f t="shared" si="217"/>
        <v>2.10297824972513E-2</v>
      </c>
      <c r="U3453" s="35"/>
      <c r="V3453" s="35"/>
      <c r="W3453" s="35"/>
      <c r="X3453" s="35"/>
    </row>
    <row r="3454" spans="4:24" x14ac:dyDescent="0.3">
      <c r="D3454" s="23">
        <v>44593</v>
      </c>
      <c r="E3454" s="5">
        <v>437.68618800000002</v>
      </c>
      <c r="F3454" s="28">
        <v>77.520939999999996</v>
      </c>
      <c r="G3454" s="28">
        <v>168.23</v>
      </c>
      <c r="H3454" s="28">
        <v>359.88029999999998</v>
      </c>
      <c r="I3454" s="28">
        <v>220.5865</v>
      </c>
      <c r="J3454" s="29"/>
      <c r="K3454" s="29"/>
      <c r="L3454" s="29"/>
      <c r="M3454" s="29"/>
      <c r="N3454" s="29"/>
      <c r="P3454" s="4">
        <f t="shared" si="217"/>
        <v>6.7341927462297039E-3</v>
      </c>
      <c r="Q3454" s="4">
        <f t="shared" si="217"/>
        <v>-3.9800677291671756E-4</v>
      </c>
      <c r="R3454" s="4">
        <f t="shared" si="217"/>
        <v>8.3254048576610171E-4</v>
      </c>
      <c r="S3454" s="4">
        <f t="shared" si="217"/>
        <v>6.7804601074420989E-3</v>
      </c>
      <c r="T3454" s="4">
        <f t="shared" si="217"/>
        <v>7.5986160481623403E-3</v>
      </c>
      <c r="U3454" s="35"/>
      <c r="V3454" s="35"/>
      <c r="W3454" s="35"/>
      <c r="X3454" s="35"/>
    </row>
    <row r="3455" spans="4:24" x14ac:dyDescent="0.3">
      <c r="D3455" s="23">
        <v>44594</v>
      </c>
      <c r="E3455" s="5">
        <v>441.93789700000002</v>
      </c>
      <c r="F3455" s="28">
        <v>77.633240000000001</v>
      </c>
      <c r="G3455" s="28">
        <v>168.84</v>
      </c>
      <c r="H3455" s="28">
        <v>362.80439999999999</v>
      </c>
      <c r="I3455" s="28">
        <v>222.04400000000001</v>
      </c>
      <c r="J3455" s="29"/>
      <c r="K3455" s="29"/>
      <c r="L3455" s="29"/>
      <c r="M3455" s="29"/>
      <c r="N3455" s="29"/>
      <c r="P3455" s="4">
        <f t="shared" si="217"/>
        <v>9.6671798423508988E-3</v>
      </c>
      <c r="Q3455" s="4">
        <f t="shared" si="217"/>
        <v>1.4475925767596196E-3</v>
      </c>
      <c r="R3455" s="4">
        <f t="shared" si="217"/>
        <v>3.6194301832289375E-3</v>
      </c>
      <c r="S3455" s="4">
        <f t="shared" si="217"/>
        <v>8.0923699018215396E-3</v>
      </c>
      <c r="T3455" s="4">
        <f t="shared" si="217"/>
        <v>6.5856522211783656E-3</v>
      </c>
      <c r="U3455" s="35"/>
      <c r="V3455" s="35"/>
      <c r="W3455" s="35"/>
      <c r="X3455" s="35"/>
    </row>
    <row r="3456" spans="4:24" x14ac:dyDescent="0.3">
      <c r="D3456" s="23">
        <v>44595</v>
      </c>
      <c r="E3456" s="5">
        <v>431.55017099999998</v>
      </c>
      <c r="F3456" s="28">
        <v>77.305660000000003</v>
      </c>
      <c r="G3456" s="28">
        <v>168.6</v>
      </c>
      <c r="H3456" s="28">
        <v>348.09500000000003</v>
      </c>
      <c r="I3456" s="28">
        <v>216.76429999999999</v>
      </c>
      <c r="J3456" s="29"/>
      <c r="K3456" s="29"/>
      <c r="L3456" s="29"/>
      <c r="M3456" s="29"/>
      <c r="N3456" s="29"/>
      <c r="P3456" s="4">
        <f t="shared" si="217"/>
        <v>-2.378559276944809E-2</v>
      </c>
      <c r="Q3456" s="4">
        <f t="shared" si="217"/>
        <v>-4.2285118598696823E-3</v>
      </c>
      <c r="R3456" s="4">
        <f t="shared" si="217"/>
        <v>-1.4224753465429895E-3</v>
      </c>
      <c r="S3456" s="4">
        <f t="shared" si="217"/>
        <v>-4.1388415035956395E-2</v>
      </c>
      <c r="T3456" s="4">
        <f t="shared" si="217"/>
        <v>-2.4064972322244187E-2</v>
      </c>
      <c r="U3456" s="35"/>
      <c r="V3456" s="35"/>
      <c r="W3456" s="35"/>
      <c r="X3456" s="35"/>
    </row>
    <row r="3457" spans="4:24" x14ac:dyDescent="0.3">
      <c r="D3457" s="23">
        <v>44596</v>
      </c>
      <c r="E3457" s="5">
        <v>433.57943699999998</v>
      </c>
      <c r="F3457" s="28">
        <v>76.828360000000004</v>
      </c>
      <c r="G3457" s="28">
        <v>168.86</v>
      </c>
      <c r="H3457" s="28">
        <v>352.4862</v>
      </c>
      <c r="I3457" s="28">
        <v>218.20249999999999</v>
      </c>
      <c r="J3457" s="29"/>
      <c r="K3457" s="29"/>
      <c r="L3457" s="29"/>
      <c r="M3457" s="29"/>
      <c r="N3457" s="29"/>
      <c r="P3457" s="4">
        <f t="shared" si="217"/>
        <v>4.6912501962214255E-3</v>
      </c>
      <c r="Q3457" s="4">
        <f t="shared" si="217"/>
        <v>-6.1933313056096086E-3</v>
      </c>
      <c r="R3457" s="4">
        <f t="shared" si="217"/>
        <v>1.5409236735988573E-3</v>
      </c>
      <c r="S3457" s="4">
        <f t="shared" si="217"/>
        <v>1.2536041524174153E-2</v>
      </c>
      <c r="T3457" s="4">
        <f t="shared" si="217"/>
        <v>6.6129426023213977E-3</v>
      </c>
      <c r="U3457" s="35"/>
      <c r="V3457" s="35"/>
      <c r="W3457" s="35"/>
      <c r="X3457" s="35"/>
    </row>
    <row r="3458" spans="4:24" x14ac:dyDescent="0.3">
      <c r="D3458" s="23">
        <v>44599</v>
      </c>
      <c r="E3458" s="5">
        <v>432.187927</v>
      </c>
      <c r="F3458" s="28">
        <v>76.893879999999996</v>
      </c>
      <c r="G3458" s="28">
        <v>170.11</v>
      </c>
      <c r="H3458" s="28">
        <v>349.6506</v>
      </c>
      <c r="I3458" s="28">
        <v>217.6523</v>
      </c>
      <c r="J3458" s="29"/>
      <c r="K3458" s="29"/>
      <c r="L3458" s="29"/>
      <c r="M3458" s="29"/>
      <c r="N3458" s="29"/>
      <c r="P3458" s="4">
        <f t="shared" si="217"/>
        <v>-3.2145152522020867E-3</v>
      </c>
      <c r="Q3458" s="4">
        <f t="shared" si="217"/>
        <v>8.5244664620525074E-4</v>
      </c>
      <c r="R3458" s="4">
        <f t="shared" si="217"/>
        <v>7.3753173801375284E-3</v>
      </c>
      <c r="S3458" s="4">
        <f t="shared" si="217"/>
        <v>-8.0771023996940531E-3</v>
      </c>
      <c r="T3458" s="4">
        <f t="shared" si="217"/>
        <v>-2.5246953446506626E-3</v>
      </c>
      <c r="U3458" s="35"/>
      <c r="V3458" s="35"/>
      <c r="W3458" s="35"/>
      <c r="X3458" s="35"/>
    </row>
    <row r="3459" spans="4:24" x14ac:dyDescent="0.3">
      <c r="D3459" s="23">
        <v>44600</v>
      </c>
      <c r="E3459" s="5">
        <v>435.74383499999999</v>
      </c>
      <c r="F3459" s="28">
        <v>76.641170000000002</v>
      </c>
      <c r="G3459" s="28">
        <v>170.63</v>
      </c>
      <c r="H3459" s="28">
        <v>353.57900000000001</v>
      </c>
      <c r="I3459" s="28">
        <v>219.65029999999999</v>
      </c>
      <c r="J3459" s="29"/>
      <c r="K3459" s="29"/>
      <c r="L3459" s="29"/>
      <c r="M3459" s="29"/>
      <c r="N3459" s="29"/>
      <c r="P3459" s="4">
        <f t="shared" si="217"/>
        <v>8.194026423694975E-3</v>
      </c>
      <c r="Q3459" s="4">
        <f t="shared" si="217"/>
        <v>-3.2918897438521571E-3</v>
      </c>
      <c r="R3459" s="4">
        <f t="shared" si="217"/>
        <v>3.0521829176819891E-3</v>
      </c>
      <c r="S3459" s="4">
        <f t="shared" si="217"/>
        <v>1.1172569709492481E-2</v>
      </c>
      <c r="T3459" s="4">
        <f t="shared" si="217"/>
        <v>9.1379008628614429E-3</v>
      </c>
      <c r="U3459" s="35"/>
      <c r="V3459" s="35"/>
      <c r="W3459" s="35"/>
      <c r="X3459" s="35"/>
    </row>
    <row r="3460" spans="4:24" x14ac:dyDescent="0.3">
      <c r="D3460" s="23">
        <v>44601</v>
      </c>
      <c r="E3460" s="5">
        <v>442.12148999999999</v>
      </c>
      <c r="F3460" s="28">
        <v>76.697329999999994</v>
      </c>
      <c r="G3460" s="28">
        <v>171.21</v>
      </c>
      <c r="H3460" s="28">
        <v>361.07170000000002</v>
      </c>
      <c r="I3460" s="28">
        <v>223.22149999999999</v>
      </c>
      <c r="J3460" s="29"/>
      <c r="K3460" s="29"/>
      <c r="L3460" s="29"/>
      <c r="M3460" s="29"/>
      <c r="N3460" s="29"/>
      <c r="P3460" s="4">
        <f t="shared" si="217"/>
        <v>1.4530172283441445E-2</v>
      </c>
      <c r="Q3460" s="4">
        <f t="shared" si="217"/>
        <v>7.3249708991614878E-4</v>
      </c>
      <c r="R3460" s="4">
        <f t="shared" si="217"/>
        <v>3.3934036775529778E-3</v>
      </c>
      <c r="S3460" s="4">
        <f t="shared" si="217"/>
        <v>2.0969613710378098E-2</v>
      </c>
      <c r="T3460" s="4">
        <f t="shared" si="217"/>
        <v>1.6127815802865465E-2</v>
      </c>
      <c r="U3460" s="35"/>
      <c r="V3460" s="35"/>
      <c r="W3460" s="35"/>
      <c r="X3460" s="35"/>
    </row>
    <row r="3461" spans="4:24" x14ac:dyDescent="0.3">
      <c r="D3461" s="23">
        <v>44602</v>
      </c>
      <c r="E3461" s="5">
        <v>434.17846700000001</v>
      </c>
      <c r="F3461" s="28">
        <v>75.995379999999997</v>
      </c>
      <c r="G3461" s="28">
        <v>170.56</v>
      </c>
      <c r="H3461" s="28">
        <v>352.8997</v>
      </c>
      <c r="I3461" s="28">
        <v>219.43790000000001</v>
      </c>
      <c r="J3461" s="29"/>
      <c r="K3461" s="29"/>
      <c r="L3461" s="29"/>
      <c r="M3461" s="29"/>
      <c r="N3461" s="29"/>
      <c r="P3461" s="4">
        <f t="shared" ref="P3461:T3476" si="218">LN(E3461/E3460)</f>
        <v>-1.8129044702137463E-2</v>
      </c>
      <c r="Q3461" s="4">
        <f t="shared" si="218"/>
        <v>-9.1943478506431482E-3</v>
      </c>
      <c r="R3461" s="4">
        <f t="shared" si="218"/>
        <v>-3.8037322392467611E-3</v>
      </c>
      <c r="S3461" s="4">
        <f t="shared" si="218"/>
        <v>-2.2892672988305284E-2</v>
      </c>
      <c r="T3461" s="4">
        <f t="shared" si="218"/>
        <v>-1.7095275263478597E-2</v>
      </c>
      <c r="U3461" s="35"/>
      <c r="V3461" s="35"/>
      <c r="W3461" s="35"/>
      <c r="X3461" s="35"/>
    </row>
    <row r="3462" spans="4:24" x14ac:dyDescent="0.3">
      <c r="D3462" s="23">
        <v>44603</v>
      </c>
      <c r="E3462" s="5">
        <v>425.61700400000001</v>
      </c>
      <c r="F3462" s="28">
        <v>76.491460000000004</v>
      </c>
      <c r="G3462" s="28">
        <v>173.81</v>
      </c>
      <c r="H3462" s="28">
        <v>341.70510000000002</v>
      </c>
      <c r="I3462" s="28">
        <v>215.1814</v>
      </c>
      <c r="J3462" s="29"/>
      <c r="K3462" s="29"/>
      <c r="L3462" s="29"/>
      <c r="M3462" s="29"/>
      <c r="N3462" s="29"/>
      <c r="P3462" s="4">
        <f t="shared" si="218"/>
        <v>-1.9915773623842749E-2</v>
      </c>
      <c r="Q3462" s="4">
        <f t="shared" si="218"/>
        <v>6.506551649132949E-3</v>
      </c>
      <c r="R3462" s="4">
        <f t="shared" si="218"/>
        <v>1.8875607597908815E-2</v>
      </c>
      <c r="S3462" s="4">
        <f t="shared" si="218"/>
        <v>-3.2235796198686537E-2</v>
      </c>
      <c r="T3462" s="4">
        <f t="shared" si="218"/>
        <v>-1.958788344401486E-2</v>
      </c>
      <c r="U3462" s="35"/>
      <c r="V3462" s="35"/>
      <c r="W3462" s="35"/>
      <c r="X3462" s="35"/>
    </row>
    <row r="3463" spans="4:24" x14ac:dyDescent="0.3">
      <c r="D3463" s="23">
        <v>44606</v>
      </c>
      <c r="E3463" s="5">
        <v>424.22555499999999</v>
      </c>
      <c r="F3463" s="28">
        <v>76.060910000000007</v>
      </c>
      <c r="G3463" s="28">
        <v>174.74</v>
      </c>
      <c r="H3463" s="28">
        <v>342.1284</v>
      </c>
      <c r="I3463" s="28">
        <v>214.38990000000001</v>
      </c>
      <c r="J3463" s="29"/>
      <c r="K3463" s="29"/>
      <c r="L3463" s="29"/>
      <c r="M3463" s="29"/>
      <c r="N3463" s="29"/>
      <c r="P3463" s="4">
        <f t="shared" si="218"/>
        <v>-3.2746071108011683E-3</v>
      </c>
      <c r="Q3463" s="4">
        <f t="shared" si="218"/>
        <v>-5.6446339467231352E-3</v>
      </c>
      <c r="R3463" s="4">
        <f t="shared" si="218"/>
        <v>5.3364062945599608E-3</v>
      </c>
      <c r="S3463" s="4">
        <f t="shared" si="218"/>
        <v>1.2380208166631159E-3</v>
      </c>
      <c r="T3463" s="4">
        <f t="shared" si="218"/>
        <v>-3.6850734474045367E-3</v>
      </c>
      <c r="U3463" s="35"/>
      <c r="V3463" s="35"/>
      <c r="W3463" s="35"/>
      <c r="X3463" s="35"/>
    </row>
    <row r="3464" spans="4:24" x14ac:dyDescent="0.3">
      <c r="D3464" s="23">
        <v>44607</v>
      </c>
      <c r="E3464" s="5">
        <v>431.06698599999999</v>
      </c>
      <c r="F3464" s="28">
        <v>75.901809999999998</v>
      </c>
      <c r="G3464" s="28">
        <v>173.08</v>
      </c>
      <c r="H3464" s="28">
        <v>350.6352</v>
      </c>
      <c r="I3464" s="28">
        <v>218.20249999999999</v>
      </c>
      <c r="J3464" s="29"/>
      <c r="K3464" s="29"/>
      <c r="L3464" s="29"/>
      <c r="M3464" s="29"/>
      <c r="N3464" s="29"/>
      <c r="P3464" s="4">
        <f t="shared" si="218"/>
        <v>1.5998214854862261E-2</v>
      </c>
      <c r="Q3464" s="4">
        <f t="shared" si="218"/>
        <v>-2.0939353827311999E-3</v>
      </c>
      <c r="R3464" s="4">
        <f t="shared" si="218"/>
        <v>-9.5452395132645373E-3</v>
      </c>
      <c r="S3464" s="4">
        <f t="shared" si="218"/>
        <v>2.4560261563258058E-2</v>
      </c>
      <c r="T3464" s="4">
        <f t="shared" si="218"/>
        <v>1.7627210833821683E-2</v>
      </c>
      <c r="U3464" s="35"/>
      <c r="V3464" s="35"/>
      <c r="W3464" s="35"/>
      <c r="X3464" s="35"/>
    </row>
    <row r="3465" spans="4:24" x14ac:dyDescent="0.3">
      <c r="D3465" s="23">
        <v>44608</v>
      </c>
      <c r="E3465" s="5">
        <v>431.55017099999998</v>
      </c>
      <c r="F3465" s="28">
        <v>76.004779999999997</v>
      </c>
      <c r="G3465" s="28">
        <v>174.86</v>
      </c>
      <c r="H3465" s="28">
        <v>350.54660000000001</v>
      </c>
      <c r="I3465" s="28">
        <v>218.40520000000001</v>
      </c>
      <c r="J3465" s="29"/>
      <c r="K3465" s="29"/>
      <c r="L3465" s="29"/>
      <c r="M3465" s="29"/>
      <c r="N3465" s="29"/>
      <c r="P3465" s="4">
        <f t="shared" si="218"/>
        <v>1.1202769307633482E-3</v>
      </c>
      <c r="Q3465" s="4">
        <f t="shared" si="218"/>
        <v>1.3557017608116628E-3</v>
      </c>
      <c r="R3465" s="4">
        <f t="shared" si="218"/>
        <v>1.0231738396060903E-2</v>
      </c>
      <c r="S3465" s="4">
        <f t="shared" si="218"/>
        <v>-2.5271620133762284E-4</v>
      </c>
      <c r="T3465" s="4">
        <f t="shared" si="218"/>
        <v>9.2852239923032543E-4</v>
      </c>
      <c r="U3465" s="35"/>
      <c r="V3465" s="35"/>
      <c r="W3465" s="35"/>
      <c r="X3465" s="35"/>
    </row>
    <row r="3466" spans="4:24" x14ac:dyDescent="0.3">
      <c r="D3466" s="23">
        <v>44609</v>
      </c>
      <c r="E3466" s="5">
        <v>422.33160400000003</v>
      </c>
      <c r="F3466" s="28">
        <v>76.173230000000004</v>
      </c>
      <c r="G3466" s="28">
        <v>177.25</v>
      </c>
      <c r="H3466" s="28">
        <v>340.12</v>
      </c>
      <c r="I3466" s="28">
        <v>213.44399999999999</v>
      </c>
      <c r="J3466" s="29"/>
      <c r="K3466" s="29"/>
      <c r="L3466" s="29"/>
      <c r="M3466" s="29"/>
      <c r="N3466" s="29"/>
      <c r="P3466" s="4">
        <f t="shared" si="218"/>
        <v>-2.1592977978949584E-2</v>
      </c>
      <c r="Q3466" s="4">
        <f t="shared" si="218"/>
        <v>2.2138555866249169E-3</v>
      </c>
      <c r="R3466" s="4">
        <f t="shared" si="218"/>
        <v>1.3575511659491789E-2</v>
      </c>
      <c r="S3466" s="4">
        <f t="shared" si="218"/>
        <v>-3.0195154043989977E-2</v>
      </c>
      <c r="T3466" s="4">
        <f t="shared" si="218"/>
        <v>-2.2977549929776683E-2</v>
      </c>
      <c r="U3466" s="35"/>
      <c r="V3466" s="35"/>
      <c r="W3466" s="35"/>
      <c r="X3466" s="35"/>
    </row>
    <row r="3467" spans="4:24" x14ac:dyDescent="0.3">
      <c r="D3467" s="23">
        <v>44610</v>
      </c>
      <c r="E3467" s="5">
        <v>419.59698500000002</v>
      </c>
      <c r="F3467" s="28">
        <v>76.304280000000006</v>
      </c>
      <c r="G3467" s="28">
        <v>177.12</v>
      </c>
      <c r="H3467" s="28">
        <v>336.24079999999998</v>
      </c>
      <c r="I3467" s="28">
        <v>211.73570000000001</v>
      </c>
      <c r="J3467" s="29"/>
      <c r="K3467" s="29"/>
      <c r="L3467" s="29"/>
      <c r="M3467" s="29"/>
      <c r="N3467" s="29"/>
      <c r="P3467" s="4">
        <f t="shared" si="218"/>
        <v>-6.4961058510818329E-3</v>
      </c>
      <c r="Q3467" s="4">
        <f t="shared" si="218"/>
        <v>1.7189424495254756E-3</v>
      </c>
      <c r="R3467" s="4">
        <f t="shared" si="218"/>
        <v>-7.3369645191014932E-4</v>
      </c>
      <c r="S3467" s="4">
        <f t="shared" si="218"/>
        <v>-1.1470926570646406E-2</v>
      </c>
      <c r="T3467" s="4">
        <f t="shared" si="218"/>
        <v>-8.0357043971289923E-3</v>
      </c>
      <c r="U3467" s="35"/>
      <c r="V3467" s="35"/>
      <c r="W3467" s="35"/>
      <c r="X3467" s="35"/>
    </row>
    <row r="3468" spans="4:24" x14ac:dyDescent="0.3">
      <c r="D3468" s="23">
        <v>44614</v>
      </c>
      <c r="E3468" s="5">
        <v>415.09399400000001</v>
      </c>
      <c r="F3468" s="28">
        <v>76.257480000000001</v>
      </c>
      <c r="G3468" s="28">
        <v>177.49</v>
      </c>
      <c r="H3468" s="28">
        <v>332.86369999999999</v>
      </c>
      <c r="I3468" s="28">
        <v>209.30340000000001</v>
      </c>
      <c r="J3468" s="29"/>
      <c r="K3468" s="29"/>
      <c r="L3468" s="29"/>
      <c r="M3468" s="29"/>
      <c r="N3468" s="29"/>
      <c r="P3468" s="4">
        <f t="shared" si="218"/>
        <v>-1.0789704930025427E-2</v>
      </c>
      <c r="Q3468" s="4">
        <f t="shared" si="218"/>
        <v>-6.1352204468535538E-4</v>
      </c>
      <c r="R3468" s="4">
        <f t="shared" si="218"/>
        <v>2.0868003399284081E-3</v>
      </c>
      <c r="S3468" s="4">
        <f t="shared" si="218"/>
        <v>-1.0094473065730969E-2</v>
      </c>
      <c r="T3468" s="4">
        <f t="shared" si="218"/>
        <v>-1.1553924839259749E-2</v>
      </c>
      <c r="U3468" s="35"/>
      <c r="V3468" s="35"/>
      <c r="W3468" s="35"/>
      <c r="X3468" s="35"/>
    </row>
    <row r="3469" spans="4:24" x14ac:dyDescent="0.3">
      <c r="D3469" s="23">
        <v>44615</v>
      </c>
      <c r="E3469" s="5">
        <v>407.73083500000001</v>
      </c>
      <c r="F3469" s="28">
        <v>75.873729999999995</v>
      </c>
      <c r="G3469" s="28">
        <v>178.29</v>
      </c>
      <c r="H3469" s="28">
        <v>324.33730000000003</v>
      </c>
      <c r="I3469" s="28">
        <v>205.4522</v>
      </c>
      <c r="J3469" s="29"/>
      <c r="K3469" s="29"/>
      <c r="L3469" s="29"/>
      <c r="M3469" s="29"/>
      <c r="N3469" s="29"/>
      <c r="P3469" s="4">
        <f t="shared" si="218"/>
        <v>-1.7897747594480984E-2</v>
      </c>
      <c r="Q3469" s="4">
        <f t="shared" si="218"/>
        <v>-5.0449978532809709E-3</v>
      </c>
      <c r="R3469" s="4">
        <f t="shared" si="218"/>
        <v>4.4971687464236357E-3</v>
      </c>
      <c r="S3469" s="4">
        <f t="shared" si="218"/>
        <v>-2.5949073222280031E-2</v>
      </c>
      <c r="T3469" s="4">
        <f t="shared" si="218"/>
        <v>-1.8571470471356627E-2</v>
      </c>
      <c r="U3469" s="35"/>
      <c r="V3469" s="35"/>
      <c r="W3469" s="35"/>
      <c r="X3469" s="35"/>
    </row>
    <row r="3470" spans="4:24" x14ac:dyDescent="0.3">
      <c r="D3470" s="23">
        <v>44616</v>
      </c>
      <c r="E3470" s="5">
        <v>413.86679099999998</v>
      </c>
      <c r="F3470" s="28">
        <v>76.042209999999997</v>
      </c>
      <c r="G3470" s="28">
        <v>177.14</v>
      </c>
      <c r="H3470" s="28">
        <v>335.23649999999998</v>
      </c>
      <c r="I3470" s="28">
        <v>209.05240000000001</v>
      </c>
      <c r="J3470" s="29"/>
      <c r="K3470" s="29"/>
      <c r="L3470" s="29"/>
      <c r="M3470" s="29"/>
      <c r="N3470" s="29"/>
      <c r="P3470" s="4">
        <f t="shared" si="218"/>
        <v>1.4936922622474093E-2</v>
      </c>
      <c r="Q3470" s="4">
        <f t="shared" si="218"/>
        <v>2.2180696650325434E-3</v>
      </c>
      <c r="R3470" s="4">
        <f t="shared" si="218"/>
        <v>-6.4710576652419922E-3</v>
      </c>
      <c r="S3470" s="4">
        <f t="shared" si="218"/>
        <v>3.305222923568165E-2</v>
      </c>
      <c r="T3470" s="4">
        <f t="shared" si="218"/>
        <v>1.7371534770133951E-2</v>
      </c>
      <c r="U3470" s="35"/>
      <c r="V3470" s="35"/>
      <c r="W3470" s="35"/>
      <c r="X3470" s="35"/>
    </row>
    <row r="3471" spans="4:24" x14ac:dyDescent="0.3">
      <c r="D3471" s="23">
        <v>44617</v>
      </c>
      <c r="E3471" s="5">
        <v>422.99838299999999</v>
      </c>
      <c r="F3471" s="28">
        <v>76.107709999999997</v>
      </c>
      <c r="G3471" s="28">
        <v>176.55</v>
      </c>
      <c r="H3471" s="28">
        <v>340.435</v>
      </c>
      <c r="I3471" s="28">
        <v>213.7047</v>
      </c>
      <c r="J3471" s="29"/>
      <c r="K3471" s="29"/>
      <c r="L3471" s="29"/>
      <c r="M3471" s="29"/>
      <c r="N3471" s="29"/>
      <c r="P3471" s="4">
        <f t="shared" si="218"/>
        <v>2.1824195164322047E-2</v>
      </c>
      <c r="Q3471" s="4">
        <f t="shared" si="218"/>
        <v>8.6099294756522993E-4</v>
      </c>
      <c r="R3471" s="4">
        <f t="shared" si="218"/>
        <v>-3.3362580070414008E-3</v>
      </c>
      <c r="S3471" s="4">
        <f t="shared" si="218"/>
        <v>1.5387958730483261E-2</v>
      </c>
      <c r="T3471" s="4">
        <f t="shared" si="218"/>
        <v>2.2010217288280266E-2</v>
      </c>
      <c r="U3471" s="35"/>
      <c r="V3471" s="35"/>
      <c r="W3471" s="35"/>
      <c r="X3471" s="35"/>
    </row>
    <row r="3472" spans="4:24" x14ac:dyDescent="0.3">
      <c r="D3472" s="23">
        <v>44620</v>
      </c>
      <c r="E3472" s="5">
        <v>421.91610700000001</v>
      </c>
      <c r="F3472" s="28">
        <v>76.669250000000005</v>
      </c>
      <c r="G3472" s="28">
        <v>178.38</v>
      </c>
      <c r="H3472" s="28">
        <v>341.44920000000002</v>
      </c>
      <c r="I3472" s="28">
        <v>213.47300000000001</v>
      </c>
      <c r="J3472" s="29"/>
      <c r="K3472" s="29"/>
      <c r="L3472" s="29"/>
      <c r="M3472" s="29"/>
      <c r="N3472" s="29"/>
      <c r="P3472" s="4">
        <f t="shared" si="218"/>
        <v>-2.5618606491798457E-3</v>
      </c>
      <c r="Q3472" s="4">
        <f t="shared" si="218"/>
        <v>7.3511415434098434E-3</v>
      </c>
      <c r="R3472" s="4">
        <f t="shared" si="218"/>
        <v>1.0311983863665782E-2</v>
      </c>
      <c r="S3472" s="4">
        <f t="shared" si="218"/>
        <v>2.9747008300670423E-3</v>
      </c>
      <c r="T3472" s="4">
        <f t="shared" si="218"/>
        <v>-1.0847945607723659E-3</v>
      </c>
      <c r="U3472" s="35"/>
      <c r="V3472" s="35"/>
      <c r="W3472" s="35"/>
      <c r="X3472" s="35"/>
    </row>
    <row r="3473" spans="4:24" x14ac:dyDescent="0.3">
      <c r="D3473" s="23">
        <v>44621</v>
      </c>
      <c r="E3473" s="5">
        <v>415.49026500000002</v>
      </c>
      <c r="F3473" s="28">
        <v>77.071380000000005</v>
      </c>
      <c r="G3473" s="28">
        <v>181.62</v>
      </c>
      <c r="H3473" s="28">
        <v>336.22109999999998</v>
      </c>
      <c r="I3473" s="28">
        <v>210.1431</v>
      </c>
      <c r="J3473" s="29"/>
      <c r="K3473" s="29"/>
      <c r="L3473" s="29"/>
      <c r="M3473" s="29"/>
      <c r="N3473" s="29"/>
      <c r="P3473" s="4">
        <f t="shared" si="218"/>
        <v>-1.5347311276618725E-2</v>
      </c>
      <c r="Q3473" s="4">
        <f t="shared" si="218"/>
        <v>5.2312900899432226E-3</v>
      </c>
      <c r="R3473" s="4">
        <f t="shared" si="218"/>
        <v>1.8000486023621112E-2</v>
      </c>
      <c r="S3473" s="4">
        <f t="shared" si="218"/>
        <v>-1.5429933188245034E-2</v>
      </c>
      <c r="T3473" s="4">
        <f t="shared" si="218"/>
        <v>-1.5721633749370093E-2</v>
      </c>
      <c r="U3473" s="35"/>
      <c r="V3473" s="35"/>
      <c r="W3473" s="35"/>
      <c r="X3473" s="35"/>
    </row>
    <row r="3474" spans="4:24" x14ac:dyDescent="0.3">
      <c r="D3474" s="23">
        <v>44622</v>
      </c>
      <c r="E3474" s="5">
        <v>423.13363600000002</v>
      </c>
      <c r="F3474" s="28">
        <v>76.124650000000003</v>
      </c>
      <c r="G3474" s="28">
        <v>179.73</v>
      </c>
      <c r="H3474" s="28">
        <v>341.86270000000002</v>
      </c>
      <c r="I3474" s="28">
        <v>214.1293</v>
      </c>
      <c r="J3474" s="29"/>
      <c r="K3474" s="29"/>
      <c r="L3474" s="29"/>
      <c r="M3474" s="29"/>
      <c r="N3474" s="29"/>
      <c r="P3474" s="4">
        <f t="shared" si="218"/>
        <v>1.8228869084433021E-2</v>
      </c>
      <c r="Q3474" s="4">
        <f t="shared" si="218"/>
        <v>-1.2359877111174948E-2</v>
      </c>
      <c r="R3474" s="4">
        <f t="shared" si="218"/>
        <v>-1.0460867497739102E-2</v>
      </c>
      <c r="S3474" s="4">
        <f t="shared" si="218"/>
        <v>1.6640215199941143E-2</v>
      </c>
      <c r="T3474" s="4">
        <f t="shared" si="218"/>
        <v>1.8791310948744474E-2</v>
      </c>
      <c r="U3474" s="35"/>
      <c r="V3474" s="35"/>
      <c r="W3474" s="35"/>
      <c r="X3474" s="35"/>
    </row>
    <row r="3475" spans="4:24" x14ac:dyDescent="0.3">
      <c r="D3475" s="23">
        <v>44623</v>
      </c>
      <c r="E3475" s="5">
        <v>421.02713</v>
      </c>
      <c r="F3475" s="28">
        <v>76.462109999999996</v>
      </c>
      <c r="G3475" s="28">
        <v>180.8</v>
      </c>
      <c r="H3475" s="28">
        <v>336.97919999999999</v>
      </c>
      <c r="I3475" s="28">
        <v>212.4982</v>
      </c>
      <c r="J3475" s="29"/>
      <c r="K3475" s="29"/>
      <c r="L3475" s="29"/>
      <c r="M3475" s="29"/>
      <c r="N3475" s="29"/>
      <c r="P3475" s="4">
        <f t="shared" si="218"/>
        <v>-4.990780091247332E-3</v>
      </c>
      <c r="Q3475" s="4">
        <f t="shared" si="218"/>
        <v>4.423195697853057E-3</v>
      </c>
      <c r="R3475" s="4">
        <f t="shared" si="218"/>
        <v>5.9357231941330642E-3</v>
      </c>
      <c r="S3475" s="4">
        <f t="shared" si="218"/>
        <v>-1.4387987087573495E-2</v>
      </c>
      <c r="T3475" s="4">
        <f t="shared" si="218"/>
        <v>-7.6465204302508284E-3</v>
      </c>
      <c r="U3475" s="35"/>
      <c r="V3475" s="35"/>
      <c r="W3475" s="35"/>
      <c r="X3475" s="35"/>
    </row>
    <row r="3476" spans="4:24" x14ac:dyDescent="0.3">
      <c r="D3476" s="23">
        <v>44624</v>
      </c>
      <c r="E3476" s="5">
        <v>417.60644500000001</v>
      </c>
      <c r="F3476" s="28">
        <v>76.733959999999996</v>
      </c>
      <c r="G3476" s="28">
        <v>183.68</v>
      </c>
      <c r="H3476" s="28">
        <v>332.09570000000002</v>
      </c>
      <c r="I3476" s="28">
        <v>210.37469999999999</v>
      </c>
      <c r="J3476" s="29"/>
      <c r="K3476" s="29"/>
      <c r="L3476" s="29"/>
      <c r="M3476" s="29"/>
      <c r="N3476" s="29"/>
      <c r="P3476" s="4">
        <f t="shared" si="218"/>
        <v>-8.1578035328695661E-3</v>
      </c>
      <c r="Q3476" s="4">
        <f t="shared" si="218"/>
        <v>3.5490503815972345E-3</v>
      </c>
      <c r="R3476" s="4">
        <f t="shared" si="218"/>
        <v>1.5803665173125543E-2</v>
      </c>
      <c r="S3476" s="4">
        <f t="shared" si="218"/>
        <v>-1.4598026987669717E-2</v>
      </c>
      <c r="T3476" s="4">
        <f t="shared" si="218"/>
        <v>-1.0043291255362708E-2</v>
      </c>
      <c r="U3476" s="35"/>
      <c r="V3476" s="35"/>
      <c r="W3476" s="35"/>
      <c r="X3476" s="35"/>
    </row>
    <row r="3477" spans="4:24" x14ac:dyDescent="0.3">
      <c r="D3477" s="23">
        <v>44627</v>
      </c>
      <c r="E3477" s="5">
        <v>405.29571499999997</v>
      </c>
      <c r="F3477" s="28">
        <v>76.358980000000003</v>
      </c>
      <c r="G3477" s="28">
        <v>186.41</v>
      </c>
      <c r="H3477" s="28">
        <v>319.8476</v>
      </c>
      <c r="I3477" s="28">
        <v>203.8886</v>
      </c>
      <c r="J3477" s="29"/>
      <c r="K3477" s="29"/>
      <c r="L3477" s="29"/>
      <c r="M3477" s="29"/>
      <c r="N3477" s="29"/>
      <c r="P3477" s="4">
        <f t="shared" ref="P3477:T3492" si="219">LN(E3477/E3476)</f>
        <v>-2.9922508715573889E-2</v>
      </c>
      <c r="Q3477" s="4">
        <f t="shared" si="219"/>
        <v>-4.8987334084034653E-3</v>
      </c>
      <c r="R3477" s="4">
        <f t="shared" si="219"/>
        <v>1.4753435749952597E-2</v>
      </c>
      <c r="S3477" s="4">
        <f t="shared" si="219"/>
        <v>-3.7578548040897823E-2</v>
      </c>
      <c r="T3477" s="4">
        <f t="shared" si="219"/>
        <v>-3.1316460227283377E-2</v>
      </c>
      <c r="U3477" s="35"/>
      <c r="V3477" s="35"/>
      <c r="W3477" s="35"/>
      <c r="X3477" s="35"/>
    </row>
    <row r="3478" spans="4:24" x14ac:dyDescent="0.3">
      <c r="D3478" s="23">
        <v>44628</v>
      </c>
      <c r="E3478" s="5">
        <v>402.22287</v>
      </c>
      <c r="F3478" s="28">
        <v>76.002799999999993</v>
      </c>
      <c r="G3478" s="28">
        <v>191.51</v>
      </c>
      <c r="H3478" s="28">
        <v>318.36099999999999</v>
      </c>
      <c r="I3478" s="28">
        <v>202.74</v>
      </c>
      <c r="J3478" s="29"/>
      <c r="K3478" s="29"/>
      <c r="L3478" s="29"/>
      <c r="M3478" s="29"/>
      <c r="N3478" s="29"/>
      <c r="P3478" s="4">
        <f t="shared" si="219"/>
        <v>-7.6106231833416218E-3</v>
      </c>
      <c r="Q3478" s="4">
        <f t="shared" si="219"/>
        <v>-4.6754592764487136E-3</v>
      </c>
      <c r="R3478" s="4">
        <f t="shared" si="219"/>
        <v>2.6991477697313956E-2</v>
      </c>
      <c r="S3478" s="4">
        <f t="shared" si="219"/>
        <v>-4.658673319878198E-3</v>
      </c>
      <c r="T3478" s="4">
        <f t="shared" si="219"/>
        <v>-5.6493963034608859E-3</v>
      </c>
      <c r="U3478" s="35"/>
      <c r="V3478" s="35"/>
      <c r="W3478" s="35"/>
      <c r="X3478" s="35"/>
    </row>
    <row r="3479" spans="4:24" x14ac:dyDescent="0.3">
      <c r="D3479" s="23">
        <v>44629</v>
      </c>
      <c r="E3479" s="5">
        <v>413.00683600000002</v>
      </c>
      <c r="F3479" s="28">
        <v>75.796559999999999</v>
      </c>
      <c r="G3479" s="28">
        <v>185.82</v>
      </c>
      <c r="H3479" s="28">
        <v>329.82130000000001</v>
      </c>
      <c r="I3479" s="28">
        <v>208.36709999999999</v>
      </c>
      <c r="J3479" s="29"/>
      <c r="K3479" s="29"/>
      <c r="L3479" s="29"/>
      <c r="M3479" s="29"/>
      <c r="N3479" s="29"/>
      <c r="P3479" s="4">
        <f t="shared" si="219"/>
        <v>2.6457806902622272E-2</v>
      </c>
      <c r="Q3479" s="4">
        <f t="shared" si="219"/>
        <v>-2.7172726801871507E-3</v>
      </c>
      <c r="R3479" s="4">
        <f t="shared" si="219"/>
        <v>-3.0161563365301756E-2</v>
      </c>
      <c r="S3479" s="4">
        <f t="shared" si="219"/>
        <v>3.5365033605885297E-2</v>
      </c>
      <c r="T3479" s="4">
        <f t="shared" si="219"/>
        <v>2.7377057980494019E-2</v>
      </c>
      <c r="U3479" s="35"/>
      <c r="V3479" s="35"/>
      <c r="W3479" s="35"/>
      <c r="X3479" s="35"/>
    </row>
    <row r="3480" spans="4:24" x14ac:dyDescent="0.3">
      <c r="D3480" s="23">
        <v>44630</v>
      </c>
      <c r="E3480" s="5">
        <v>411.14184599999999</v>
      </c>
      <c r="F3480" s="28">
        <v>75.393469999999994</v>
      </c>
      <c r="G3480" s="28">
        <v>186.4</v>
      </c>
      <c r="H3480" s="28">
        <v>326.15870000000001</v>
      </c>
      <c r="I3480" s="28">
        <v>207.43090000000001</v>
      </c>
      <c r="J3480" s="29"/>
      <c r="K3480" s="29"/>
      <c r="L3480" s="29"/>
      <c r="M3480" s="29"/>
      <c r="N3480" s="29"/>
      <c r="P3480" s="4">
        <f t="shared" si="219"/>
        <v>-4.5258658399534033E-3</v>
      </c>
      <c r="Q3480" s="4">
        <f t="shared" si="219"/>
        <v>-5.3322425437887936E-3</v>
      </c>
      <c r="R3480" s="4">
        <f t="shared" si="219"/>
        <v>3.1164390383244655E-3</v>
      </c>
      <c r="S3480" s="4">
        <f t="shared" si="219"/>
        <v>-1.1166919907527068E-2</v>
      </c>
      <c r="T3480" s="4">
        <f t="shared" si="219"/>
        <v>-4.5031557730126287E-3</v>
      </c>
      <c r="U3480" s="35"/>
      <c r="V3480" s="35"/>
      <c r="W3480" s="35"/>
      <c r="X3480" s="35"/>
    </row>
    <row r="3481" spans="4:24" x14ac:dyDescent="0.3">
      <c r="D3481" s="23">
        <v>44631</v>
      </c>
      <c r="E3481" s="5">
        <v>405.914154</v>
      </c>
      <c r="F3481" s="28">
        <v>75.337239999999994</v>
      </c>
      <c r="G3481" s="28">
        <v>185.09</v>
      </c>
      <c r="H3481" s="28">
        <v>319.39479999999998</v>
      </c>
      <c r="I3481" s="28">
        <v>204.61250000000001</v>
      </c>
      <c r="J3481" s="29"/>
      <c r="K3481" s="29"/>
      <c r="L3481" s="29"/>
      <c r="M3481" s="29"/>
      <c r="N3481" s="29"/>
      <c r="P3481" s="4">
        <f t="shared" si="219"/>
        <v>-1.2796585147524676E-2</v>
      </c>
      <c r="Q3481" s="4">
        <f t="shared" si="219"/>
        <v>-7.4609882230946569E-4</v>
      </c>
      <c r="R3481" s="4">
        <f t="shared" si="219"/>
        <v>-7.0527089828655012E-3</v>
      </c>
      <c r="S3481" s="4">
        <f t="shared" si="219"/>
        <v>-2.0956117606804877E-2</v>
      </c>
      <c r="T3481" s="4">
        <f t="shared" si="219"/>
        <v>-1.3680325691261997E-2</v>
      </c>
      <c r="U3481" s="35"/>
      <c r="V3481" s="35"/>
      <c r="W3481" s="35"/>
      <c r="X3481" s="35"/>
    </row>
    <row r="3482" spans="4:24" x14ac:dyDescent="0.3">
      <c r="D3482" s="23">
        <v>44634</v>
      </c>
      <c r="E3482" s="5">
        <v>402.94760100000002</v>
      </c>
      <c r="F3482" s="28">
        <v>74.643609999999995</v>
      </c>
      <c r="G3482" s="28">
        <v>182.3</v>
      </c>
      <c r="H3482" s="28">
        <v>313.26089999999999</v>
      </c>
      <c r="I3482" s="28">
        <v>202.59520000000001</v>
      </c>
      <c r="J3482" s="29"/>
      <c r="K3482" s="29"/>
      <c r="L3482" s="29"/>
      <c r="M3482" s="29"/>
      <c r="N3482" s="29"/>
      <c r="P3482" s="4">
        <f t="shared" si="219"/>
        <v>-7.3351627341416582E-3</v>
      </c>
      <c r="Q3482" s="4">
        <f t="shared" si="219"/>
        <v>-9.2496468094650421E-3</v>
      </c>
      <c r="R3482" s="4">
        <f t="shared" si="219"/>
        <v>-1.5188511584007965E-2</v>
      </c>
      <c r="S3482" s="4">
        <f t="shared" si="219"/>
        <v>-1.9391565463174932E-2</v>
      </c>
      <c r="T3482" s="4">
        <f t="shared" si="219"/>
        <v>-9.908046940498634E-3</v>
      </c>
      <c r="U3482" s="35"/>
      <c r="V3482" s="35"/>
      <c r="W3482" s="35"/>
      <c r="X3482" s="35"/>
    </row>
    <row r="3483" spans="4:24" x14ac:dyDescent="0.3">
      <c r="D3483" s="23">
        <v>44635</v>
      </c>
      <c r="E3483" s="5">
        <v>411.80859400000003</v>
      </c>
      <c r="F3483" s="28">
        <v>74.765429999999995</v>
      </c>
      <c r="G3483" s="28">
        <v>178.89</v>
      </c>
      <c r="H3483" s="28">
        <v>323.08690000000001</v>
      </c>
      <c r="I3483" s="28">
        <v>206.8228</v>
      </c>
      <c r="J3483" s="29"/>
      <c r="K3483" s="29"/>
      <c r="L3483" s="29"/>
      <c r="M3483" s="29"/>
      <c r="N3483" s="29"/>
      <c r="P3483" s="4">
        <f t="shared" si="219"/>
        <v>2.1752132569442032E-2</v>
      </c>
      <c r="Q3483" s="4">
        <f t="shared" si="219"/>
        <v>1.6306915163213115E-3</v>
      </c>
      <c r="R3483" s="4">
        <f t="shared" si="219"/>
        <v>-1.8882589881493314E-2</v>
      </c>
      <c r="S3483" s="4">
        <f t="shared" si="219"/>
        <v>3.0884937626275508E-2</v>
      </c>
      <c r="T3483" s="4">
        <f t="shared" si="219"/>
        <v>2.0652488477732201E-2</v>
      </c>
      <c r="U3483" s="35"/>
      <c r="V3483" s="35"/>
      <c r="W3483" s="35"/>
      <c r="X3483" s="35"/>
    </row>
    <row r="3484" spans="4:24" x14ac:dyDescent="0.3">
      <c r="D3484" s="23">
        <v>44636</v>
      </c>
      <c r="E3484" s="5">
        <v>420.94009399999999</v>
      </c>
      <c r="F3484" s="28">
        <v>74.877920000000003</v>
      </c>
      <c r="G3484" s="28">
        <v>180.01</v>
      </c>
      <c r="H3484" s="28">
        <v>335.06909999999999</v>
      </c>
      <c r="I3484" s="28">
        <v>211.99629999999999</v>
      </c>
      <c r="J3484" s="29"/>
      <c r="K3484" s="29"/>
      <c r="L3484" s="29"/>
      <c r="M3484" s="29"/>
      <c r="N3484" s="29"/>
      <c r="P3484" s="4">
        <f t="shared" si="219"/>
        <v>2.1931865290753524E-2</v>
      </c>
      <c r="Q3484" s="4">
        <f t="shared" si="219"/>
        <v>1.5034416322380283E-3</v>
      </c>
      <c r="R3484" s="4">
        <f t="shared" si="219"/>
        <v>6.2413130994889267E-3</v>
      </c>
      <c r="S3484" s="4">
        <f t="shared" si="219"/>
        <v>3.6415451925831115E-2</v>
      </c>
      <c r="T3484" s="4">
        <f t="shared" si="219"/>
        <v>2.4706433681814719E-2</v>
      </c>
      <c r="U3484" s="35"/>
      <c r="V3484" s="35"/>
      <c r="W3484" s="35"/>
      <c r="X3484" s="35"/>
    </row>
    <row r="3485" spans="4:24" x14ac:dyDescent="0.3">
      <c r="D3485" s="23">
        <v>44637</v>
      </c>
      <c r="E3485" s="5">
        <v>426.20642099999998</v>
      </c>
      <c r="F3485" s="28">
        <v>74.943529999999996</v>
      </c>
      <c r="G3485" s="28">
        <v>180.89</v>
      </c>
      <c r="H3485" s="28">
        <v>339.12560000000002</v>
      </c>
      <c r="I3485" s="28">
        <v>214.8339</v>
      </c>
      <c r="J3485" s="29"/>
      <c r="K3485" s="29"/>
      <c r="L3485" s="29"/>
      <c r="M3485" s="29"/>
      <c r="N3485" s="29"/>
      <c r="P3485" s="4">
        <f t="shared" si="219"/>
        <v>1.2433256227150075E-2</v>
      </c>
      <c r="Q3485" s="4">
        <f t="shared" si="219"/>
        <v>8.7584260056360508E-4</v>
      </c>
      <c r="R3485" s="4">
        <f t="shared" si="219"/>
        <v>4.8767068109304658E-3</v>
      </c>
      <c r="S3485" s="4">
        <f t="shared" si="219"/>
        <v>1.2033761025325204E-2</v>
      </c>
      <c r="T3485" s="4">
        <f t="shared" si="219"/>
        <v>1.3296349721778596E-2</v>
      </c>
      <c r="U3485" s="35"/>
      <c r="V3485" s="35"/>
      <c r="W3485" s="35"/>
      <c r="X3485" s="35"/>
    </row>
    <row r="3486" spans="4:24" x14ac:dyDescent="0.3">
      <c r="D3486" s="23">
        <v>44638</v>
      </c>
      <c r="E3486" s="5">
        <v>430.87463400000001</v>
      </c>
      <c r="F3486" s="28">
        <v>75.159139999999994</v>
      </c>
      <c r="G3486" s="28">
        <v>179.3</v>
      </c>
      <c r="H3486" s="28">
        <v>346.06670000000003</v>
      </c>
      <c r="I3486" s="28">
        <v>217.3434</v>
      </c>
      <c r="J3486" s="29"/>
      <c r="K3486" s="29"/>
      <c r="L3486" s="29"/>
      <c r="M3486" s="29"/>
      <c r="N3486" s="29"/>
      <c r="P3486" s="4">
        <f t="shared" si="219"/>
        <v>1.0893390154491939E-2</v>
      </c>
      <c r="Q3486" s="4">
        <f t="shared" si="219"/>
        <v>2.8728356169690273E-3</v>
      </c>
      <c r="R3486" s="4">
        <f t="shared" si="219"/>
        <v>-8.8287311024563067E-3</v>
      </c>
      <c r="S3486" s="4">
        <f t="shared" si="219"/>
        <v>2.0260990808915698E-2</v>
      </c>
      <c r="T3486" s="4">
        <f t="shared" si="219"/>
        <v>1.1613419792955782E-2</v>
      </c>
      <c r="U3486" s="35"/>
      <c r="V3486" s="35"/>
      <c r="W3486" s="35"/>
      <c r="X3486" s="35"/>
    </row>
    <row r="3487" spans="4:24" x14ac:dyDescent="0.3">
      <c r="D3487" s="23">
        <v>44641</v>
      </c>
      <c r="E3487" s="5">
        <v>430.748627</v>
      </c>
      <c r="F3487" s="28">
        <v>74.390500000000003</v>
      </c>
      <c r="G3487" s="28">
        <v>180.67</v>
      </c>
      <c r="H3487" s="28">
        <v>345.10469999999998</v>
      </c>
      <c r="I3487" s="28">
        <v>217.14080000000001</v>
      </c>
      <c r="J3487" s="29"/>
      <c r="K3487" s="29"/>
      <c r="L3487" s="29"/>
      <c r="M3487" s="29"/>
      <c r="N3487" s="29"/>
      <c r="P3487" s="4">
        <f t="shared" si="219"/>
        <v>-2.9248746314507488E-4</v>
      </c>
      <c r="Q3487" s="4">
        <f t="shared" si="219"/>
        <v>-1.0279486709107361E-2</v>
      </c>
      <c r="R3487" s="4">
        <f t="shared" si="219"/>
        <v>7.6117821747485647E-3</v>
      </c>
      <c r="S3487" s="4">
        <f t="shared" si="219"/>
        <v>-2.7836817935527366E-3</v>
      </c>
      <c r="T3487" s="4">
        <f t="shared" si="219"/>
        <v>-9.3260014833293243E-4</v>
      </c>
      <c r="U3487" s="35"/>
      <c r="V3487" s="35"/>
      <c r="W3487" s="35"/>
      <c r="X3487" s="35"/>
    </row>
    <row r="3488" spans="4:24" x14ac:dyDescent="0.3">
      <c r="D3488" s="23">
        <v>44642</v>
      </c>
      <c r="E3488" s="5">
        <v>435.78900099999998</v>
      </c>
      <c r="F3488" s="28">
        <v>74.203040000000001</v>
      </c>
      <c r="G3488" s="28">
        <v>179.36</v>
      </c>
      <c r="H3488" s="28">
        <v>351.88679999999999</v>
      </c>
      <c r="I3488" s="28">
        <v>219.8047</v>
      </c>
      <c r="J3488" s="29"/>
      <c r="K3488" s="29"/>
      <c r="L3488" s="29"/>
      <c r="M3488" s="29"/>
      <c r="N3488" s="29"/>
      <c r="P3488" s="4">
        <f t="shared" si="219"/>
        <v>1.163349561120797E-2</v>
      </c>
      <c r="Q3488" s="4">
        <f t="shared" si="219"/>
        <v>-2.5231258296973232E-3</v>
      </c>
      <c r="R3488" s="4">
        <f t="shared" si="219"/>
        <v>-7.2772034619858639E-3</v>
      </c>
      <c r="S3488" s="4">
        <f t="shared" si="219"/>
        <v>1.9461683715544291E-2</v>
      </c>
      <c r="T3488" s="4">
        <f t="shared" si="219"/>
        <v>1.2193433760506895E-2</v>
      </c>
      <c r="U3488" s="35"/>
      <c r="V3488" s="35"/>
      <c r="W3488" s="35"/>
      <c r="X3488" s="35"/>
    </row>
    <row r="3489" spans="4:24" x14ac:dyDescent="0.3">
      <c r="D3489" s="23">
        <v>44643</v>
      </c>
      <c r="E3489" s="5">
        <v>430.17672700000003</v>
      </c>
      <c r="F3489" s="28">
        <v>74.540459999999996</v>
      </c>
      <c r="G3489" s="28">
        <v>181.81</v>
      </c>
      <c r="H3489" s="28">
        <v>346.82979999999998</v>
      </c>
      <c r="I3489" s="28">
        <v>216.81100000000001</v>
      </c>
      <c r="J3489" s="29"/>
      <c r="K3489" s="29"/>
      <c r="L3489" s="29"/>
      <c r="M3489" s="29"/>
      <c r="N3489" s="29"/>
      <c r="P3489" s="4">
        <f t="shared" si="219"/>
        <v>-1.2962066274075651E-2</v>
      </c>
      <c r="Q3489" s="4">
        <f t="shared" si="219"/>
        <v>4.5369455308507433E-3</v>
      </c>
      <c r="R3489" s="4">
        <f t="shared" si="219"/>
        <v>1.3567226407331524E-2</v>
      </c>
      <c r="S3489" s="4">
        <f t="shared" si="219"/>
        <v>-1.4475363263772483E-2</v>
      </c>
      <c r="T3489" s="4">
        <f t="shared" si="219"/>
        <v>-1.3713418530687376E-2</v>
      </c>
      <c r="U3489" s="35"/>
      <c r="V3489" s="35"/>
      <c r="W3489" s="35"/>
      <c r="X3489" s="35"/>
    </row>
    <row r="3490" spans="4:24" x14ac:dyDescent="0.3">
      <c r="D3490" s="23">
        <v>44644</v>
      </c>
      <c r="E3490" s="5">
        <v>436.66137700000002</v>
      </c>
      <c r="F3490" s="28">
        <v>74.446700000000007</v>
      </c>
      <c r="G3490" s="28">
        <v>183.13</v>
      </c>
      <c r="H3490" s="28">
        <v>354.53870000000001</v>
      </c>
      <c r="I3490" s="28">
        <v>219.89959999999999</v>
      </c>
      <c r="J3490" s="29"/>
      <c r="K3490" s="29"/>
      <c r="L3490" s="29"/>
      <c r="M3490" s="29"/>
      <c r="N3490" s="29"/>
      <c r="P3490" s="4">
        <f t="shared" si="219"/>
        <v>1.4961896436892322E-2</v>
      </c>
      <c r="Q3490" s="4">
        <f t="shared" si="219"/>
        <v>-1.2586321180632985E-3</v>
      </c>
      <c r="R3490" s="4">
        <f t="shared" si="219"/>
        <v>7.2340974216758723E-3</v>
      </c>
      <c r="S3490" s="4">
        <f t="shared" si="219"/>
        <v>2.1983338152049697E-2</v>
      </c>
      <c r="T3490" s="4">
        <f t="shared" si="219"/>
        <v>1.4145072264678699E-2</v>
      </c>
      <c r="U3490" s="35"/>
      <c r="V3490" s="35"/>
      <c r="W3490" s="35"/>
      <c r="X3490" s="35"/>
    </row>
    <row r="3491" spans="4:24" x14ac:dyDescent="0.3">
      <c r="D3491" s="23">
        <v>44645</v>
      </c>
      <c r="E3491" s="5">
        <v>438.79385400000001</v>
      </c>
      <c r="F3491" s="28">
        <v>73.790549999999996</v>
      </c>
      <c r="G3491" s="28">
        <v>182.38</v>
      </c>
      <c r="H3491" s="28">
        <v>354.24290000000002</v>
      </c>
      <c r="I3491" s="28">
        <v>220.83869999999999</v>
      </c>
      <c r="J3491" s="29"/>
      <c r="K3491" s="29"/>
      <c r="L3491" s="29"/>
      <c r="M3491" s="29"/>
      <c r="N3491" s="29"/>
      <c r="P3491" s="4">
        <f t="shared" si="219"/>
        <v>4.8717082086881629E-3</v>
      </c>
      <c r="Q3491" s="4">
        <f t="shared" si="219"/>
        <v>-8.8527584702706753E-3</v>
      </c>
      <c r="R3491" s="4">
        <f t="shared" si="219"/>
        <v>-4.1038606473378092E-3</v>
      </c>
      <c r="S3491" s="4">
        <f t="shared" si="219"/>
        <v>-8.3467182887673043E-4</v>
      </c>
      <c r="T3491" s="4">
        <f t="shared" si="219"/>
        <v>4.2614922333530942E-3</v>
      </c>
      <c r="U3491" s="35"/>
      <c r="V3491" s="35"/>
      <c r="W3491" s="35"/>
      <c r="X3491" s="35"/>
    </row>
    <row r="3492" spans="4:24" x14ac:dyDescent="0.3">
      <c r="D3492" s="23">
        <v>44648</v>
      </c>
      <c r="E3492" s="5">
        <v>441.91497800000002</v>
      </c>
      <c r="F3492" s="28">
        <v>74.006169999999997</v>
      </c>
      <c r="G3492" s="28">
        <v>179.06</v>
      </c>
      <c r="H3492" s="28">
        <v>359.72390000000001</v>
      </c>
      <c r="I3492" s="28">
        <v>222.27170000000001</v>
      </c>
      <c r="J3492" s="29"/>
      <c r="K3492" s="29"/>
      <c r="L3492" s="29"/>
      <c r="M3492" s="29"/>
      <c r="N3492" s="29"/>
      <c r="P3492" s="4">
        <f t="shared" si="219"/>
        <v>7.0877841866187896E-3</v>
      </c>
      <c r="Q3492" s="4">
        <f t="shared" si="219"/>
        <v>2.9177934797703134E-3</v>
      </c>
      <c r="R3492" s="4">
        <f t="shared" si="219"/>
        <v>-1.8371477299509456E-2</v>
      </c>
      <c r="S3492" s="4">
        <f t="shared" si="219"/>
        <v>1.5353956726399687E-2</v>
      </c>
      <c r="T3492" s="4">
        <f t="shared" si="219"/>
        <v>6.4679366392564651E-3</v>
      </c>
      <c r="U3492" s="35"/>
      <c r="V3492" s="35"/>
      <c r="W3492" s="35"/>
      <c r="X3492" s="35"/>
    </row>
    <row r="3493" spans="4:24" x14ac:dyDescent="0.3">
      <c r="D3493" s="23">
        <v>44649</v>
      </c>
      <c r="E3493" s="5">
        <v>447.381866</v>
      </c>
      <c r="F3493" s="28">
        <v>74.334249999999997</v>
      </c>
      <c r="G3493" s="28">
        <v>179.14</v>
      </c>
      <c r="H3493" s="28">
        <v>365.91460000000001</v>
      </c>
      <c r="I3493" s="28">
        <v>225.64109999999999</v>
      </c>
      <c r="J3493" s="29"/>
      <c r="K3493" s="29"/>
      <c r="L3493" s="29"/>
      <c r="M3493" s="29"/>
      <c r="N3493" s="29"/>
      <c r="P3493" s="4">
        <f t="shared" ref="P3493:T3508" si="220">LN(E3493/E3492)</f>
        <v>1.2295010163572758E-2</v>
      </c>
      <c r="Q3493" s="4">
        <f t="shared" si="220"/>
        <v>4.4233464477732463E-3</v>
      </c>
      <c r="R3493" s="4">
        <f t="shared" si="220"/>
        <v>4.4667784103930204E-4</v>
      </c>
      <c r="S3493" s="4">
        <f t="shared" si="220"/>
        <v>1.7063180088214395E-2</v>
      </c>
      <c r="T3493" s="4">
        <f t="shared" si="220"/>
        <v>1.5045176459021406E-2</v>
      </c>
      <c r="U3493" s="35"/>
      <c r="V3493" s="35"/>
      <c r="W3493" s="35"/>
      <c r="X3493" s="35"/>
    </row>
    <row r="3494" spans="4:24" x14ac:dyDescent="0.3">
      <c r="D3494" s="23">
        <v>44650</v>
      </c>
      <c r="E3494" s="5">
        <v>444.61935399999999</v>
      </c>
      <c r="F3494" s="28">
        <v>74.502979999999994</v>
      </c>
      <c r="G3494" s="28">
        <v>180.58</v>
      </c>
      <c r="H3494" s="28">
        <v>361.87290000000002</v>
      </c>
      <c r="I3494" s="28">
        <v>223.81120000000001</v>
      </c>
      <c r="J3494" s="29"/>
      <c r="K3494" s="29"/>
      <c r="L3494" s="29"/>
      <c r="M3494" s="29"/>
      <c r="N3494" s="29"/>
      <c r="P3494" s="4">
        <f t="shared" si="220"/>
        <v>-6.1939844254415193E-3</v>
      </c>
      <c r="Q3494" s="4">
        <f t="shared" si="220"/>
        <v>2.2673100309976136E-3</v>
      </c>
      <c r="R3494" s="4">
        <f t="shared" si="220"/>
        <v>8.0062698322839899E-3</v>
      </c>
      <c r="S3494" s="4">
        <f t="shared" si="220"/>
        <v>-1.1106927639962027E-2</v>
      </c>
      <c r="T3494" s="4">
        <f t="shared" si="220"/>
        <v>-8.1428445736675924E-3</v>
      </c>
      <c r="U3494" s="35"/>
      <c r="V3494" s="35"/>
      <c r="W3494" s="35"/>
      <c r="X3494" s="35"/>
    </row>
    <row r="3495" spans="4:24" x14ac:dyDescent="0.3">
      <c r="D3495" s="23">
        <v>44651</v>
      </c>
      <c r="E3495" s="5">
        <v>437.776093</v>
      </c>
      <c r="F3495" s="28">
        <v>74.559209999999993</v>
      </c>
      <c r="G3495" s="28">
        <v>180.65</v>
      </c>
      <c r="H3495" s="28">
        <v>357.38760000000002</v>
      </c>
      <c r="I3495" s="28">
        <v>220.43209999999999</v>
      </c>
      <c r="J3495" s="29"/>
      <c r="K3495" s="29"/>
      <c r="L3495" s="29"/>
      <c r="M3495" s="29"/>
      <c r="N3495" s="29"/>
      <c r="P3495" s="4">
        <f t="shared" si="220"/>
        <v>-1.5510955375498436E-2</v>
      </c>
      <c r="Q3495" s="4">
        <f t="shared" si="220"/>
        <v>7.5445024210566596E-4</v>
      </c>
      <c r="R3495" s="4">
        <f t="shared" si="220"/>
        <v>3.8756471431605836E-4</v>
      </c>
      <c r="S3495" s="4">
        <f t="shared" si="220"/>
        <v>-1.2472138097757641E-2</v>
      </c>
      <c r="T3495" s="4">
        <f t="shared" si="220"/>
        <v>-1.52131283516019E-2</v>
      </c>
      <c r="U3495" s="35"/>
      <c r="V3495" s="35"/>
      <c r="W3495" s="35"/>
      <c r="X3495" s="35"/>
    </row>
    <row r="3496" spans="4:24" x14ac:dyDescent="0.3">
      <c r="D3496" s="23">
        <v>44652</v>
      </c>
      <c r="E3496" s="5">
        <v>439.01678500000003</v>
      </c>
      <c r="F3496" s="28">
        <v>74.397580000000005</v>
      </c>
      <c r="G3496" s="28">
        <v>179.5</v>
      </c>
      <c r="H3496" s="28">
        <v>356.70740000000001</v>
      </c>
      <c r="I3496" s="28">
        <v>221.31319999999999</v>
      </c>
      <c r="J3496" s="29"/>
      <c r="K3496" s="29"/>
      <c r="L3496" s="29"/>
      <c r="M3496" s="29"/>
      <c r="N3496" s="29"/>
      <c r="P3496" s="4">
        <f t="shared" si="220"/>
        <v>2.8300704971951558E-3</v>
      </c>
      <c r="Q3496" s="4">
        <f t="shared" si="220"/>
        <v>-2.1701603993254321E-3</v>
      </c>
      <c r="R3496" s="4">
        <f t="shared" si="220"/>
        <v>-6.3862496653156915E-3</v>
      </c>
      <c r="S3496" s="4">
        <f t="shared" si="220"/>
        <v>-1.9050692295007866E-3</v>
      </c>
      <c r="T3496" s="4">
        <f t="shared" si="220"/>
        <v>3.9891818586579126E-3</v>
      </c>
      <c r="U3496" s="35"/>
      <c r="V3496" s="35"/>
      <c r="W3496" s="35"/>
      <c r="X3496" s="35"/>
    </row>
    <row r="3497" spans="4:24" x14ac:dyDescent="0.3">
      <c r="D3497" s="23">
        <v>44655</v>
      </c>
      <c r="E3497" s="5">
        <v>442.777649</v>
      </c>
      <c r="F3497" s="28">
        <v>74.453950000000006</v>
      </c>
      <c r="G3497" s="28">
        <v>180.37</v>
      </c>
      <c r="H3497" s="28">
        <v>364.05149999999998</v>
      </c>
      <c r="I3497" s="28">
        <v>223.19149999999999</v>
      </c>
      <c r="J3497" s="29"/>
      <c r="K3497" s="29"/>
      <c r="L3497" s="29"/>
      <c r="M3497" s="29"/>
      <c r="N3497" s="29"/>
      <c r="P3497" s="4">
        <f t="shared" si="220"/>
        <v>8.5300760790086617E-3</v>
      </c>
      <c r="Q3497" s="4">
        <f t="shared" si="220"/>
        <v>7.5739903640545706E-4</v>
      </c>
      <c r="R3497" s="4">
        <f t="shared" si="220"/>
        <v>4.835088753774414E-3</v>
      </c>
      <c r="S3497" s="4">
        <f t="shared" si="220"/>
        <v>2.0379503271020505E-2</v>
      </c>
      <c r="T3497" s="4">
        <f t="shared" si="220"/>
        <v>8.4512545292852927E-3</v>
      </c>
      <c r="U3497" s="35"/>
      <c r="V3497" s="35"/>
      <c r="W3497" s="35"/>
      <c r="X3497" s="35"/>
    </row>
    <row r="3498" spans="4:24" x14ac:dyDescent="0.3">
      <c r="D3498" s="23">
        <v>44656</v>
      </c>
      <c r="E3498" s="5">
        <v>437.18478399999998</v>
      </c>
      <c r="F3498" s="28">
        <v>73.702190000000002</v>
      </c>
      <c r="G3498" s="28">
        <v>179.24</v>
      </c>
      <c r="H3498" s="28">
        <v>355.96800000000002</v>
      </c>
      <c r="I3498" s="28">
        <v>219.92869999999999</v>
      </c>
      <c r="J3498" s="29"/>
      <c r="K3498" s="29"/>
      <c r="L3498" s="29"/>
      <c r="M3498" s="29"/>
      <c r="N3498" s="29"/>
      <c r="P3498" s="4">
        <f t="shared" si="220"/>
        <v>-1.2711770644353602E-2</v>
      </c>
      <c r="Q3498" s="4">
        <f t="shared" si="220"/>
        <v>-1.0148299649855107E-2</v>
      </c>
      <c r="R3498" s="4">
        <f t="shared" si="220"/>
        <v>-6.2846067641655337E-3</v>
      </c>
      <c r="S3498" s="4">
        <f t="shared" si="220"/>
        <v>-2.2454501973930289E-2</v>
      </c>
      <c r="T3498" s="4">
        <f t="shared" si="220"/>
        <v>-1.4726744430263171E-2</v>
      </c>
      <c r="U3498" s="35"/>
      <c r="V3498" s="35"/>
      <c r="W3498" s="35"/>
      <c r="X3498" s="35"/>
    </row>
    <row r="3499" spans="4:24" x14ac:dyDescent="0.3">
      <c r="D3499" s="23">
        <v>44657</v>
      </c>
      <c r="E3499" s="5">
        <v>432.81326300000001</v>
      </c>
      <c r="F3499" s="28">
        <v>73.476650000000006</v>
      </c>
      <c r="G3499" s="28">
        <v>179.66</v>
      </c>
      <c r="H3499" s="28">
        <v>348.23939999999999</v>
      </c>
      <c r="I3499" s="28">
        <v>217.4016</v>
      </c>
      <c r="J3499" s="29"/>
      <c r="K3499" s="29"/>
      <c r="L3499" s="29"/>
      <c r="M3499" s="29"/>
      <c r="N3499" s="29"/>
      <c r="P3499" s="4">
        <f t="shared" si="220"/>
        <v>-1.0049580700756908E-2</v>
      </c>
      <c r="Q3499" s="4">
        <f t="shared" si="220"/>
        <v>-3.0648451441332544E-3</v>
      </c>
      <c r="R3499" s="4">
        <f t="shared" si="220"/>
        <v>2.3404858831182168E-3</v>
      </c>
      <c r="S3499" s="4">
        <f t="shared" si="220"/>
        <v>-2.1950664878577105E-2</v>
      </c>
      <c r="T3499" s="4">
        <f t="shared" si="220"/>
        <v>-1.1557068548823804E-2</v>
      </c>
      <c r="U3499" s="35"/>
      <c r="V3499" s="35"/>
      <c r="W3499" s="35"/>
      <c r="X3499" s="35"/>
    </row>
    <row r="3500" spans="4:24" x14ac:dyDescent="0.3">
      <c r="D3500" s="23">
        <v>44658</v>
      </c>
      <c r="E3500" s="5">
        <v>434.99417099999999</v>
      </c>
      <c r="F3500" s="28">
        <v>73.326319999999996</v>
      </c>
      <c r="G3500" s="28">
        <v>180.34</v>
      </c>
      <c r="H3500" s="28">
        <v>349.06760000000003</v>
      </c>
      <c r="I3500" s="28">
        <v>218.22460000000001</v>
      </c>
      <c r="J3500" s="29"/>
      <c r="K3500" s="29"/>
      <c r="L3500" s="29"/>
      <c r="M3500" s="29"/>
      <c r="N3500" s="29"/>
      <c r="P3500" s="4">
        <f t="shared" si="220"/>
        <v>5.0262592966124195E-3</v>
      </c>
      <c r="Q3500" s="4">
        <f t="shared" si="220"/>
        <v>-2.0480519235655061E-3</v>
      </c>
      <c r="R3500" s="4">
        <f t="shared" si="220"/>
        <v>3.777782270700092E-3</v>
      </c>
      <c r="S3500" s="4">
        <f t="shared" si="220"/>
        <v>2.3754254279295525E-3</v>
      </c>
      <c r="T3500" s="4">
        <f t="shared" si="220"/>
        <v>3.7784732835374197E-3</v>
      </c>
      <c r="U3500" s="35"/>
      <c r="V3500" s="35"/>
      <c r="W3500" s="35"/>
      <c r="X3500" s="35"/>
    </row>
    <row r="3501" spans="4:24" x14ac:dyDescent="0.3">
      <c r="D3501" s="23">
        <v>44659</v>
      </c>
      <c r="E3501" s="5">
        <v>433.83099399999998</v>
      </c>
      <c r="F3501" s="28">
        <v>72.931610000000006</v>
      </c>
      <c r="G3501" s="28">
        <v>181.47</v>
      </c>
      <c r="H3501" s="28">
        <v>344.18790000000001</v>
      </c>
      <c r="I3501" s="28">
        <v>217.54679999999999</v>
      </c>
      <c r="J3501" s="29"/>
      <c r="K3501" s="29"/>
      <c r="L3501" s="29"/>
      <c r="M3501" s="29"/>
      <c r="N3501" s="29"/>
      <c r="P3501" s="4">
        <f t="shared" si="220"/>
        <v>-2.677587486654536E-3</v>
      </c>
      <c r="Q3501" s="4">
        <f t="shared" si="220"/>
        <v>-5.397464031443114E-3</v>
      </c>
      <c r="R3501" s="4">
        <f t="shared" si="220"/>
        <v>6.2463927151718652E-3</v>
      </c>
      <c r="S3501" s="4">
        <f t="shared" si="220"/>
        <v>-1.4077870541518052E-2</v>
      </c>
      <c r="T3501" s="4">
        <f t="shared" si="220"/>
        <v>-3.1108078529074731E-3</v>
      </c>
      <c r="U3501" s="35"/>
      <c r="V3501" s="35"/>
      <c r="W3501" s="35"/>
      <c r="X3501" s="35"/>
    </row>
    <row r="3502" spans="4:24" x14ac:dyDescent="0.3">
      <c r="D3502" s="23">
        <v>44662</v>
      </c>
      <c r="E3502" s="5">
        <v>426.41583300000002</v>
      </c>
      <c r="F3502" s="28">
        <v>72.593310000000002</v>
      </c>
      <c r="G3502" s="28">
        <v>182.37</v>
      </c>
      <c r="H3502" s="28">
        <v>336.0453</v>
      </c>
      <c r="I3502" s="28">
        <v>214.14840000000001</v>
      </c>
      <c r="J3502" s="29"/>
      <c r="K3502" s="29"/>
      <c r="L3502" s="29"/>
      <c r="M3502" s="29"/>
      <c r="N3502" s="29"/>
      <c r="P3502" s="4">
        <f t="shared" si="220"/>
        <v>-1.724003954885649E-2</v>
      </c>
      <c r="Q3502" s="4">
        <f t="shared" si="220"/>
        <v>-4.6493838912616894E-3</v>
      </c>
      <c r="R3502" s="4">
        <f t="shared" si="220"/>
        <v>4.9472396418083105E-3</v>
      </c>
      <c r="S3502" s="4">
        <f t="shared" si="220"/>
        <v>-2.3941756875095793E-2</v>
      </c>
      <c r="T3502" s="4">
        <f t="shared" si="220"/>
        <v>-1.5744767161351661E-2</v>
      </c>
      <c r="U3502" s="35"/>
      <c r="V3502" s="35"/>
      <c r="W3502" s="35"/>
      <c r="X3502" s="35"/>
    </row>
    <row r="3503" spans="4:24" x14ac:dyDescent="0.3">
      <c r="D3503" s="23">
        <v>44663</v>
      </c>
      <c r="E3503" s="5">
        <v>424.83590700000002</v>
      </c>
      <c r="F3503" s="28">
        <v>72.82826</v>
      </c>
      <c r="G3503" s="28">
        <v>183.77</v>
      </c>
      <c r="H3503" s="28">
        <v>334.62569999999999</v>
      </c>
      <c r="I3503" s="28">
        <v>213.49</v>
      </c>
      <c r="J3503" s="29"/>
      <c r="K3503" s="29"/>
      <c r="L3503" s="29"/>
      <c r="M3503" s="29"/>
      <c r="N3503" s="29"/>
      <c r="P3503" s="4">
        <f t="shared" si="220"/>
        <v>-3.7120107716967087E-3</v>
      </c>
      <c r="Q3503" s="4">
        <f t="shared" si="220"/>
        <v>3.2312978663569889E-3</v>
      </c>
      <c r="R3503" s="4">
        <f t="shared" si="220"/>
        <v>7.647385278592234E-3</v>
      </c>
      <c r="S3503" s="4">
        <f t="shared" si="220"/>
        <v>-4.2333785719439821E-3</v>
      </c>
      <c r="T3503" s="4">
        <f t="shared" si="220"/>
        <v>-3.0792394706839281E-3</v>
      </c>
      <c r="U3503" s="35"/>
      <c r="V3503" s="35"/>
      <c r="W3503" s="35"/>
      <c r="X3503" s="35"/>
    </row>
    <row r="3504" spans="4:24" x14ac:dyDescent="0.3">
      <c r="D3504" s="23">
        <v>44664</v>
      </c>
      <c r="E3504" s="5">
        <v>429.70181300000002</v>
      </c>
      <c r="F3504" s="28">
        <v>72.912819999999996</v>
      </c>
      <c r="G3504" s="28">
        <v>184.65</v>
      </c>
      <c r="H3504" s="28">
        <v>341.42770000000002</v>
      </c>
      <c r="I3504" s="28">
        <v>216.28809999999999</v>
      </c>
      <c r="J3504" s="29"/>
      <c r="K3504" s="29"/>
      <c r="L3504" s="29"/>
      <c r="M3504" s="29"/>
      <c r="N3504" s="29"/>
      <c r="P3504" s="4">
        <f t="shared" si="220"/>
        <v>1.1388516803066484E-2</v>
      </c>
      <c r="Q3504" s="4">
        <f t="shared" si="220"/>
        <v>1.1604142015246034E-3</v>
      </c>
      <c r="R3504" s="4">
        <f t="shared" si="220"/>
        <v>4.7771655912391686E-3</v>
      </c>
      <c r="S3504" s="4">
        <f t="shared" si="220"/>
        <v>2.0123349833491105E-2</v>
      </c>
      <c r="T3504" s="4">
        <f t="shared" si="220"/>
        <v>1.3021322100105015E-2</v>
      </c>
      <c r="U3504" s="35"/>
      <c r="V3504" s="35"/>
      <c r="W3504" s="35"/>
      <c r="X3504" s="35"/>
    </row>
    <row r="3505" spans="4:24" x14ac:dyDescent="0.3">
      <c r="D3505" s="23">
        <v>44665</v>
      </c>
      <c r="E3505" s="5">
        <v>424.35122699999999</v>
      </c>
      <c r="F3505" s="28">
        <v>72.414789999999996</v>
      </c>
      <c r="G3505" s="28">
        <v>184.04</v>
      </c>
      <c r="H3505" s="28">
        <v>333.62020000000001</v>
      </c>
      <c r="I3505" s="28">
        <v>213.65459999999999</v>
      </c>
      <c r="J3505" s="29"/>
      <c r="K3505" s="29"/>
      <c r="L3505" s="29"/>
      <c r="M3505" s="29"/>
      <c r="N3505" s="29"/>
      <c r="P3505" s="4">
        <f t="shared" si="220"/>
        <v>-1.2530032102167821E-2</v>
      </c>
      <c r="Q3505" s="4">
        <f t="shared" si="220"/>
        <v>-6.8539205953962387E-3</v>
      </c>
      <c r="R3505" s="4">
        <f t="shared" si="220"/>
        <v>-3.3090160113044879E-3</v>
      </c>
      <c r="S3505" s="4">
        <f t="shared" si="220"/>
        <v>-2.3132723355557629E-2</v>
      </c>
      <c r="T3505" s="4">
        <f t="shared" si="220"/>
        <v>-1.2250622865478662E-2</v>
      </c>
      <c r="U3505" s="35"/>
      <c r="V3505" s="35"/>
      <c r="W3505" s="35"/>
      <c r="X3505" s="35"/>
    </row>
    <row r="3506" spans="4:24" x14ac:dyDescent="0.3">
      <c r="D3506" s="23">
        <v>44669</v>
      </c>
      <c r="E3506" s="5">
        <v>424.52572600000002</v>
      </c>
      <c r="F3506" s="28">
        <v>72.179839999999999</v>
      </c>
      <c r="G3506" s="28">
        <v>184.61</v>
      </c>
      <c r="H3506" s="28">
        <v>333.8766</v>
      </c>
      <c r="I3506" s="28">
        <v>213.2867</v>
      </c>
      <c r="J3506" s="29"/>
      <c r="K3506" s="29"/>
      <c r="L3506" s="29"/>
      <c r="M3506" s="29"/>
      <c r="N3506" s="29"/>
      <c r="P3506" s="4">
        <f t="shared" si="220"/>
        <v>4.1112908494279557E-4</v>
      </c>
      <c r="Q3506" s="4">
        <f t="shared" si="220"/>
        <v>-3.2497777652824959E-3</v>
      </c>
      <c r="R3506" s="4">
        <f t="shared" si="220"/>
        <v>3.0923664952102786E-3</v>
      </c>
      <c r="S3506" s="4">
        <f t="shared" si="220"/>
        <v>7.6824342112374942E-4</v>
      </c>
      <c r="T3506" s="4">
        <f t="shared" si="220"/>
        <v>-1.7234223583471426E-3</v>
      </c>
      <c r="U3506" s="35"/>
      <c r="V3506" s="35"/>
      <c r="W3506" s="35"/>
      <c r="X3506" s="35"/>
    </row>
    <row r="3507" spans="4:24" x14ac:dyDescent="0.3">
      <c r="D3507" s="23">
        <v>44670</v>
      </c>
      <c r="E3507" s="5">
        <v>431.378693</v>
      </c>
      <c r="F3507" s="28">
        <v>71.728790000000004</v>
      </c>
      <c r="G3507" s="28">
        <v>181.82</v>
      </c>
      <c r="H3507" s="28">
        <v>341.33890000000002</v>
      </c>
      <c r="I3507" s="28">
        <v>217.04339999999999</v>
      </c>
      <c r="J3507" s="29"/>
      <c r="K3507" s="29"/>
      <c r="L3507" s="29"/>
      <c r="M3507" s="29"/>
      <c r="N3507" s="29"/>
      <c r="P3507" s="4">
        <f t="shared" si="220"/>
        <v>1.6013735400797792E-2</v>
      </c>
      <c r="Q3507" s="4">
        <f t="shared" si="220"/>
        <v>-6.2685813492082887E-3</v>
      </c>
      <c r="R3507" s="4">
        <f t="shared" si="220"/>
        <v>-1.5228305088766082E-2</v>
      </c>
      <c r="S3507" s="4">
        <f t="shared" si="220"/>
        <v>2.2104361760813037E-2</v>
      </c>
      <c r="T3507" s="4">
        <f t="shared" si="220"/>
        <v>1.7460063502613955E-2</v>
      </c>
      <c r="U3507" s="35"/>
      <c r="V3507" s="35"/>
      <c r="W3507" s="35"/>
      <c r="X3507" s="35"/>
    </row>
    <row r="3508" spans="4:24" x14ac:dyDescent="0.3">
      <c r="D3508" s="23">
        <v>44671</v>
      </c>
      <c r="E3508" s="5">
        <v>431.058807</v>
      </c>
      <c r="F3508" s="28">
        <v>72.179839999999999</v>
      </c>
      <c r="G3508" s="28">
        <v>182.71</v>
      </c>
      <c r="H3508" s="28">
        <v>336.36070000000001</v>
      </c>
      <c r="I3508" s="28">
        <v>216.76259999999999</v>
      </c>
      <c r="J3508" s="29"/>
      <c r="K3508" s="29"/>
      <c r="L3508" s="29"/>
      <c r="M3508" s="29"/>
      <c r="N3508" s="29"/>
      <c r="P3508" s="4">
        <f t="shared" si="220"/>
        <v>-7.4181842665530775E-4</v>
      </c>
      <c r="Q3508" s="4">
        <f t="shared" si="220"/>
        <v>6.2685813492081386E-3</v>
      </c>
      <c r="R3508" s="4">
        <f t="shared" si="220"/>
        <v>4.8830097298620508E-3</v>
      </c>
      <c r="S3508" s="4">
        <f t="shared" si="220"/>
        <v>-1.469172932599851E-2</v>
      </c>
      <c r="T3508" s="4">
        <f t="shared" si="220"/>
        <v>-1.2945880841548148E-3</v>
      </c>
      <c r="U3508" s="35"/>
      <c r="V3508" s="35"/>
      <c r="W3508" s="35"/>
      <c r="X3508" s="35"/>
    </row>
    <row r="3509" spans="4:24" x14ac:dyDescent="0.3">
      <c r="D3509" s="23">
        <v>44672</v>
      </c>
      <c r="E3509" s="5">
        <v>424.61294600000002</v>
      </c>
      <c r="F3509" s="28">
        <v>71.794569999999993</v>
      </c>
      <c r="G3509" s="28">
        <v>182.06</v>
      </c>
      <c r="H3509" s="28">
        <v>329.40100000000001</v>
      </c>
      <c r="I3509" s="28">
        <v>213.21889999999999</v>
      </c>
      <c r="J3509" s="29"/>
      <c r="K3509" s="29"/>
      <c r="L3509" s="29"/>
      <c r="M3509" s="29"/>
      <c r="N3509" s="29"/>
      <c r="P3509" s="4">
        <f t="shared" ref="P3509:T3524" si="221">LN(E3509/E3508)</f>
        <v>-1.5066485274508972E-2</v>
      </c>
      <c r="Q3509" s="4">
        <f t="shared" si="221"/>
        <v>-5.3519360782795988E-3</v>
      </c>
      <c r="R3509" s="4">
        <f t="shared" si="221"/>
        <v>-3.5638933464313708E-3</v>
      </c>
      <c r="S3509" s="4">
        <f t="shared" si="221"/>
        <v>-2.0908242504471434E-2</v>
      </c>
      <c r="T3509" s="4">
        <f t="shared" si="221"/>
        <v>-1.64834079406635E-2</v>
      </c>
      <c r="U3509" s="35"/>
      <c r="V3509" s="35"/>
      <c r="W3509" s="35"/>
      <c r="X3509" s="35"/>
    </row>
    <row r="3510" spans="4:24" x14ac:dyDescent="0.3">
      <c r="D3510" s="23">
        <v>44673</v>
      </c>
      <c r="E3510" s="5">
        <v>412.96194500000001</v>
      </c>
      <c r="F3510" s="28">
        <v>71.700590000000005</v>
      </c>
      <c r="G3510" s="28">
        <v>180.29</v>
      </c>
      <c r="H3510" s="28">
        <v>320.77550000000002</v>
      </c>
      <c r="I3510" s="28">
        <v>207.40969999999999</v>
      </c>
      <c r="J3510" s="29"/>
      <c r="K3510" s="29"/>
      <c r="L3510" s="29"/>
      <c r="M3510" s="29"/>
      <c r="N3510" s="29"/>
      <c r="P3510" s="4">
        <f t="shared" si="221"/>
        <v>-2.7822592818694415E-2</v>
      </c>
      <c r="Q3510" s="4">
        <f t="shared" si="221"/>
        <v>-1.3098701508433123E-3</v>
      </c>
      <c r="R3510" s="4">
        <f t="shared" si="221"/>
        <v>-9.7696375230339732E-3</v>
      </c>
      <c r="S3510" s="4">
        <f t="shared" si="221"/>
        <v>-2.6534352056809627E-2</v>
      </c>
      <c r="T3510" s="4">
        <f t="shared" si="221"/>
        <v>-2.7623273289057851E-2</v>
      </c>
      <c r="U3510" s="35"/>
      <c r="V3510" s="35"/>
      <c r="W3510" s="35"/>
      <c r="X3510" s="35"/>
    </row>
    <row r="3511" spans="4:24" x14ac:dyDescent="0.3">
      <c r="D3511" s="23">
        <v>44676</v>
      </c>
      <c r="E3511" s="5">
        <v>415.35607900000002</v>
      </c>
      <c r="F3511" s="28">
        <v>72.151669999999996</v>
      </c>
      <c r="G3511" s="28">
        <v>177.05</v>
      </c>
      <c r="H3511" s="28">
        <v>324.89609999999999</v>
      </c>
      <c r="I3511" s="28">
        <v>208.54249999999999</v>
      </c>
      <c r="J3511" s="29"/>
      <c r="K3511" s="29"/>
      <c r="L3511" s="29"/>
      <c r="M3511" s="29"/>
      <c r="N3511" s="29"/>
      <c r="P3511" s="4">
        <f t="shared" si="221"/>
        <v>5.7807281687852494E-3</v>
      </c>
      <c r="Q3511" s="4">
        <f t="shared" si="221"/>
        <v>6.2714548726145293E-3</v>
      </c>
      <c r="R3511" s="4">
        <f t="shared" si="221"/>
        <v>-1.8134486996196009E-2</v>
      </c>
      <c r="S3511" s="4">
        <f t="shared" si="221"/>
        <v>1.2763937404735312E-2</v>
      </c>
      <c r="T3511" s="4">
        <f t="shared" si="221"/>
        <v>5.4467931681374798E-3</v>
      </c>
      <c r="U3511" s="35"/>
      <c r="V3511" s="35"/>
      <c r="W3511" s="35"/>
      <c r="X3511" s="35"/>
    </row>
    <row r="3512" spans="4:24" x14ac:dyDescent="0.3">
      <c r="D3512" s="23">
        <v>44677</v>
      </c>
      <c r="E3512" s="5">
        <v>403.32708700000001</v>
      </c>
      <c r="F3512" s="28">
        <v>72.339609999999993</v>
      </c>
      <c r="G3512" s="28">
        <v>177.32</v>
      </c>
      <c r="H3512" s="28">
        <v>312.63279999999997</v>
      </c>
      <c r="I3512" s="28">
        <v>202.5977</v>
      </c>
      <c r="J3512" s="29"/>
      <c r="K3512" s="29"/>
      <c r="L3512" s="29"/>
      <c r="M3512" s="29"/>
      <c r="N3512" s="29"/>
      <c r="P3512" s="4">
        <f t="shared" si="221"/>
        <v>-2.9388311001365169E-2</v>
      </c>
      <c r="Q3512" s="4">
        <f t="shared" si="221"/>
        <v>2.6014041260792229E-3</v>
      </c>
      <c r="R3512" s="4">
        <f t="shared" si="221"/>
        <v>1.5238313189398505E-3</v>
      </c>
      <c r="S3512" s="4">
        <f t="shared" si="221"/>
        <v>-3.8476100003037063E-2</v>
      </c>
      <c r="T3512" s="4">
        <f t="shared" si="221"/>
        <v>-2.8920618065802206E-2</v>
      </c>
      <c r="U3512" s="35"/>
      <c r="V3512" s="35"/>
      <c r="W3512" s="35"/>
      <c r="X3512" s="35"/>
    </row>
    <row r="3513" spans="4:24" x14ac:dyDescent="0.3">
      <c r="D3513" s="23">
        <v>44678</v>
      </c>
      <c r="E3513" s="5">
        <v>404.46112099999999</v>
      </c>
      <c r="F3513" s="28">
        <v>72.114080000000001</v>
      </c>
      <c r="G3513" s="28">
        <v>175.98</v>
      </c>
      <c r="H3513" s="28">
        <v>312.25819999999999</v>
      </c>
      <c r="I3513" s="28">
        <v>202.99469999999999</v>
      </c>
      <c r="J3513" s="29"/>
      <c r="K3513" s="29"/>
      <c r="L3513" s="29"/>
      <c r="M3513" s="29"/>
      <c r="N3513" s="29"/>
      <c r="P3513" s="4">
        <f t="shared" si="221"/>
        <v>2.8077526603621527E-3</v>
      </c>
      <c r="Q3513" s="4">
        <f t="shared" si="221"/>
        <v>-3.122525748511208E-3</v>
      </c>
      <c r="R3513" s="4">
        <f t="shared" si="221"/>
        <v>-7.5856576594381438E-3</v>
      </c>
      <c r="S3513" s="4">
        <f t="shared" si="221"/>
        <v>-1.1989292368486393E-3</v>
      </c>
      <c r="T3513" s="4">
        <f t="shared" si="221"/>
        <v>1.9576309949883501E-3</v>
      </c>
      <c r="U3513" s="35"/>
      <c r="V3513" s="35"/>
      <c r="W3513" s="35"/>
      <c r="X3513" s="35"/>
    </row>
    <row r="3514" spans="4:24" x14ac:dyDescent="0.3">
      <c r="D3514" s="23">
        <v>44679</v>
      </c>
      <c r="E3514" s="5">
        <v>414.67761200000001</v>
      </c>
      <c r="F3514" s="28">
        <v>72.085880000000003</v>
      </c>
      <c r="G3514" s="28">
        <v>176.93</v>
      </c>
      <c r="H3514" s="28">
        <v>323.34840000000003</v>
      </c>
      <c r="I3514" s="28">
        <v>207.94220000000001</v>
      </c>
      <c r="J3514" s="29"/>
      <c r="K3514" s="29"/>
      <c r="L3514" s="29"/>
      <c r="M3514" s="29"/>
      <c r="N3514" s="29"/>
      <c r="P3514" s="4">
        <f t="shared" si="221"/>
        <v>2.4945764094794001E-2</v>
      </c>
      <c r="Q3514" s="4">
        <f t="shared" si="221"/>
        <v>-3.9112355314796022E-4</v>
      </c>
      <c r="R3514" s="4">
        <f t="shared" si="221"/>
        <v>5.3838219074968116E-3</v>
      </c>
      <c r="S3514" s="4">
        <f t="shared" si="221"/>
        <v>3.4899970012133269E-2</v>
      </c>
      <c r="T3514" s="4">
        <f t="shared" si="221"/>
        <v>2.4080286142275999E-2</v>
      </c>
      <c r="U3514" s="35"/>
      <c r="V3514" s="35"/>
      <c r="W3514" s="35"/>
      <c r="X3514" s="35"/>
    </row>
    <row r="3515" spans="4:24" x14ac:dyDescent="0.3">
      <c r="D3515" s="23">
        <v>44680</v>
      </c>
      <c r="E3515" s="5">
        <v>399.35287499999998</v>
      </c>
      <c r="F3515" s="28">
        <v>71.597219999999993</v>
      </c>
      <c r="G3515" s="28">
        <v>176.91</v>
      </c>
      <c r="H3515" s="28">
        <v>308.79809999999998</v>
      </c>
      <c r="I3515" s="28">
        <v>200.3031</v>
      </c>
      <c r="J3515" s="29"/>
      <c r="K3515" s="29"/>
      <c r="L3515" s="29"/>
      <c r="M3515" s="29"/>
      <c r="N3515" s="29"/>
      <c r="P3515" s="4">
        <f t="shared" si="221"/>
        <v>-3.7655955244870663E-2</v>
      </c>
      <c r="Q3515" s="4">
        <f t="shared" si="221"/>
        <v>-6.8019396023993595E-3</v>
      </c>
      <c r="R3515" s="4">
        <f t="shared" si="221"/>
        <v>-1.130454443890845E-4</v>
      </c>
      <c r="S3515" s="4">
        <f t="shared" si="221"/>
        <v>-4.6042714399861837E-2</v>
      </c>
      <c r="T3515" s="4">
        <f t="shared" si="221"/>
        <v>-3.742843713201837E-2</v>
      </c>
      <c r="U3515" s="35"/>
      <c r="V3515" s="35"/>
      <c r="W3515" s="35"/>
      <c r="X3515" s="35"/>
    </row>
    <row r="3516" spans="4:24" x14ac:dyDescent="0.3">
      <c r="D3516" s="23">
        <v>44683</v>
      </c>
      <c r="E3516" s="5">
        <v>401.756775</v>
      </c>
      <c r="F3516" s="28">
        <v>71.230990000000006</v>
      </c>
      <c r="G3516" s="28">
        <v>173.63</v>
      </c>
      <c r="H3516" s="28">
        <v>313.9538</v>
      </c>
      <c r="I3516" s="28">
        <v>201.8134</v>
      </c>
      <c r="J3516" s="29"/>
      <c r="K3516" s="29"/>
      <c r="L3516" s="29"/>
      <c r="M3516" s="29"/>
      <c r="N3516" s="29"/>
      <c r="P3516" s="4">
        <f t="shared" si="221"/>
        <v>6.0014436604689404E-3</v>
      </c>
      <c r="Q3516" s="4">
        <f t="shared" si="221"/>
        <v>-5.1282698652854444E-3</v>
      </c>
      <c r="R3516" s="4">
        <f t="shared" si="221"/>
        <v>-1.8714530324475981E-2</v>
      </c>
      <c r="S3516" s="4">
        <f t="shared" si="221"/>
        <v>1.6558176043107227E-2</v>
      </c>
      <c r="T3516" s="4">
        <f t="shared" si="221"/>
        <v>7.5117887567296912E-3</v>
      </c>
      <c r="U3516" s="35"/>
      <c r="V3516" s="35"/>
      <c r="W3516" s="35"/>
      <c r="X3516" s="35"/>
    </row>
    <row r="3517" spans="4:24" x14ac:dyDescent="0.3">
      <c r="D3517" s="23">
        <v>44684</v>
      </c>
      <c r="E3517" s="5">
        <v>403.59845000000001</v>
      </c>
      <c r="F3517" s="28">
        <v>71.400459999999995</v>
      </c>
      <c r="G3517" s="28">
        <v>174.09</v>
      </c>
      <c r="H3517" s="28">
        <v>314.28890000000001</v>
      </c>
      <c r="I3517" s="28">
        <v>202.77199999999999</v>
      </c>
      <c r="J3517" s="29"/>
      <c r="K3517" s="29"/>
      <c r="L3517" s="29"/>
      <c r="M3517" s="29"/>
      <c r="N3517" s="29"/>
      <c r="P3517" s="4">
        <f t="shared" si="221"/>
        <v>4.5735798393533892E-3</v>
      </c>
      <c r="Q3517" s="4">
        <f t="shared" si="221"/>
        <v>2.3763353699245114E-3</v>
      </c>
      <c r="R3517" s="4">
        <f t="shared" si="221"/>
        <v>2.6458085145802286E-3</v>
      </c>
      <c r="S3517" s="4">
        <f t="shared" si="221"/>
        <v>1.0667852782994466E-3</v>
      </c>
      <c r="T3517" s="4">
        <f t="shared" si="221"/>
        <v>4.7386870301891031E-3</v>
      </c>
      <c r="U3517" s="35"/>
      <c r="V3517" s="35"/>
      <c r="W3517" s="35"/>
      <c r="X3517" s="35"/>
    </row>
    <row r="3518" spans="4:24" x14ac:dyDescent="0.3">
      <c r="D3518" s="23">
        <v>44685</v>
      </c>
      <c r="E3518" s="5">
        <v>415.88919099999998</v>
      </c>
      <c r="F3518" s="28">
        <v>71.861770000000007</v>
      </c>
      <c r="G3518" s="28">
        <v>175.8</v>
      </c>
      <c r="H3518" s="28">
        <v>324.91570000000002</v>
      </c>
      <c r="I3518" s="28">
        <v>208.71680000000001</v>
      </c>
      <c r="J3518" s="29"/>
      <c r="K3518" s="29"/>
      <c r="L3518" s="29"/>
      <c r="M3518" s="29"/>
      <c r="N3518" s="29"/>
      <c r="P3518" s="4">
        <f t="shared" si="221"/>
        <v>2.9998408954597218E-2</v>
      </c>
      <c r="Q3518" s="4">
        <f t="shared" si="221"/>
        <v>6.4401007075994433E-3</v>
      </c>
      <c r="R3518" s="4">
        <f t="shared" si="221"/>
        <v>9.7745783804500039E-3</v>
      </c>
      <c r="S3518" s="4">
        <f t="shared" si="221"/>
        <v>3.3253137464987537E-2</v>
      </c>
      <c r="T3518" s="4">
        <f t="shared" si="221"/>
        <v>2.8896114042540666E-2</v>
      </c>
      <c r="U3518" s="35"/>
      <c r="V3518" s="35"/>
      <c r="W3518" s="35"/>
      <c r="X3518" s="35"/>
    </row>
    <row r="3519" spans="4:24" x14ac:dyDescent="0.3">
      <c r="D3519" s="23">
        <v>44686</v>
      </c>
      <c r="E3519" s="5">
        <v>401.10732999999999</v>
      </c>
      <c r="F3519" s="28">
        <v>71.146259999999998</v>
      </c>
      <c r="G3519" s="28">
        <v>175.13</v>
      </c>
      <c r="H3519" s="28">
        <v>308.55160000000001</v>
      </c>
      <c r="I3519" s="28">
        <v>201.01949999999999</v>
      </c>
      <c r="J3519" s="29"/>
      <c r="K3519" s="29"/>
      <c r="L3519" s="29"/>
      <c r="M3519" s="29"/>
      <c r="N3519" s="29"/>
      <c r="P3519" s="4">
        <f t="shared" si="221"/>
        <v>-3.6189809637122483E-2</v>
      </c>
      <c r="Q3519" s="4">
        <f t="shared" si="221"/>
        <v>-1.0006654458656198E-2</v>
      </c>
      <c r="R3519" s="4">
        <f t="shared" si="221"/>
        <v>-3.8184299665037138E-3</v>
      </c>
      <c r="S3519" s="4">
        <f t="shared" si="221"/>
        <v>-5.1676673769421817E-2</v>
      </c>
      <c r="T3519" s="4">
        <f t="shared" si="221"/>
        <v>-3.7576390887485198E-2</v>
      </c>
      <c r="U3519" s="35"/>
      <c r="V3519" s="35"/>
      <c r="W3519" s="35"/>
      <c r="X3519" s="35"/>
    </row>
    <row r="3520" spans="4:24" x14ac:dyDescent="0.3">
      <c r="D3520" s="23">
        <v>44687</v>
      </c>
      <c r="E3520" s="5">
        <v>398.71313500000002</v>
      </c>
      <c r="F3520" s="28">
        <v>70.844989999999996</v>
      </c>
      <c r="G3520" s="28">
        <v>175.42</v>
      </c>
      <c r="H3520" s="28">
        <v>304.85489999999999</v>
      </c>
      <c r="I3520" s="28">
        <v>199.40260000000001</v>
      </c>
      <c r="J3520" s="29"/>
      <c r="K3520" s="29"/>
      <c r="L3520" s="29"/>
      <c r="M3520" s="29"/>
      <c r="N3520" s="29"/>
      <c r="P3520" s="4">
        <f t="shared" si="221"/>
        <v>-5.986848938977842E-3</v>
      </c>
      <c r="Q3520" s="4">
        <f t="shared" si="221"/>
        <v>-4.2435072878011055E-3</v>
      </c>
      <c r="R3520" s="4">
        <f t="shared" si="221"/>
        <v>1.6545432386625496E-3</v>
      </c>
      <c r="S3520" s="4">
        <f t="shared" si="221"/>
        <v>-1.2053164595515354E-2</v>
      </c>
      <c r="T3520" s="4">
        <f t="shared" si="221"/>
        <v>-8.0760217187238852E-3</v>
      </c>
      <c r="U3520" s="35"/>
      <c r="V3520" s="35"/>
      <c r="W3520" s="35"/>
      <c r="X3520" s="35"/>
    </row>
    <row r="3521" spans="4:24" x14ac:dyDescent="0.3">
      <c r="D3521" s="23">
        <v>44690</v>
      </c>
      <c r="E3521" s="5">
        <v>385.94747899999999</v>
      </c>
      <c r="F3521" s="28">
        <v>71.165090000000006</v>
      </c>
      <c r="G3521" s="28">
        <v>172.88</v>
      </c>
      <c r="H3521" s="28">
        <v>292.92689999999999</v>
      </c>
      <c r="I3521" s="28">
        <v>192.3347</v>
      </c>
      <c r="J3521" s="29"/>
      <c r="K3521" s="29"/>
      <c r="L3521" s="29"/>
      <c r="M3521" s="29"/>
      <c r="N3521" s="29"/>
      <c r="P3521" s="4">
        <f t="shared" si="221"/>
        <v>-3.254090297415968E-2</v>
      </c>
      <c r="Q3521" s="4">
        <f t="shared" si="221"/>
        <v>4.5081383254506136E-3</v>
      </c>
      <c r="R3521" s="4">
        <f t="shared" si="221"/>
        <v>-1.4585386324604934E-2</v>
      </c>
      <c r="S3521" s="4">
        <f t="shared" si="221"/>
        <v>-3.9912835868270435E-2</v>
      </c>
      <c r="T3521" s="4">
        <f t="shared" si="221"/>
        <v>-3.6088813026099655E-2</v>
      </c>
      <c r="U3521" s="35"/>
      <c r="V3521" s="35"/>
      <c r="W3521" s="35"/>
      <c r="X3521" s="35"/>
    </row>
    <row r="3522" spans="4:24" x14ac:dyDescent="0.3">
      <c r="D3522" s="23">
        <v>44691</v>
      </c>
      <c r="E3522" s="5">
        <v>386.839203</v>
      </c>
      <c r="F3522" s="28">
        <v>71.372209999999995</v>
      </c>
      <c r="G3522" s="28">
        <v>171.42</v>
      </c>
      <c r="H3522" s="28">
        <v>296.48559999999998</v>
      </c>
      <c r="I3522" s="28">
        <v>192.72200000000001</v>
      </c>
      <c r="J3522" s="29"/>
      <c r="K3522" s="29"/>
      <c r="L3522" s="29"/>
      <c r="M3522" s="29"/>
      <c r="N3522" s="29"/>
      <c r="P3522" s="4">
        <f t="shared" si="221"/>
        <v>2.3078151229775226E-3</v>
      </c>
      <c r="Q3522" s="4">
        <f t="shared" si="221"/>
        <v>2.9061887067704595E-3</v>
      </c>
      <c r="R3522" s="4">
        <f t="shared" si="221"/>
        <v>-8.4810267278939231E-3</v>
      </c>
      <c r="S3522" s="4">
        <f t="shared" si="221"/>
        <v>1.2075560812791061E-2</v>
      </c>
      <c r="T3522" s="4">
        <f t="shared" si="221"/>
        <v>2.0116524688893896E-3</v>
      </c>
      <c r="U3522" s="35"/>
      <c r="V3522" s="35"/>
      <c r="W3522" s="35"/>
      <c r="X3522" s="35"/>
    </row>
    <row r="3523" spans="4:24" x14ac:dyDescent="0.3">
      <c r="D3523" s="23">
        <v>44692</v>
      </c>
      <c r="E3523" s="5">
        <v>380.693848</v>
      </c>
      <c r="F3523" s="28">
        <v>71.617009999999993</v>
      </c>
      <c r="G3523" s="28">
        <v>172.82</v>
      </c>
      <c r="H3523" s="28">
        <v>287.69240000000002</v>
      </c>
      <c r="I3523" s="28">
        <v>189.2364</v>
      </c>
      <c r="J3523" s="29"/>
      <c r="K3523" s="29"/>
      <c r="L3523" s="29"/>
      <c r="M3523" s="29"/>
      <c r="N3523" s="29"/>
      <c r="P3523" s="4">
        <f t="shared" si="221"/>
        <v>-1.6013607011241611E-2</v>
      </c>
      <c r="Q3523" s="4">
        <f t="shared" si="221"/>
        <v>3.4240376885787691E-3</v>
      </c>
      <c r="R3523" s="4">
        <f t="shared" si="221"/>
        <v>8.1339049425165257E-3</v>
      </c>
      <c r="S3523" s="4">
        <f t="shared" si="221"/>
        <v>-3.0106796845324309E-2</v>
      </c>
      <c r="T3523" s="4">
        <f t="shared" si="221"/>
        <v>-1.825170888314236E-2</v>
      </c>
      <c r="U3523" s="35"/>
      <c r="V3523" s="35"/>
      <c r="W3523" s="35"/>
      <c r="X3523" s="35"/>
    </row>
    <row r="3524" spans="4:24" x14ac:dyDescent="0.3">
      <c r="D3524" s="23">
        <v>44693</v>
      </c>
      <c r="E3524" s="5">
        <v>380.296356</v>
      </c>
      <c r="F3524" s="28">
        <v>71.758210000000005</v>
      </c>
      <c r="G3524" s="28">
        <v>170.17</v>
      </c>
      <c r="H3524" s="28">
        <v>287.01209999999998</v>
      </c>
      <c r="I3524" s="28">
        <v>189.43969999999999</v>
      </c>
      <c r="J3524" s="29"/>
      <c r="K3524" s="29"/>
      <c r="L3524" s="29"/>
      <c r="M3524" s="29"/>
      <c r="N3524" s="29"/>
      <c r="P3524" s="4">
        <f t="shared" si="221"/>
        <v>-1.0446705727890774E-3</v>
      </c>
      <c r="Q3524" s="4">
        <f t="shared" si="221"/>
        <v>1.9696575970296719E-3</v>
      </c>
      <c r="R3524" s="4">
        <f t="shared" si="221"/>
        <v>-1.5452653029907908E-2</v>
      </c>
      <c r="S3524" s="4">
        <f t="shared" si="221"/>
        <v>-2.3674786529574096E-3</v>
      </c>
      <c r="T3524" s="4">
        <f t="shared" si="221"/>
        <v>1.0737409597931398E-3</v>
      </c>
      <c r="U3524" s="35"/>
      <c r="V3524" s="35"/>
      <c r="W3524" s="35"/>
      <c r="X3524" s="35"/>
    </row>
    <row r="3525" spans="4:24" x14ac:dyDescent="0.3">
      <c r="D3525" s="23">
        <v>44694</v>
      </c>
      <c r="E3525" s="5">
        <v>389.38845800000001</v>
      </c>
      <c r="F3525" s="28">
        <v>71.494609999999994</v>
      </c>
      <c r="G3525" s="28">
        <v>168.79</v>
      </c>
      <c r="H3525" s="28">
        <v>297.64879999999999</v>
      </c>
      <c r="I3525" s="28">
        <v>194.51320000000001</v>
      </c>
      <c r="J3525" s="29"/>
      <c r="K3525" s="29"/>
      <c r="L3525" s="29"/>
      <c r="M3525" s="29"/>
      <c r="N3525" s="29"/>
      <c r="P3525" s="4">
        <f t="shared" ref="P3525:T3540" si="222">LN(E3525/E3524)</f>
        <v>2.3626619047001945E-2</v>
      </c>
      <c r="Q3525" s="4">
        <f t="shared" si="222"/>
        <v>-3.6802109377733387E-3</v>
      </c>
      <c r="R3525" s="4">
        <f t="shared" si="222"/>
        <v>-8.1425986825088177E-3</v>
      </c>
      <c r="S3525" s="4">
        <f t="shared" si="222"/>
        <v>3.6389892860909538E-2</v>
      </c>
      <c r="T3525" s="4">
        <f t="shared" si="222"/>
        <v>2.6429259000071773E-2</v>
      </c>
      <c r="U3525" s="35"/>
      <c r="V3525" s="35"/>
      <c r="W3525" s="35"/>
      <c r="X3525" s="35"/>
    </row>
    <row r="3526" spans="4:24" x14ac:dyDescent="0.3">
      <c r="D3526" s="23">
        <v>44697</v>
      </c>
      <c r="E3526" s="5">
        <v>387.80853300000001</v>
      </c>
      <c r="F3526" s="28">
        <v>71.607590000000002</v>
      </c>
      <c r="G3526" s="28">
        <v>170.4</v>
      </c>
      <c r="H3526" s="28">
        <v>294.1986</v>
      </c>
      <c r="I3526" s="28">
        <v>193.55459999999999</v>
      </c>
      <c r="J3526" s="29"/>
      <c r="K3526" s="29"/>
      <c r="L3526" s="29"/>
      <c r="M3526" s="29"/>
      <c r="N3526" s="29"/>
      <c r="P3526" s="4">
        <f t="shared" si="222"/>
        <v>-4.0657058497061051E-3</v>
      </c>
      <c r="Q3526" s="4">
        <f t="shared" si="222"/>
        <v>1.5790116919826127E-3</v>
      </c>
      <c r="R3526" s="4">
        <f t="shared" si="222"/>
        <v>9.4932756943790827E-3</v>
      </c>
      <c r="S3526" s="4">
        <f t="shared" si="222"/>
        <v>-1.1659218522115128E-2</v>
      </c>
      <c r="T3526" s="4">
        <f t="shared" si="222"/>
        <v>-4.940383869741884E-3</v>
      </c>
      <c r="U3526" s="35"/>
      <c r="V3526" s="35"/>
      <c r="W3526" s="35"/>
      <c r="X3526" s="35"/>
    </row>
    <row r="3527" spans="4:24" x14ac:dyDescent="0.3">
      <c r="D3527" s="23">
        <v>44698</v>
      </c>
      <c r="E3527" s="5">
        <v>395.785889</v>
      </c>
      <c r="F3527" s="28">
        <v>71.183930000000004</v>
      </c>
      <c r="G3527" s="28">
        <v>169.33</v>
      </c>
      <c r="H3527" s="28">
        <v>301.81869999999998</v>
      </c>
      <c r="I3527" s="28">
        <v>197.68889999999999</v>
      </c>
      <c r="J3527" s="29"/>
      <c r="K3527" s="29"/>
      <c r="L3527" s="29"/>
      <c r="M3527" s="29"/>
      <c r="N3527" s="29"/>
      <c r="P3527" s="4">
        <f t="shared" si="222"/>
        <v>2.0361634511973554E-2</v>
      </c>
      <c r="Q3527" s="4">
        <f t="shared" si="222"/>
        <v>-5.9339832388432675E-3</v>
      </c>
      <c r="R3527" s="4">
        <f t="shared" si="222"/>
        <v>-6.2991407179661474E-3</v>
      </c>
      <c r="S3527" s="4">
        <f t="shared" si="222"/>
        <v>2.5571456489718002E-2</v>
      </c>
      <c r="T3527" s="4">
        <f t="shared" si="222"/>
        <v>2.1134939715226352E-2</v>
      </c>
      <c r="U3527" s="35"/>
      <c r="V3527" s="35"/>
      <c r="W3527" s="35"/>
      <c r="X3527" s="35"/>
    </row>
    <row r="3528" spans="4:24" x14ac:dyDescent="0.3">
      <c r="D3528" s="23">
        <v>44699</v>
      </c>
      <c r="E3528" s="5">
        <v>379.83114599999999</v>
      </c>
      <c r="F3528" s="28">
        <v>71.485209999999995</v>
      </c>
      <c r="G3528" s="28">
        <v>169.42</v>
      </c>
      <c r="H3528" s="28">
        <v>287.00240000000002</v>
      </c>
      <c r="I3528" s="28">
        <v>189.9529</v>
      </c>
      <c r="J3528" s="29"/>
      <c r="K3528" s="29"/>
      <c r="L3528" s="29"/>
      <c r="M3528" s="29"/>
      <c r="N3528" s="29"/>
      <c r="P3528" s="4">
        <f t="shared" si="222"/>
        <v>-4.1146579353590923E-2</v>
      </c>
      <c r="Q3528" s="4">
        <f t="shared" si="222"/>
        <v>4.2234844598920372E-3</v>
      </c>
      <c r="R3528" s="4">
        <f t="shared" si="222"/>
        <v>5.3136532615543123E-4</v>
      </c>
      <c r="S3528" s="4">
        <f t="shared" si="222"/>
        <v>-5.0335927884164945E-2</v>
      </c>
      <c r="T3528" s="4">
        <f t="shared" si="222"/>
        <v>-3.9918436232413271E-2</v>
      </c>
      <c r="U3528" s="35"/>
      <c r="V3528" s="35"/>
      <c r="W3528" s="35"/>
      <c r="X3528" s="35"/>
    </row>
    <row r="3529" spans="4:24" x14ac:dyDescent="0.3">
      <c r="D3529" s="23">
        <v>44700</v>
      </c>
      <c r="E3529" s="5">
        <v>377.50479100000001</v>
      </c>
      <c r="F3529" s="28">
        <v>71.635800000000003</v>
      </c>
      <c r="G3529" s="28">
        <v>171.91</v>
      </c>
      <c r="H3529" s="28">
        <v>285.46449999999999</v>
      </c>
      <c r="I3529" s="28">
        <v>189.11060000000001</v>
      </c>
      <c r="J3529" s="29"/>
      <c r="K3529" s="29"/>
      <c r="L3529" s="29"/>
      <c r="M3529" s="29"/>
      <c r="N3529" s="29"/>
      <c r="P3529" s="4">
        <f t="shared" si="222"/>
        <v>-6.1435413356935187E-3</v>
      </c>
      <c r="Q3529" s="4">
        <f t="shared" si="222"/>
        <v>2.1043738522052687E-3</v>
      </c>
      <c r="R3529" s="4">
        <f t="shared" si="222"/>
        <v>1.4590245049997294E-2</v>
      </c>
      <c r="S3529" s="4">
        <f t="shared" si="222"/>
        <v>-5.3728999866367554E-3</v>
      </c>
      <c r="T3529" s="4">
        <f t="shared" si="222"/>
        <v>-4.444117601919856E-3</v>
      </c>
      <c r="U3529" s="35"/>
      <c r="V3529" s="35"/>
      <c r="W3529" s="35"/>
      <c r="X3529" s="35"/>
    </row>
    <row r="3530" spans="4:24" x14ac:dyDescent="0.3">
      <c r="D3530" s="23">
        <v>44701</v>
      </c>
      <c r="E3530" s="5">
        <v>377.66961700000002</v>
      </c>
      <c r="F3530" s="28">
        <v>71.852360000000004</v>
      </c>
      <c r="G3530" s="28">
        <v>172.03</v>
      </c>
      <c r="H3530" s="28">
        <v>284.57729999999998</v>
      </c>
      <c r="I3530" s="28">
        <v>189.11060000000001</v>
      </c>
      <c r="J3530" s="29"/>
      <c r="K3530" s="29"/>
      <c r="L3530" s="29"/>
      <c r="M3530" s="29"/>
      <c r="N3530" s="29"/>
      <c r="P3530" s="4">
        <f t="shared" si="222"/>
        <v>4.3652433364069372E-4</v>
      </c>
      <c r="Q3530" s="4">
        <f t="shared" si="222"/>
        <v>3.0185091847347001E-3</v>
      </c>
      <c r="R3530" s="4">
        <f t="shared" si="222"/>
        <v>6.9779615554574077E-4</v>
      </c>
      <c r="S3530" s="4">
        <f t="shared" si="222"/>
        <v>-3.1127567008551586E-3</v>
      </c>
      <c r="T3530" s="4">
        <f t="shared" si="222"/>
        <v>0</v>
      </c>
      <c r="U3530" s="35"/>
      <c r="V3530" s="35"/>
      <c r="W3530" s="35"/>
      <c r="X3530" s="35"/>
    </row>
    <row r="3531" spans="4:24" x14ac:dyDescent="0.3">
      <c r="D3531" s="23">
        <v>44704</v>
      </c>
      <c r="E3531" s="5">
        <v>384.73580900000002</v>
      </c>
      <c r="F3531" s="28">
        <v>71.598179999999999</v>
      </c>
      <c r="G3531" s="28">
        <v>172.83</v>
      </c>
      <c r="H3531" s="28">
        <v>289.3091</v>
      </c>
      <c r="I3531" s="28">
        <v>192.34440000000001</v>
      </c>
      <c r="J3531" s="29"/>
      <c r="K3531" s="29"/>
      <c r="L3531" s="29"/>
      <c r="M3531" s="29"/>
      <c r="N3531" s="29"/>
      <c r="P3531" s="4">
        <f t="shared" si="222"/>
        <v>1.8537104015146785E-2</v>
      </c>
      <c r="Q3531" s="4">
        <f t="shared" si="222"/>
        <v>-3.5438035438671877E-3</v>
      </c>
      <c r="R3531" s="4">
        <f t="shared" si="222"/>
        <v>4.6395722034535628E-3</v>
      </c>
      <c r="S3531" s="4">
        <f t="shared" si="222"/>
        <v>1.6490745317659254E-2</v>
      </c>
      <c r="T3531" s="4">
        <f t="shared" si="222"/>
        <v>1.6955486088741013E-2</v>
      </c>
      <c r="U3531" s="35"/>
      <c r="V3531" s="35"/>
      <c r="W3531" s="35"/>
      <c r="X3531" s="35"/>
    </row>
    <row r="3532" spans="4:24" x14ac:dyDescent="0.3">
      <c r="D3532" s="23">
        <v>44705</v>
      </c>
      <c r="E3532" s="5">
        <v>381.79882800000001</v>
      </c>
      <c r="F3532" s="28">
        <v>72.18186</v>
      </c>
      <c r="G3532" s="28">
        <v>174.13</v>
      </c>
      <c r="H3532" s="28">
        <v>283.15769999999998</v>
      </c>
      <c r="I3532" s="28">
        <v>190.41759999999999</v>
      </c>
      <c r="J3532" s="29"/>
      <c r="K3532" s="29"/>
      <c r="L3532" s="29"/>
      <c r="M3532" s="29"/>
      <c r="N3532" s="29"/>
      <c r="P3532" s="4">
        <f t="shared" si="222"/>
        <v>-7.6630467311087653E-3</v>
      </c>
      <c r="Q3532" s="4">
        <f t="shared" si="222"/>
        <v>8.1191131445670188E-3</v>
      </c>
      <c r="R3532" s="4">
        <f t="shared" si="222"/>
        <v>7.4936942788897442E-3</v>
      </c>
      <c r="S3532" s="4">
        <f t="shared" si="222"/>
        <v>-2.149168046735124E-2</v>
      </c>
      <c r="T3532" s="4">
        <f t="shared" si="222"/>
        <v>-1.0067960119465199E-2</v>
      </c>
      <c r="U3532" s="35"/>
      <c r="V3532" s="35"/>
      <c r="W3532" s="35"/>
      <c r="X3532" s="35"/>
    </row>
    <row r="3533" spans="4:24" x14ac:dyDescent="0.3">
      <c r="D3533" s="23">
        <v>44706</v>
      </c>
      <c r="E3533" s="5">
        <v>385.17202800000001</v>
      </c>
      <c r="F3533" s="28">
        <v>72.47372</v>
      </c>
      <c r="G3533" s="28">
        <v>173.08</v>
      </c>
      <c r="H3533" s="28">
        <v>287.12060000000002</v>
      </c>
      <c r="I3533" s="28">
        <v>192.53800000000001</v>
      </c>
      <c r="J3533" s="29"/>
      <c r="K3533" s="29"/>
      <c r="L3533" s="29"/>
      <c r="M3533" s="29"/>
      <c r="N3533" s="29"/>
      <c r="P3533" s="4">
        <f t="shared" si="222"/>
        <v>8.7962188478599539E-3</v>
      </c>
      <c r="Q3533" s="4">
        <f t="shared" si="222"/>
        <v>4.0352455955674944E-3</v>
      </c>
      <c r="R3533" s="4">
        <f t="shared" si="222"/>
        <v>-6.0482313346071695E-3</v>
      </c>
      <c r="S3533" s="4">
        <f t="shared" si="222"/>
        <v>1.3898350298941878E-2</v>
      </c>
      <c r="T3533" s="4">
        <f t="shared" si="222"/>
        <v>1.1073981783891755E-2</v>
      </c>
      <c r="U3533" s="35"/>
      <c r="V3533" s="35"/>
      <c r="W3533" s="35"/>
      <c r="X3533" s="35"/>
    </row>
    <row r="3534" spans="4:24" x14ac:dyDescent="0.3">
      <c r="D3534" s="23">
        <v>44707</v>
      </c>
      <c r="E3534" s="5">
        <v>392.86825599999997</v>
      </c>
      <c r="F3534" s="28">
        <v>72.398390000000006</v>
      </c>
      <c r="G3534" s="28">
        <v>172.76</v>
      </c>
      <c r="H3534" s="28">
        <v>295.07589999999999</v>
      </c>
      <c r="I3534" s="28">
        <v>196.4786</v>
      </c>
      <c r="J3534" s="29"/>
      <c r="K3534" s="29"/>
      <c r="L3534" s="29"/>
      <c r="M3534" s="29"/>
      <c r="N3534" s="29"/>
      <c r="P3534" s="4">
        <f t="shared" si="222"/>
        <v>1.9784268740394143E-2</v>
      </c>
      <c r="Q3534" s="4">
        <f t="shared" si="222"/>
        <v>-1.0399518139013345E-3</v>
      </c>
      <c r="R3534" s="4">
        <f t="shared" si="222"/>
        <v>-1.8505672641838283E-3</v>
      </c>
      <c r="S3534" s="4">
        <f t="shared" si="222"/>
        <v>2.7330274826743779E-2</v>
      </c>
      <c r="T3534" s="4">
        <f t="shared" si="222"/>
        <v>2.0259982682313188E-2</v>
      </c>
      <c r="U3534" s="35"/>
      <c r="V3534" s="35"/>
      <c r="W3534" s="35"/>
      <c r="X3534" s="35"/>
    </row>
    <row r="3535" spans="4:24" x14ac:dyDescent="0.3">
      <c r="D3535" s="23">
        <v>44708</v>
      </c>
      <c r="E3535" s="5">
        <v>402.51284800000002</v>
      </c>
      <c r="F3535" s="28">
        <v>72.605540000000005</v>
      </c>
      <c r="G3535" s="28">
        <v>172.85</v>
      </c>
      <c r="H3535" s="28">
        <v>304.70699999999999</v>
      </c>
      <c r="I3535" s="28">
        <v>201.45519999999999</v>
      </c>
      <c r="J3535" s="29"/>
      <c r="K3535" s="29"/>
      <c r="L3535" s="29"/>
      <c r="M3535" s="29"/>
      <c r="N3535" s="29"/>
      <c r="P3535" s="4">
        <f t="shared" si="222"/>
        <v>2.4252687640858587E-2</v>
      </c>
      <c r="Q3535" s="4">
        <f t="shared" si="222"/>
        <v>2.8571658839951714E-3</v>
      </c>
      <c r="R3535" s="4">
        <f t="shared" si="222"/>
        <v>5.2081827513327959E-4</v>
      </c>
      <c r="S3535" s="4">
        <f t="shared" si="222"/>
        <v>3.2118047761756918E-2</v>
      </c>
      <c r="T3535" s="4">
        <f t="shared" si="222"/>
        <v>2.501350463477282E-2</v>
      </c>
      <c r="U3535" s="35"/>
      <c r="V3535" s="35"/>
      <c r="W3535" s="35"/>
      <c r="X3535" s="35"/>
    </row>
    <row r="3536" spans="4:24" x14ac:dyDescent="0.3">
      <c r="D3536" s="23">
        <v>44712</v>
      </c>
      <c r="E3536" s="5">
        <v>400.25436400000001</v>
      </c>
      <c r="F3536" s="28">
        <v>72.191289999999995</v>
      </c>
      <c r="G3536" s="28">
        <v>171.14</v>
      </c>
      <c r="H3536" s="28">
        <v>303.89870000000002</v>
      </c>
      <c r="I3536" s="28">
        <v>199.7996</v>
      </c>
      <c r="J3536" s="29"/>
      <c r="K3536" s="29"/>
      <c r="L3536" s="29"/>
      <c r="M3536" s="29"/>
      <c r="N3536" s="29"/>
      <c r="P3536" s="4">
        <f t="shared" si="222"/>
        <v>-5.6267618431704372E-3</v>
      </c>
      <c r="Q3536" s="4">
        <f t="shared" si="222"/>
        <v>-5.7218259569224474E-3</v>
      </c>
      <c r="R3536" s="4">
        <f t="shared" si="222"/>
        <v>-9.9422313777248004E-3</v>
      </c>
      <c r="S3536" s="4">
        <f t="shared" si="222"/>
        <v>-2.656236953590828E-3</v>
      </c>
      <c r="T3536" s="4">
        <f t="shared" si="222"/>
        <v>-8.2521599505513184E-3</v>
      </c>
      <c r="U3536" s="35"/>
      <c r="V3536" s="35"/>
      <c r="W3536" s="35"/>
      <c r="X3536" s="35"/>
    </row>
    <row r="3537" spans="4:24" x14ac:dyDescent="0.3">
      <c r="D3537" s="23">
        <v>44713</v>
      </c>
      <c r="E3537" s="5">
        <v>397.016907</v>
      </c>
      <c r="F3537" s="28">
        <v>71.868669999999995</v>
      </c>
      <c r="G3537" s="28">
        <v>172.23</v>
      </c>
      <c r="H3537" s="28">
        <v>301.65109999999999</v>
      </c>
      <c r="I3537" s="28">
        <v>198.4828</v>
      </c>
      <c r="J3537" s="29"/>
      <c r="K3537" s="29"/>
      <c r="L3537" s="29"/>
      <c r="M3537" s="29"/>
      <c r="N3537" s="29"/>
      <c r="P3537" s="4">
        <f t="shared" si="222"/>
        <v>-8.1213883207365729E-3</v>
      </c>
      <c r="Q3537" s="4">
        <f t="shared" si="222"/>
        <v>-4.4789758284792111E-3</v>
      </c>
      <c r="R3537" s="4">
        <f t="shared" si="222"/>
        <v>6.3488578577463213E-3</v>
      </c>
      <c r="S3537" s="4">
        <f t="shared" si="222"/>
        <v>-7.4233707002310471E-3</v>
      </c>
      <c r="T3537" s="4">
        <f t="shared" si="222"/>
        <v>-6.6124177115746384E-3</v>
      </c>
      <c r="U3537" s="35"/>
      <c r="V3537" s="35"/>
      <c r="W3537" s="35"/>
      <c r="X3537" s="35"/>
    </row>
    <row r="3538" spans="4:24" x14ac:dyDescent="0.3">
      <c r="D3538" s="23">
        <v>44714</v>
      </c>
      <c r="E3538" s="5">
        <v>404.57745399999999</v>
      </c>
      <c r="F3538" s="28">
        <v>71.934719999999999</v>
      </c>
      <c r="G3538" s="28">
        <v>174.35</v>
      </c>
      <c r="H3538" s="28">
        <v>309.91199999999998</v>
      </c>
      <c r="I3538" s="28">
        <v>202.5299</v>
      </c>
      <c r="J3538" s="29"/>
      <c r="K3538" s="29"/>
      <c r="L3538" s="29"/>
      <c r="M3538" s="29"/>
      <c r="N3538" s="29"/>
      <c r="P3538" s="4">
        <f t="shared" si="222"/>
        <v>1.8864332326816755E-2</v>
      </c>
      <c r="Q3538" s="4">
        <f t="shared" si="222"/>
        <v>9.1861540461216041E-4</v>
      </c>
      <c r="R3538" s="4">
        <f t="shared" si="222"/>
        <v>1.2233980274004956E-2</v>
      </c>
      <c r="S3538" s="4">
        <f t="shared" si="222"/>
        <v>2.7017334722028254E-2</v>
      </c>
      <c r="T3538" s="4">
        <f t="shared" si="222"/>
        <v>2.0185083468882637E-2</v>
      </c>
      <c r="U3538" s="35"/>
      <c r="V3538" s="35"/>
      <c r="W3538" s="35"/>
      <c r="X3538" s="35"/>
    </row>
    <row r="3539" spans="4:24" x14ac:dyDescent="0.3">
      <c r="D3539" s="23">
        <v>44715</v>
      </c>
      <c r="E3539" s="5">
        <v>397.93771400000003</v>
      </c>
      <c r="F3539" s="28">
        <v>71.830950000000001</v>
      </c>
      <c r="G3539" s="28">
        <v>172.58</v>
      </c>
      <c r="H3539" s="28">
        <v>301.84829999999999</v>
      </c>
      <c r="I3539" s="28">
        <v>199.2961</v>
      </c>
      <c r="J3539" s="29"/>
      <c r="K3539" s="29"/>
      <c r="L3539" s="29"/>
      <c r="M3539" s="29"/>
      <c r="N3539" s="29"/>
      <c r="P3539" s="4">
        <f t="shared" si="222"/>
        <v>-1.6547703458982974E-2</v>
      </c>
      <c r="Q3539" s="4">
        <f t="shared" si="222"/>
        <v>-1.4435994075805074E-3</v>
      </c>
      <c r="R3539" s="4">
        <f t="shared" si="222"/>
        <v>-1.0203876041498559E-2</v>
      </c>
      <c r="S3539" s="4">
        <f t="shared" si="222"/>
        <v>-2.6363812922276617E-2</v>
      </c>
      <c r="T3539" s="4">
        <f t="shared" si="222"/>
        <v>-1.6095871430185524E-2</v>
      </c>
      <c r="U3539" s="35"/>
      <c r="V3539" s="35"/>
      <c r="W3539" s="35"/>
      <c r="X3539" s="35"/>
    </row>
    <row r="3540" spans="4:24" x14ac:dyDescent="0.3">
      <c r="D3540" s="23">
        <v>44718</v>
      </c>
      <c r="E3540" s="5">
        <v>399.14935300000002</v>
      </c>
      <c r="F3540" s="28">
        <v>71.406459999999996</v>
      </c>
      <c r="G3540" s="28">
        <v>171.82</v>
      </c>
      <c r="H3540" s="28">
        <v>302.85379999999998</v>
      </c>
      <c r="I3540" s="28">
        <v>199.88669999999999</v>
      </c>
      <c r="J3540" s="29"/>
      <c r="K3540" s="29"/>
      <c r="L3540" s="29"/>
      <c r="M3540" s="29"/>
      <c r="N3540" s="29"/>
      <c r="P3540" s="4">
        <f t="shared" si="222"/>
        <v>3.040169595996187E-3</v>
      </c>
      <c r="Q3540" s="4">
        <f t="shared" si="222"/>
        <v>-5.9271002276855139E-3</v>
      </c>
      <c r="R3540" s="4">
        <f t="shared" si="222"/>
        <v>-4.4134798702510853E-3</v>
      </c>
      <c r="S3540" s="4">
        <f t="shared" si="222"/>
        <v>3.3256075237959757E-3</v>
      </c>
      <c r="T3540" s="4">
        <f t="shared" si="222"/>
        <v>2.9590474887153345E-3</v>
      </c>
      <c r="U3540" s="35"/>
      <c r="V3540" s="35"/>
      <c r="W3540" s="35"/>
      <c r="X3540" s="35"/>
    </row>
    <row r="3541" spans="4:24" x14ac:dyDescent="0.3">
      <c r="D3541" s="23">
        <v>44719</v>
      </c>
      <c r="E3541" s="5">
        <v>402.97808800000001</v>
      </c>
      <c r="F3541" s="28">
        <v>71.651730000000001</v>
      </c>
      <c r="G3541" s="28">
        <v>172.94</v>
      </c>
      <c r="H3541" s="28">
        <v>305.46620000000001</v>
      </c>
      <c r="I3541" s="28">
        <v>202.05549999999999</v>
      </c>
      <c r="J3541" s="29"/>
      <c r="K3541" s="29"/>
      <c r="L3541" s="29"/>
      <c r="M3541" s="29"/>
      <c r="N3541" s="29"/>
      <c r="P3541" s="4">
        <f t="shared" ref="P3541:T3556" si="223">LN(E3541/E3540)</f>
        <v>9.5465231140370865E-3</v>
      </c>
      <c r="Q3541" s="4">
        <f t="shared" si="223"/>
        <v>3.4289576894352223E-3</v>
      </c>
      <c r="R3541" s="4">
        <f t="shared" si="223"/>
        <v>6.4972963223738408E-3</v>
      </c>
      <c r="S3541" s="4">
        <f t="shared" si="223"/>
        <v>8.5889533789302308E-3</v>
      </c>
      <c r="T3541" s="4">
        <f t="shared" si="223"/>
        <v>1.0791706112618062E-2</v>
      </c>
      <c r="U3541" s="35"/>
      <c r="V3541" s="35"/>
      <c r="W3541" s="35"/>
      <c r="X3541" s="35"/>
    </row>
    <row r="3542" spans="4:24" x14ac:dyDescent="0.3">
      <c r="D3542" s="23">
        <v>44720</v>
      </c>
      <c r="E3542" s="5">
        <v>398.59689300000002</v>
      </c>
      <c r="F3542" s="28">
        <v>71.359309999999994</v>
      </c>
      <c r="G3542" s="28">
        <v>172.78</v>
      </c>
      <c r="H3542" s="28">
        <v>303.2679</v>
      </c>
      <c r="I3542" s="28">
        <v>199.78989999999999</v>
      </c>
      <c r="J3542" s="29"/>
      <c r="K3542" s="29"/>
      <c r="L3542" s="29"/>
      <c r="M3542" s="29"/>
      <c r="N3542" s="29"/>
      <c r="P3542" s="4">
        <f t="shared" si="223"/>
        <v>-1.0931575293445336E-2</v>
      </c>
      <c r="Q3542" s="4">
        <f t="shared" si="223"/>
        <v>-4.0894801902314933E-3</v>
      </c>
      <c r="R3542" s="4">
        <f t="shared" si="223"/>
        <v>-9.2560460154604042E-4</v>
      </c>
      <c r="S3542" s="4">
        <f t="shared" si="223"/>
        <v>-7.222560905511051E-3</v>
      </c>
      <c r="T3542" s="4">
        <f t="shared" si="223"/>
        <v>-1.1276097752722742E-2</v>
      </c>
      <c r="U3542" s="35"/>
      <c r="V3542" s="35"/>
      <c r="W3542" s="35"/>
      <c r="X3542" s="35"/>
    </row>
    <row r="3543" spans="4:24" x14ac:dyDescent="0.3">
      <c r="D3543" s="23">
        <v>44721</v>
      </c>
      <c r="E3543" s="5">
        <v>389.11703499999999</v>
      </c>
      <c r="F3543" s="28">
        <v>71.264979999999994</v>
      </c>
      <c r="G3543" s="28">
        <v>172.23</v>
      </c>
      <c r="H3543" s="28">
        <v>295.14490000000001</v>
      </c>
      <c r="I3543" s="28">
        <v>195.0069</v>
      </c>
      <c r="J3543" s="29"/>
      <c r="K3543" s="29"/>
      <c r="L3543" s="29"/>
      <c r="M3543" s="29"/>
      <c r="N3543" s="29"/>
      <c r="P3543" s="4">
        <f t="shared" si="223"/>
        <v>-2.4070453415263184E-2</v>
      </c>
      <c r="Q3543" s="4">
        <f t="shared" si="223"/>
        <v>-1.3227762782116361E-3</v>
      </c>
      <c r="R3543" s="4">
        <f t="shared" si="223"/>
        <v>-3.1883160830830409E-3</v>
      </c>
      <c r="S3543" s="4">
        <f t="shared" si="223"/>
        <v>-2.7150151099473288E-2</v>
      </c>
      <c r="T3543" s="4">
        <f t="shared" si="223"/>
        <v>-2.4231371833069757E-2</v>
      </c>
      <c r="U3543" s="35"/>
      <c r="V3543" s="35"/>
      <c r="W3543" s="35"/>
      <c r="X3543" s="35"/>
    </row>
    <row r="3544" spans="4:24" x14ac:dyDescent="0.3">
      <c r="D3544" s="23">
        <v>44722</v>
      </c>
      <c r="E3544" s="5">
        <v>377.83438100000001</v>
      </c>
      <c r="F3544" s="28">
        <v>70.661289999999994</v>
      </c>
      <c r="G3544" s="28">
        <v>174.54</v>
      </c>
      <c r="H3544" s="28">
        <v>284.73500000000001</v>
      </c>
      <c r="I3544" s="28">
        <v>189.21709999999999</v>
      </c>
      <c r="J3544" s="29"/>
      <c r="K3544" s="29"/>
      <c r="L3544" s="29"/>
      <c r="M3544" s="29"/>
      <c r="N3544" s="29"/>
      <c r="P3544" s="4">
        <f t="shared" si="223"/>
        <v>-2.9424205448160563E-2</v>
      </c>
      <c r="Q3544" s="4">
        <f t="shared" si="223"/>
        <v>-8.5071444606441143E-3</v>
      </c>
      <c r="R3544" s="4">
        <f t="shared" si="223"/>
        <v>1.3323148887510237E-2</v>
      </c>
      <c r="S3544" s="4">
        <f t="shared" si="223"/>
        <v>-3.5907499035690169E-2</v>
      </c>
      <c r="T3544" s="4">
        <f t="shared" si="223"/>
        <v>-3.0139909469725779E-2</v>
      </c>
      <c r="U3544" s="35"/>
      <c r="V3544" s="35"/>
      <c r="W3544" s="35"/>
      <c r="X3544" s="35"/>
    </row>
    <row r="3545" spans="4:24" x14ac:dyDescent="0.3">
      <c r="D3545" s="23">
        <v>44725</v>
      </c>
      <c r="E3545" s="5">
        <v>363.48864700000001</v>
      </c>
      <c r="F3545" s="28">
        <v>69.519890000000004</v>
      </c>
      <c r="G3545" s="28">
        <v>169.93</v>
      </c>
      <c r="H3545" s="28">
        <v>271.49590000000001</v>
      </c>
      <c r="I3545" s="28">
        <v>181.49080000000001</v>
      </c>
      <c r="J3545" s="29"/>
      <c r="K3545" s="29"/>
      <c r="L3545" s="29"/>
      <c r="M3545" s="29"/>
      <c r="N3545" s="29"/>
      <c r="P3545" s="4">
        <f t="shared" si="223"/>
        <v>-3.8707890079497827E-2</v>
      </c>
      <c r="Q3545" s="4">
        <f t="shared" si="223"/>
        <v>-1.6284999526235213E-2</v>
      </c>
      <c r="R3545" s="4">
        <f t="shared" si="223"/>
        <v>-2.6767354189151035E-2</v>
      </c>
      <c r="S3545" s="4">
        <f t="shared" si="223"/>
        <v>-4.7611885181405134E-2</v>
      </c>
      <c r="T3545" s="4">
        <f t="shared" si="223"/>
        <v>-4.1690069368429415E-2</v>
      </c>
      <c r="U3545" s="35"/>
      <c r="V3545" s="35"/>
      <c r="W3545" s="35"/>
      <c r="X3545" s="35"/>
    </row>
    <row r="3546" spans="4:24" x14ac:dyDescent="0.3">
      <c r="D3546" s="23">
        <v>44726</v>
      </c>
      <c r="E3546" s="5">
        <v>362.393372</v>
      </c>
      <c r="F3546" s="28">
        <v>69.142589999999998</v>
      </c>
      <c r="G3546" s="28">
        <v>168.57</v>
      </c>
      <c r="H3546" s="28">
        <v>271.98869999999999</v>
      </c>
      <c r="I3546" s="28">
        <v>180.9776</v>
      </c>
      <c r="J3546" s="29"/>
      <c r="K3546" s="29"/>
      <c r="L3546" s="29"/>
      <c r="M3546" s="29"/>
      <c r="N3546" s="29"/>
      <c r="P3546" s="4">
        <f t="shared" si="223"/>
        <v>-3.0177792053051123E-3</v>
      </c>
      <c r="Q3546" s="4">
        <f t="shared" si="223"/>
        <v>-5.442004659912977E-3</v>
      </c>
      <c r="R3546" s="4">
        <f t="shared" si="223"/>
        <v>-8.0354937537977251E-3</v>
      </c>
      <c r="S3546" s="4">
        <f t="shared" si="223"/>
        <v>1.8134833445394086E-3</v>
      </c>
      <c r="T3546" s="4">
        <f t="shared" si="223"/>
        <v>-2.8316970137249333E-3</v>
      </c>
      <c r="U3546" s="35"/>
      <c r="V3546" s="35"/>
      <c r="W3546" s="35"/>
      <c r="X3546" s="35"/>
    </row>
    <row r="3547" spans="4:24" x14ac:dyDescent="0.3">
      <c r="D3547" s="23">
        <v>44727</v>
      </c>
      <c r="E3547" s="5">
        <v>367.55978399999998</v>
      </c>
      <c r="F3547" s="28">
        <v>69.934939999999997</v>
      </c>
      <c r="G3547" s="28">
        <v>170.77</v>
      </c>
      <c r="H3547" s="28">
        <v>278.78089999999997</v>
      </c>
      <c r="I3547" s="28">
        <v>183.61109999999999</v>
      </c>
      <c r="J3547" s="29"/>
      <c r="K3547" s="29"/>
      <c r="L3547" s="29"/>
      <c r="M3547" s="29"/>
      <c r="N3547" s="29"/>
      <c r="P3547" s="4">
        <f t="shared" si="223"/>
        <v>1.4155698155001586E-2</v>
      </c>
      <c r="Q3547" s="4">
        <f t="shared" si="223"/>
        <v>1.1394487273893033E-2</v>
      </c>
      <c r="R3547" s="4">
        <f t="shared" si="223"/>
        <v>1.2966528106931129E-2</v>
      </c>
      <c r="S3547" s="4">
        <f t="shared" si="223"/>
        <v>2.4665647333265268E-2</v>
      </c>
      <c r="T3547" s="4">
        <f t="shared" si="223"/>
        <v>1.4446667174017346E-2</v>
      </c>
      <c r="U3547" s="35"/>
      <c r="V3547" s="35"/>
      <c r="W3547" s="35"/>
      <c r="X3547" s="35"/>
    </row>
    <row r="3548" spans="4:24" x14ac:dyDescent="0.3">
      <c r="D3548" s="23">
        <v>44728</v>
      </c>
      <c r="E3548" s="5">
        <v>355.39498900000001</v>
      </c>
      <c r="F3548" s="28">
        <v>70.085890000000006</v>
      </c>
      <c r="G3548" s="28">
        <v>172.69</v>
      </c>
      <c r="H3548" s="28">
        <v>267.53309999999999</v>
      </c>
      <c r="I3548" s="28">
        <v>177.20160000000001</v>
      </c>
      <c r="J3548" s="29"/>
      <c r="K3548" s="29"/>
      <c r="L3548" s="29"/>
      <c r="M3548" s="29"/>
      <c r="N3548" s="29"/>
      <c r="P3548" s="4">
        <f t="shared" si="223"/>
        <v>-3.3656166958280831E-2</v>
      </c>
      <c r="Q3548" s="4">
        <f t="shared" si="223"/>
        <v>2.156108608670482E-3</v>
      </c>
      <c r="R3548" s="4">
        <f t="shared" si="223"/>
        <v>1.1180457697430927E-2</v>
      </c>
      <c r="S3548" s="4">
        <f t="shared" si="223"/>
        <v>-4.1182871649770726E-2</v>
      </c>
      <c r="T3548" s="4">
        <f t="shared" si="223"/>
        <v>-3.5531866399659093E-2</v>
      </c>
      <c r="U3548" s="35"/>
      <c r="V3548" s="35"/>
      <c r="W3548" s="35"/>
      <c r="X3548" s="35"/>
    </row>
    <row r="3549" spans="4:24" x14ac:dyDescent="0.3">
      <c r="D3549" s="23">
        <v>44729</v>
      </c>
      <c r="E3549" s="5">
        <v>356.16113300000001</v>
      </c>
      <c r="F3549" s="28">
        <v>70.123630000000006</v>
      </c>
      <c r="G3549" s="28">
        <v>171.27</v>
      </c>
      <c r="H3549" s="28">
        <v>270.78609999999998</v>
      </c>
      <c r="I3549" s="28">
        <v>177.86969999999999</v>
      </c>
      <c r="J3549" s="29"/>
      <c r="K3549" s="29"/>
      <c r="L3549" s="29"/>
      <c r="M3549" s="29"/>
      <c r="N3549" s="29"/>
      <c r="P3549" s="4">
        <f t="shared" si="223"/>
        <v>2.1534332215844658E-3</v>
      </c>
      <c r="Q3549" s="4">
        <f t="shared" si="223"/>
        <v>5.3833721007585196E-4</v>
      </c>
      <c r="R3549" s="4">
        <f t="shared" si="223"/>
        <v>-8.256820952301059E-3</v>
      </c>
      <c r="S3549" s="4">
        <f t="shared" si="223"/>
        <v>1.2085913327470279E-2</v>
      </c>
      <c r="T3549" s="4">
        <f t="shared" si="223"/>
        <v>3.763192285311657E-3</v>
      </c>
      <c r="U3549" s="35"/>
      <c r="V3549" s="35"/>
      <c r="W3549" s="35"/>
      <c r="X3549" s="35"/>
    </row>
    <row r="3550" spans="4:24" x14ac:dyDescent="0.3">
      <c r="D3550" s="23">
        <v>44733</v>
      </c>
      <c r="E3550" s="5">
        <v>365.12695300000001</v>
      </c>
      <c r="F3550" s="28">
        <v>69.802909999999997</v>
      </c>
      <c r="G3550" s="28">
        <v>170.63</v>
      </c>
      <c r="H3550" s="28">
        <v>277.61790000000002</v>
      </c>
      <c r="I3550" s="28">
        <v>182.1782</v>
      </c>
      <c r="J3550" s="29"/>
      <c r="K3550" s="29"/>
      <c r="L3550" s="29"/>
      <c r="M3550" s="29"/>
      <c r="N3550" s="29"/>
      <c r="P3550" s="4">
        <f t="shared" si="223"/>
        <v>2.4861860310075048E-2</v>
      </c>
      <c r="Q3550" s="4">
        <f t="shared" si="223"/>
        <v>-4.5841276664174598E-3</v>
      </c>
      <c r="R3550" s="4">
        <f t="shared" si="223"/>
        <v>-3.7437891051040175E-3</v>
      </c>
      <c r="S3550" s="4">
        <f t="shared" si="223"/>
        <v>2.4916497495498981E-2</v>
      </c>
      <c r="T3550" s="4">
        <f t="shared" si="223"/>
        <v>2.3934069168825393E-2</v>
      </c>
      <c r="U3550" s="35"/>
      <c r="V3550" s="35"/>
      <c r="W3550" s="35"/>
      <c r="X3550" s="35"/>
    </row>
    <row r="3551" spans="4:24" x14ac:dyDescent="0.3">
      <c r="D3551" s="23">
        <v>44734</v>
      </c>
      <c r="E3551" s="5">
        <v>364.465057</v>
      </c>
      <c r="F3551" s="28">
        <v>70.378290000000007</v>
      </c>
      <c r="G3551" s="28">
        <v>171.31</v>
      </c>
      <c r="H3551" s="28">
        <v>277.21300000000002</v>
      </c>
      <c r="I3551" s="28">
        <v>182.1491</v>
      </c>
      <c r="J3551" s="29"/>
      <c r="K3551" s="29"/>
      <c r="L3551" s="29"/>
      <c r="M3551" s="29"/>
      <c r="N3551" s="29"/>
      <c r="P3551" s="4">
        <f t="shared" si="223"/>
        <v>-1.8144282626899604E-3</v>
      </c>
      <c r="Q3551" s="4">
        <f t="shared" si="223"/>
        <v>8.2091354793657218E-3</v>
      </c>
      <c r="R3551" s="4">
        <f t="shared" si="223"/>
        <v>3.9773112031936666E-3</v>
      </c>
      <c r="S3551" s="4">
        <f t="shared" si="223"/>
        <v>-1.4595440588431683E-3</v>
      </c>
      <c r="T3551" s="4">
        <f t="shared" si="223"/>
        <v>-1.5974647006625908E-4</v>
      </c>
      <c r="U3551" s="35"/>
      <c r="V3551" s="35"/>
      <c r="W3551" s="35"/>
      <c r="X3551" s="35"/>
    </row>
    <row r="3552" spans="4:24" x14ac:dyDescent="0.3">
      <c r="D3552" s="23">
        <v>44735</v>
      </c>
      <c r="E3552" s="5">
        <v>368.03775000000002</v>
      </c>
      <c r="F3552" s="28">
        <v>70.717870000000005</v>
      </c>
      <c r="G3552" s="28">
        <v>170.26</v>
      </c>
      <c r="H3552" s="28">
        <v>281.3415</v>
      </c>
      <c r="I3552" s="28">
        <v>183.80070000000001</v>
      </c>
      <c r="J3552" s="29"/>
      <c r="K3552" s="29"/>
      <c r="L3552" s="29"/>
      <c r="M3552" s="29"/>
      <c r="N3552" s="29"/>
      <c r="P3552" s="4">
        <f t="shared" si="223"/>
        <v>9.7548331455031036E-3</v>
      </c>
      <c r="Q3552" s="4">
        <f t="shared" si="223"/>
        <v>4.8134641744496959E-3</v>
      </c>
      <c r="R3552" s="4">
        <f t="shared" si="223"/>
        <v>-6.1481002864562E-3</v>
      </c>
      <c r="S3552" s="4">
        <f t="shared" si="223"/>
        <v>1.4783070179559189E-2</v>
      </c>
      <c r="T3552" s="4">
        <f t="shared" si="223"/>
        <v>9.0264359421612719E-3</v>
      </c>
      <c r="U3552" s="35"/>
      <c r="V3552" s="35"/>
      <c r="W3552" s="35"/>
      <c r="X3552" s="35"/>
    </row>
    <row r="3553" spans="4:24" x14ac:dyDescent="0.3">
      <c r="D3553" s="23">
        <v>44736</v>
      </c>
      <c r="E3553" s="5">
        <v>379.73904399999998</v>
      </c>
      <c r="F3553" s="28">
        <v>70.585819999999998</v>
      </c>
      <c r="G3553" s="28">
        <v>170.09</v>
      </c>
      <c r="H3553" s="28">
        <v>290.9812</v>
      </c>
      <c r="I3553" s="28">
        <v>189.74010000000001</v>
      </c>
      <c r="J3553" s="29"/>
      <c r="K3553" s="29"/>
      <c r="L3553" s="29"/>
      <c r="M3553" s="29"/>
      <c r="N3553" s="29"/>
      <c r="P3553" s="4">
        <f t="shared" si="223"/>
        <v>3.1298776070572562E-2</v>
      </c>
      <c r="Q3553" s="4">
        <f t="shared" si="223"/>
        <v>-1.8690246297225666E-3</v>
      </c>
      <c r="R3553" s="4">
        <f t="shared" si="223"/>
        <v>-9.9897172991054561E-4</v>
      </c>
      <c r="S3553" s="4">
        <f t="shared" si="223"/>
        <v>3.3689426330965742E-2</v>
      </c>
      <c r="T3553" s="4">
        <f t="shared" si="223"/>
        <v>3.1803222599769206E-2</v>
      </c>
      <c r="U3553" s="35"/>
      <c r="V3553" s="35"/>
      <c r="W3553" s="35"/>
      <c r="X3553" s="35"/>
    </row>
    <row r="3554" spans="4:24" x14ac:dyDescent="0.3">
      <c r="D3554" s="23">
        <v>44739</v>
      </c>
      <c r="E3554" s="5">
        <v>378.288544</v>
      </c>
      <c r="F3554" s="28">
        <v>70.246250000000003</v>
      </c>
      <c r="G3554" s="28">
        <v>169.9</v>
      </c>
      <c r="H3554" s="28">
        <v>288.84780000000001</v>
      </c>
      <c r="I3554" s="28">
        <v>189.1568</v>
      </c>
      <c r="J3554" s="29"/>
      <c r="K3554" s="29"/>
      <c r="L3554" s="29"/>
      <c r="M3554" s="29"/>
      <c r="N3554" s="29"/>
      <c r="P3554" s="4">
        <f t="shared" si="223"/>
        <v>-3.8270421639726437E-3</v>
      </c>
      <c r="Q3554" s="4">
        <f t="shared" si="223"/>
        <v>-4.8223484616730389E-3</v>
      </c>
      <c r="R3554" s="4">
        <f t="shared" si="223"/>
        <v>-1.1176800481140093E-3</v>
      </c>
      <c r="S3554" s="4">
        <f t="shared" si="223"/>
        <v>-7.3587544851470574E-3</v>
      </c>
      <c r="T3554" s="4">
        <f t="shared" si="223"/>
        <v>-3.0789402647568172E-3</v>
      </c>
      <c r="U3554" s="35"/>
      <c r="V3554" s="35"/>
      <c r="W3554" s="35"/>
      <c r="X3554" s="35"/>
    </row>
    <row r="3555" spans="4:24" x14ac:dyDescent="0.3">
      <c r="D3555" s="23">
        <v>44740</v>
      </c>
      <c r="E3555" s="5">
        <v>370.55905200000001</v>
      </c>
      <c r="F3555" s="28">
        <v>70.28398</v>
      </c>
      <c r="G3555" s="28">
        <v>169.62</v>
      </c>
      <c r="H3555" s="28">
        <v>280.04759999999999</v>
      </c>
      <c r="I3555" s="28">
        <v>185.25880000000001</v>
      </c>
      <c r="J3555" s="29"/>
      <c r="K3555" s="29"/>
      <c r="L3555" s="29"/>
      <c r="M3555" s="29"/>
      <c r="N3555" s="29"/>
      <c r="P3555" s="4">
        <f t="shared" si="223"/>
        <v>-2.0644431684997595E-2</v>
      </c>
      <c r="Q3555" s="4">
        <f t="shared" si="223"/>
        <v>5.3696632968660879E-4</v>
      </c>
      <c r="R3555" s="4">
        <f t="shared" si="223"/>
        <v>-1.6493877443323776E-3</v>
      </c>
      <c r="S3555" s="4">
        <f t="shared" si="223"/>
        <v>-3.0940317067481255E-2</v>
      </c>
      <c r="T3555" s="4">
        <f t="shared" si="223"/>
        <v>-2.0822534315067219E-2</v>
      </c>
      <c r="U3555" s="35"/>
      <c r="V3555" s="35"/>
      <c r="W3555" s="35"/>
      <c r="X3555" s="35"/>
    </row>
    <row r="3556" spans="4:24" x14ac:dyDescent="0.3">
      <c r="D3556" s="23">
        <v>44741</v>
      </c>
      <c r="E3556" s="5">
        <v>370.25732399999998</v>
      </c>
      <c r="F3556" s="28">
        <v>70.689580000000007</v>
      </c>
      <c r="G3556" s="28">
        <v>169.49</v>
      </c>
      <c r="H3556" s="28">
        <v>280.30439999999999</v>
      </c>
      <c r="I3556" s="28">
        <v>184.9477</v>
      </c>
      <c r="J3556" s="29"/>
      <c r="K3556" s="29"/>
      <c r="L3556" s="29"/>
      <c r="M3556" s="29"/>
      <c r="N3556" s="29"/>
      <c r="P3556" s="4">
        <f t="shared" si="223"/>
        <v>-8.1458246998634845E-4</v>
      </c>
      <c r="Q3556" s="4">
        <f t="shared" si="223"/>
        <v>5.7542863949613032E-3</v>
      </c>
      <c r="R3556" s="4">
        <f t="shared" si="223"/>
        <v>-7.6671290359095023E-4</v>
      </c>
      <c r="S3556" s="4">
        <f t="shared" si="223"/>
        <v>9.1656679365131801E-4</v>
      </c>
      <c r="T3556" s="4">
        <f t="shared" si="223"/>
        <v>-1.6806840140857723E-3</v>
      </c>
      <c r="U3556" s="35"/>
      <c r="V3556" s="35"/>
      <c r="W3556" s="35"/>
      <c r="X3556" s="35"/>
    </row>
    <row r="3557" spans="4:24" x14ac:dyDescent="0.3">
      <c r="D3557" s="23">
        <v>44742</v>
      </c>
      <c r="E3557" s="5">
        <v>367.24923699999999</v>
      </c>
      <c r="F3557" s="28">
        <v>70.991420000000005</v>
      </c>
      <c r="G3557" s="28">
        <v>168.46</v>
      </c>
      <c r="H3557" s="28">
        <v>276.82780000000002</v>
      </c>
      <c r="I3557" s="28">
        <v>183.3535</v>
      </c>
      <c r="J3557" s="29"/>
      <c r="K3557" s="29"/>
      <c r="L3557" s="29"/>
      <c r="M3557" s="29"/>
      <c r="N3557" s="29"/>
      <c r="P3557" s="4">
        <f t="shared" ref="P3557:T3572" si="224">LN(E3557/E3556)</f>
        <v>-8.1574967331452392E-3</v>
      </c>
      <c r="Q3557" s="4">
        <f t="shared" si="224"/>
        <v>4.2608459377588741E-3</v>
      </c>
      <c r="R3557" s="4">
        <f t="shared" si="224"/>
        <v>-6.0955951427454488E-3</v>
      </c>
      <c r="S3557" s="4">
        <f t="shared" si="224"/>
        <v>-1.2480503288121059E-2</v>
      </c>
      <c r="T3557" s="4">
        <f t="shared" si="224"/>
        <v>-8.6570988988296047E-3</v>
      </c>
      <c r="U3557" s="35"/>
      <c r="V3557" s="35"/>
      <c r="W3557" s="35"/>
      <c r="X3557" s="35"/>
    </row>
    <row r="3558" spans="4:24" x14ac:dyDescent="0.3">
      <c r="D3558" s="23">
        <v>44743</v>
      </c>
      <c r="E3558" s="5">
        <v>371.13339200000001</v>
      </c>
      <c r="F3558" s="28">
        <v>71.557559999999995</v>
      </c>
      <c r="G3558" s="28">
        <v>168.32</v>
      </c>
      <c r="H3558" s="28">
        <v>278.6549</v>
      </c>
      <c r="I3558" s="28">
        <v>185.28800000000001</v>
      </c>
      <c r="J3558" s="29"/>
      <c r="K3558" s="29"/>
      <c r="L3558" s="29"/>
      <c r="M3558" s="29"/>
      <c r="N3558" s="29"/>
      <c r="P3558" s="4">
        <f t="shared" si="224"/>
        <v>1.0520807707635716E-2</v>
      </c>
      <c r="Q3558" s="4">
        <f t="shared" si="224"/>
        <v>7.9431361296147581E-3</v>
      </c>
      <c r="R3558" s="4">
        <f t="shared" si="224"/>
        <v>-8.3140333787271948E-4</v>
      </c>
      <c r="S3558" s="4">
        <f t="shared" si="224"/>
        <v>6.5784464182965267E-3</v>
      </c>
      <c r="T3558" s="4">
        <f t="shared" si="224"/>
        <v>1.0495387836560332E-2</v>
      </c>
      <c r="U3558" s="35"/>
      <c r="V3558" s="35"/>
      <c r="W3558" s="35"/>
      <c r="X3558" s="35"/>
    </row>
    <row r="3559" spans="4:24" x14ac:dyDescent="0.3">
      <c r="D3559" s="23">
        <v>44747</v>
      </c>
      <c r="E3559" s="5">
        <v>371.83438100000001</v>
      </c>
      <c r="F3559" s="28">
        <v>71.680449999999993</v>
      </c>
      <c r="G3559" s="28">
        <v>164.75</v>
      </c>
      <c r="H3559" s="28">
        <v>283.4255</v>
      </c>
      <c r="I3559" s="28">
        <v>185.94900000000001</v>
      </c>
      <c r="J3559" s="29"/>
      <c r="K3559" s="29"/>
      <c r="L3559" s="29"/>
      <c r="M3559" s="29"/>
      <c r="N3559" s="29"/>
      <c r="P3559" s="4">
        <f t="shared" si="224"/>
        <v>1.8869976154523875E-3</v>
      </c>
      <c r="Q3559" s="4">
        <f t="shared" si="224"/>
        <v>1.7158857506008899E-3</v>
      </c>
      <c r="R3559" s="4">
        <f t="shared" si="224"/>
        <v>-2.1437756166728356E-2</v>
      </c>
      <c r="S3559" s="4">
        <f t="shared" si="224"/>
        <v>1.697520339252527E-2</v>
      </c>
      <c r="T3559" s="4">
        <f t="shared" si="224"/>
        <v>3.5610712214794215E-3</v>
      </c>
      <c r="U3559" s="35"/>
      <c r="V3559" s="35"/>
      <c r="W3559" s="35"/>
      <c r="X3559" s="35"/>
    </row>
    <row r="3560" spans="4:24" x14ac:dyDescent="0.3">
      <c r="D3560" s="23">
        <v>44748</v>
      </c>
      <c r="E3560" s="5">
        <v>373.090149</v>
      </c>
      <c r="F3560" s="28">
        <v>71.245670000000004</v>
      </c>
      <c r="G3560" s="28">
        <v>162.13999999999999</v>
      </c>
      <c r="H3560" s="28">
        <v>285.24290000000002</v>
      </c>
      <c r="I3560" s="28">
        <v>186.3184</v>
      </c>
      <c r="J3560" s="29"/>
      <c r="K3560" s="29"/>
      <c r="L3560" s="29"/>
      <c r="M3560" s="29"/>
      <c r="N3560" s="29"/>
      <c r="P3560" s="4">
        <f t="shared" si="224"/>
        <v>3.3715339983534653E-3</v>
      </c>
      <c r="Q3560" s="4">
        <f t="shared" si="224"/>
        <v>-6.0840011765078243E-3</v>
      </c>
      <c r="R3560" s="4">
        <f t="shared" si="224"/>
        <v>-1.5969013823055593E-2</v>
      </c>
      <c r="S3560" s="4">
        <f t="shared" si="224"/>
        <v>6.3917959481973666E-3</v>
      </c>
      <c r="T3560" s="4">
        <f t="shared" si="224"/>
        <v>1.9845955957669618E-3</v>
      </c>
      <c r="U3560" s="35"/>
      <c r="V3560" s="35"/>
      <c r="W3560" s="35"/>
      <c r="X3560" s="35"/>
    </row>
    <row r="3561" spans="4:24" x14ac:dyDescent="0.3">
      <c r="D3561" s="23">
        <v>44749</v>
      </c>
      <c r="E3561" s="5">
        <v>378.67794800000001</v>
      </c>
      <c r="F3561" s="28">
        <v>71.047190000000001</v>
      </c>
      <c r="G3561" s="28">
        <v>162.22999999999999</v>
      </c>
      <c r="H3561" s="28">
        <v>291.3467</v>
      </c>
      <c r="I3561" s="28">
        <v>189.39019999999999</v>
      </c>
      <c r="J3561" s="29"/>
      <c r="K3561" s="29"/>
      <c r="L3561" s="29"/>
      <c r="M3561" s="29"/>
      <c r="N3561" s="29"/>
      <c r="P3561" s="4">
        <f t="shared" si="224"/>
        <v>1.4866025653269771E-2</v>
      </c>
      <c r="Q3561" s="4">
        <f t="shared" si="224"/>
        <v>-2.7897412241923787E-3</v>
      </c>
      <c r="R3561" s="4">
        <f t="shared" si="224"/>
        <v>5.5492186274651778E-4</v>
      </c>
      <c r="S3561" s="4">
        <f t="shared" si="224"/>
        <v>2.1172868956353071E-2</v>
      </c>
      <c r="T3561" s="4">
        <f t="shared" si="224"/>
        <v>1.6352398906394134E-2</v>
      </c>
      <c r="U3561" s="35"/>
      <c r="V3561" s="35"/>
      <c r="W3561" s="35"/>
      <c r="X3561" s="35"/>
    </row>
    <row r="3562" spans="4:24" x14ac:dyDescent="0.3">
      <c r="D3562" s="23">
        <v>44750</v>
      </c>
      <c r="E3562" s="5">
        <v>378.36645499999997</v>
      </c>
      <c r="F3562" s="28">
        <v>70.810900000000004</v>
      </c>
      <c r="G3562" s="28">
        <v>162.30000000000001</v>
      </c>
      <c r="H3562" s="28">
        <v>291.71210000000002</v>
      </c>
      <c r="I3562" s="28">
        <v>189.19569999999999</v>
      </c>
      <c r="J3562" s="29"/>
      <c r="K3562" s="29"/>
      <c r="L3562" s="29"/>
      <c r="M3562" s="29"/>
      <c r="N3562" s="29"/>
      <c r="P3562" s="4">
        <f t="shared" si="224"/>
        <v>-8.2291875177766221E-4</v>
      </c>
      <c r="Q3562" s="4">
        <f t="shared" si="224"/>
        <v>-3.3313604959447503E-3</v>
      </c>
      <c r="R3562" s="4">
        <f t="shared" si="224"/>
        <v>4.3139309823816188E-4</v>
      </c>
      <c r="S3562" s="4">
        <f t="shared" si="224"/>
        <v>1.2533900451774367E-3</v>
      </c>
      <c r="T3562" s="4">
        <f t="shared" si="224"/>
        <v>-1.0275079822693401E-3</v>
      </c>
      <c r="U3562" s="35"/>
      <c r="V3562" s="35"/>
      <c r="W3562" s="35"/>
      <c r="X3562" s="35"/>
    </row>
    <row r="3563" spans="4:24" x14ac:dyDescent="0.3">
      <c r="D3563" s="23">
        <v>44753</v>
      </c>
      <c r="E3563" s="5">
        <v>374.04415899999998</v>
      </c>
      <c r="F3563" s="28">
        <v>71.075550000000007</v>
      </c>
      <c r="G3563" s="28">
        <v>161.43</v>
      </c>
      <c r="H3563" s="28">
        <v>285.47989999999999</v>
      </c>
      <c r="I3563" s="28">
        <v>186.80439999999999</v>
      </c>
      <c r="J3563" s="29"/>
      <c r="K3563" s="29"/>
      <c r="L3563" s="29"/>
      <c r="M3563" s="29"/>
      <c r="N3563" s="29"/>
      <c r="P3563" s="4">
        <f t="shared" si="224"/>
        <v>-1.1489321033877538E-2</v>
      </c>
      <c r="Q3563" s="4">
        <f t="shared" si="224"/>
        <v>3.7304521596212246E-3</v>
      </c>
      <c r="R3563" s="4">
        <f t="shared" si="224"/>
        <v>-5.3748623511075842E-3</v>
      </c>
      <c r="S3563" s="4">
        <f t="shared" si="224"/>
        <v>-2.1595733171397319E-2</v>
      </c>
      <c r="T3563" s="4">
        <f t="shared" si="224"/>
        <v>-1.2719848965590898E-2</v>
      </c>
      <c r="U3563" s="35"/>
      <c r="V3563" s="35"/>
      <c r="W3563" s="35"/>
      <c r="X3563" s="35"/>
    </row>
    <row r="3564" spans="4:24" x14ac:dyDescent="0.3">
      <c r="D3564" s="23">
        <v>44754</v>
      </c>
      <c r="E3564" s="5">
        <v>370.73431399999998</v>
      </c>
      <c r="F3564" s="28">
        <v>71.198419999999999</v>
      </c>
      <c r="G3564" s="28">
        <v>160.83000000000001</v>
      </c>
      <c r="H3564" s="28">
        <v>282.71429999999998</v>
      </c>
      <c r="I3564" s="28">
        <v>185.19069999999999</v>
      </c>
      <c r="J3564" s="29"/>
      <c r="K3564" s="29"/>
      <c r="L3564" s="29"/>
      <c r="M3564" s="29"/>
      <c r="N3564" s="29"/>
      <c r="P3564" s="4">
        <f t="shared" si="224"/>
        <v>-8.8881913475208317E-3</v>
      </c>
      <c r="Q3564" s="4">
        <f t="shared" si="224"/>
        <v>1.7272313487392036E-3</v>
      </c>
      <c r="R3564" s="4">
        <f t="shared" si="224"/>
        <v>-3.7237056618818648E-3</v>
      </c>
      <c r="S3564" s="4">
        <f t="shared" si="224"/>
        <v>-9.7347767377476586E-3</v>
      </c>
      <c r="T3564" s="4">
        <f t="shared" si="224"/>
        <v>-8.6759751526983651E-3</v>
      </c>
      <c r="U3564" s="35"/>
      <c r="V3564" s="35"/>
      <c r="W3564" s="35"/>
      <c r="X3564" s="35"/>
    </row>
    <row r="3565" spans="4:24" x14ac:dyDescent="0.3">
      <c r="D3565" s="23">
        <v>44755</v>
      </c>
      <c r="E3565" s="5">
        <v>368.78729199999998</v>
      </c>
      <c r="F3565" s="28">
        <v>71.425250000000005</v>
      </c>
      <c r="G3565" s="28">
        <v>161.6</v>
      </c>
      <c r="H3565" s="28">
        <v>282.13159999999999</v>
      </c>
      <c r="I3565" s="28">
        <v>184.38390000000001</v>
      </c>
      <c r="J3565" s="29"/>
      <c r="K3565" s="29"/>
      <c r="L3565" s="29"/>
      <c r="M3565" s="29"/>
      <c r="N3565" s="29"/>
      <c r="P3565" s="4">
        <f t="shared" si="224"/>
        <v>-5.2656379014440792E-3</v>
      </c>
      <c r="Q3565" s="4">
        <f t="shared" si="224"/>
        <v>3.1808211252499215E-3</v>
      </c>
      <c r="R3565" s="4">
        <f t="shared" si="224"/>
        <v>4.7762395794388093E-3</v>
      </c>
      <c r="S3565" s="4">
        <f t="shared" si="224"/>
        <v>-2.0632183280660799E-3</v>
      </c>
      <c r="T3565" s="4">
        <f t="shared" si="224"/>
        <v>-4.3661078529841774E-3</v>
      </c>
      <c r="U3565" s="35"/>
      <c r="V3565" s="35"/>
      <c r="W3565" s="35"/>
      <c r="X3565" s="35"/>
    </row>
    <row r="3566" spans="4:24" x14ac:dyDescent="0.3">
      <c r="D3566" s="23">
        <v>44756</v>
      </c>
      <c r="E3566" s="5">
        <v>367.89169299999998</v>
      </c>
      <c r="F3566" s="28">
        <v>71.198419999999999</v>
      </c>
      <c r="G3566" s="28">
        <v>159.33000000000001</v>
      </c>
      <c r="H3566" s="28">
        <v>283.13909999999998</v>
      </c>
      <c r="I3566" s="28">
        <v>183.56739999999999</v>
      </c>
      <c r="J3566" s="29"/>
      <c r="K3566" s="29"/>
      <c r="L3566" s="29"/>
      <c r="M3566" s="29"/>
      <c r="N3566" s="29"/>
      <c r="P3566" s="4">
        <f t="shared" si="224"/>
        <v>-2.4314510376004018E-3</v>
      </c>
      <c r="Q3566" s="4">
        <f t="shared" si="224"/>
        <v>-3.180821125250062E-3</v>
      </c>
      <c r="R3566" s="4">
        <f t="shared" si="224"/>
        <v>-1.4146622984577454E-2</v>
      </c>
      <c r="S3566" s="4">
        <f t="shared" si="224"/>
        <v>3.564667572000915E-3</v>
      </c>
      <c r="T3566" s="4">
        <f t="shared" si="224"/>
        <v>-4.4380946076003668E-3</v>
      </c>
      <c r="U3566" s="35"/>
      <c r="V3566" s="35"/>
      <c r="W3566" s="35"/>
      <c r="X3566" s="35"/>
    </row>
    <row r="3567" spans="4:24" x14ac:dyDescent="0.3">
      <c r="D3567" s="23">
        <v>44757</v>
      </c>
      <c r="E3567" s="5">
        <v>374.92031900000001</v>
      </c>
      <c r="F3567" s="28">
        <v>71.453630000000004</v>
      </c>
      <c r="G3567" s="28">
        <v>159.01</v>
      </c>
      <c r="H3567" s="28">
        <v>288.27499999999998</v>
      </c>
      <c r="I3567" s="28">
        <v>187.13489999999999</v>
      </c>
      <c r="J3567" s="29"/>
      <c r="K3567" s="29"/>
      <c r="L3567" s="29"/>
      <c r="M3567" s="29"/>
      <c r="N3567" s="29"/>
      <c r="P3567" s="4">
        <f t="shared" si="224"/>
        <v>1.8924938375596619E-2</v>
      </c>
      <c r="Q3567" s="4">
        <f t="shared" si="224"/>
        <v>3.578080683460961E-3</v>
      </c>
      <c r="R3567" s="4">
        <f t="shared" si="224"/>
        <v>-2.0104297781119917E-3</v>
      </c>
      <c r="S3567" s="4">
        <f t="shared" si="224"/>
        <v>1.7976589335422996E-2</v>
      </c>
      <c r="T3567" s="4">
        <f t="shared" si="224"/>
        <v>1.9247844644044006E-2</v>
      </c>
      <c r="U3567" s="35"/>
      <c r="V3567" s="35"/>
      <c r="W3567" s="35"/>
      <c r="X3567" s="35"/>
    </row>
    <row r="3568" spans="4:24" x14ac:dyDescent="0.3">
      <c r="D3568" s="23">
        <v>44760</v>
      </c>
      <c r="E3568" s="5">
        <v>371.82461499999999</v>
      </c>
      <c r="F3568" s="28">
        <v>71.236220000000003</v>
      </c>
      <c r="G3568" s="28">
        <v>159.16</v>
      </c>
      <c r="H3568" s="28">
        <v>285.83539999999999</v>
      </c>
      <c r="I3568" s="28">
        <v>185.84200000000001</v>
      </c>
      <c r="J3568" s="29"/>
      <c r="K3568" s="29"/>
      <c r="L3568" s="29"/>
      <c r="M3568" s="29"/>
      <c r="N3568" s="29"/>
      <c r="P3568" s="4">
        <f t="shared" si="224"/>
        <v>-8.2912426813141014E-3</v>
      </c>
      <c r="Q3568" s="4">
        <f t="shared" si="224"/>
        <v>-3.0473109088131694E-3</v>
      </c>
      <c r="R3568" s="4">
        <f t="shared" si="224"/>
        <v>9.4289223442241916E-4</v>
      </c>
      <c r="S3568" s="4">
        <f t="shared" si="224"/>
        <v>-8.4987649906335654E-3</v>
      </c>
      <c r="T3568" s="4">
        <f t="shared" si="224"/>
        <v>-6.932896801948283E-3</v>
      </c>
      <c r="U3568" s="35"/>
      <c r="V3568" s="35"/>
      <c r="W3568" s="35"/>
      <c r="X3568" s="35"/>
    </row>
    <row r="3569" spans="4:24" x14ac:dyDescent="0.3">
      <c r="D3569" s="23">
        <v>44761</v>
      </c>
      <c r="E3569" s="5">
        <v>381.87097199999999</v>
      </c>
      <c r="F3569" s="28">
        <v>71.17953</v>
      </c>
      <c r="G3569" s="28">
        <v>159.54</v>
      </c>
      <c r="H3569" s="28">
        <v>294.62580000000003</v>
      </c>
      <c r="I3569" s="28">
        <v>191.03299999999999</v>
      </c>
      <c r="J3569" s="29"/>
      <c r="K3569" s="29"/>
      <c r="L3569" s="29"/>
      <c r="M3569" s="29"/>
      <c r="N3569" s="29"/>
      <c r="P3569" s="4">
        <f t="shared" si="224"/>
        <v>2.6660503871266273E-2</v>
      </c>
      <c r="Q3569" s="4">
        <f t="shared" si="224"/>
        <v>-7.9611985323553385E-4</v>
      </c>
      <c r="R3569" s="4">
        <f t="shared" si="224"/>
        <v>2.3846889242556124E-3</v>
      </c>
      <c r="S3569" s="4">
        <f t="shared" si="224"/>
        <v>3.0289955902142267E-2</v>
      </c>
      <c r="T3569" s="4">
        <f t="shared" si="224"/>
        <v>2.7549337641876823E-2</v>
      </c>
      <c r="U3569" s="35"/>
      <c r="V3569" s="35"/>
      <c r="W3569" s="35"/>
      <c r="X3569" s="35"/>
    </row>
    <row r="3570" spans="4:24" x14ac:dyDescent="0.3">
      <c r="D3570" s="23">
        <v>44762</v>
      </c>
      <c r="E3570" s="5">
        <v>384.30471799999998</v>
      </c>
      <c r="F3570" s="28">
        <v>71.113349999999997</v>
      </c>
      <c r="G3570" s="28">
        <v>158.04</v>
      </c>
      <c r="H3570" s="28">
        <v>299.29750000000001</v>
      </c>
      <c r="I3570" s="28">
        <v>192.57849999999999</v>
      </c>
      <c r="J3570" s="29"/>
      <c r="K3570" s="29"/>
      <c r="L3570" s="29"/>
      <c r="M3570" s="29"/>
      <c r="N3570" s="29"/>
      <c r="P3570" s="4">
        <f t="shared" si="224"/>
        <v>6.3529924464129292E-3</v>
      </c>
      <c r="Q3570" s="4">
        <f t="shared" si="224"/>
        <v>-9.3019418500660809E-4</v>
      </c>
      <c r="R3570" s="4">
        <f t="shared" si="224"/>
        <v>-9.4465089397935131E-3</v>
      </c>
      <c r="S3570" s="4">
        <f t="shared" si="224"/>
        <v>1.5731985431825427E-2</v>
      </c>
      <c r="T3570" s="4">
        <f t="shared" si="224"/>
        <v>8.057674819105241E-3</v>
      </c>
      <c r="U3570" s="35"/>
      <c r="V3570" s="35"/>
      <c r="W3570" s="35"/>
      <c r="X3570" s="35"/>
    </row>
    <row r="3571" spans="4:24" x14ac:dyDescent="0.3">
      <c r="D3571" s="23">
        <v>44763</v>
      </c>
      <c r="E3571" s="5">
        <v>388.21816999999999</v>
      </c>
      <c r="F3571" s="28">
        <v>71.699359999999999</v>
      </c>
      <c r="G3571" s="28">
        <v>160.27000000000001</v>
      </c>
      <c r="H3571" s="28">
        <v>303.59399999999999</v>
      </c>
      <c r="I3571" s="28">
        <v>194.4838</v>
      </c>
      <c r="J3571" s="29"/>
      <c r="K3571" s="29"/>
      <c r="L3571" s="29"/>
      <c r="M3571" s="29"/>
      <c r="N3571" s="29"/>
      <c r="P3571" s="4">
        <f t="shared" si="224"/>
        <v>1.0131701047306518E-2</v>
      </c>
      <c r="Q3571" s="4">
        <f t="shared" si="224"/>
        <v>8.2067385879686806E-3</v>
      </c>
      <c r="R3571" s="4">
        <f t="shared" si="224"/>
        <v>1.4011727462294161E-2</v>
      </c>
      <c r="S3571" s="4">
        <f t="shared" si="224"/>
        <v>1.4253220479823383E-2</v>
      </c>
      <c r="T3571" s="4">
        <f t="shared" si="224"/>
        <v>9.8450062902374312E-3</v>
      </c>
      <c r="U3571" s="35"/>
      <c r="V3571" s="35"/>
      <c r="W3571" s="35"/>
      <c r="X3571" s="35"/>
    </row>
    <row r="3572" spans="4:24" x14ac:dyDescent="0.3">
      <c r="D3572" s="23">
        <v>44764</v>
      </c>
      <c r="E3572" s="5">
        <v>384.616241</v>
      </c>
      <c r="F3572" s="28">
        <v>72.285359999999997</v>
      </c>
      <c r="G3572" s="28">
        <v>160.66999999999999</v>
      </c>
      <c r="H3572" s="28">
        <v>298.2704</v>
      </c>
      <c r="I3572" s="28">
        <v>192.37440000000001</v>
      </c>
      <c r="J3572" s="29"/>
      <c r="K3572" s="29"/>
      <c r="L3572" s="29"/>
      <c r="M3572" s="29"/>
      <c r="N3572" s="29"/>
      <c r="P3572" s="4">
        <f t="shared" si="224"/>
        <v>-9.321414857553726E-3</v>
      </c>
      <c r="Q3572" s="4">
        <f t="shared" si="224"/>
        <v>8.1397975495262533E-3</v>
      </c>
      <c r="R3572" s="4">
        <f t="shared" si="224"/>
        <v>2.4926790497596476E-3</v>
      </c>
      <c r="S3572" s="4">
        <f t="shared" si="224"/>
        <v>-1.7690824847284035E-2</v>
      </c>
      <c r="T3572" s="4">
        <f t="shared" si="224"/>
        <v>-1.0905395855426275E-2</v>
      </c>
      <c r="U3572" s="35"/>
      <c r="V3572" s="35"/>
      <c r="W3572" s="35"/>
      <c r="X3572" s="35"/>
    </row>
    <row r="3573" spans="4:24" x14ac:dyDescent="0.3">
      <c r="D3573" s="23">
        <v>44767</v>
      </c>
      <c r="E3573" s="5">
        <v>385.08358800000002</v>
      </c>
      <c r="F3573" s="28">
        <v>72.020709999999994</v>
      </c>
      <c r="G3573" s="28">
        <v>160.22999999999999</v>
      </c>
      <c r="H3573" s="28">
        <v>296.57150000000001</v>
      </c>
      <c r="I3573" s="28">
        <v>192.6369</v>
      </c>
      <c r="J3573" s="29"/>
      <c r="K3573" s="29"/>
      <c r="L3573" s="29"/>
      <c r="M3573" s="29"/>
      <c r="N3573" s="29"/>
      <c r="P3573" s="4">
        <f t="shared" ref="P3573:T3588" si="225">LN(E3573/E3572)</f>
        <v>1.2143618585423622E-3</v>
      </c>
      <c r="Q3573" s="4">
        <f t="shared" si="225"/>
        <v>-3.6679024895606535E-3</v>
      </c>
      <c r="R3573" s="4">
        <f t="shared" si="225"/>
        <v>-2.7422890354550358E-3</v>
      </c>
      <c r="S3573" s="4">
        <f t="shared" si="225"/>
        <v>-5.7121215548321721E-3</v>
      </c>
      <c r="T3573" s="4">
        <f t="shared" si="225"/>
        <v>1.3635965524869524E-3</v>
      </c>
      <c r="U3573" s="35"/>
      <c r="V3573" s="35"/>
      <c r="W3573" s="35"/>
      <c r="X3573" s="35"/>
    </row>
    <row r="3574" spans="4:24" x14ac:dyDescent="0.3">
      <c r="D3574" s="23">
        <v>44768</v>
      </c>
      <c r="E3574" s="5">
        <v>380.52758799999998</v>
      </c>
      <c r="F3574" s="28">
        <v>72.039599999999993</v>
      </c>
      <c r="G3574" s="28">
        <v>160.04</v>
      </c>
      <c r="H3574" s="28">
        <v>290.74419999999998</v>
      </c>
      <c r="I3574" s="28">
        <v>190.25530000000001</v>
      </c>
      <c r="J3574" s="29"/>
      <c r="K3574" s="29"/>
      <c r="L3574" s="29"/>
      <c r="M3574" s="29"/>
      <c r="N3574" s="29"/>
      <c r="P3574" s="4">
        <f t="shared" si="225"/>
        <v>-1.1901743138143586E-2</v>
      </c>
      <c r="Q3574" s="4">
        <f t="shared" si="225"/>
        <v>2.622512766808079E-4</v>
      </c>
      <c r="R3574" s="4">
        <f t="shared" si="225"/>
        <v>-1.1864990307543239E-3</v>
      </c>
      <c r="S3574" s="4">
        <f t="shared" si="225"/>
        <v>-1.9844493287705933E-2</v>
      </c>
      <c r="T3574" s="4">
        <f t="shared" si="225"/>
        <v>-1.2440215363046597E-2</v>
      </c>
      <c r="U3574" s="35"/>
      <c r="V3574" s="35"/>
      <c r="W3574" s="35"/>
      <c r="X3574" s="35"/>
    </row>
    <row r="3575" spans="4:24" x14ac:dyDescent="0.3">
      <c r="D3575" s="23">
        <v>44769</v>
      </c>
      <c r="E3575" s="5">
        <v>390.40853900000002</v>
      </c>
      <c r="F3575" s="28">
        <v>72.238100000000003</v>
      </c>
      <c r="G3575" s="28">
        <v>161.66999999999999</v>
      </c>
      <c r="H3575" s="28">
        <v>303.03100000000001</v>
      </c>
      <c r="I3575" s="28">
        <v>195.2518</v>
      </c>
      <c r="J3575" s="29"/>
      <c r="K3575" s="29"/>
      <c r="L3575" s="29"/>
      <c r="M3575" s="29"/>
      <c r="N3575" s="29"/>
      <c r="P3575" s="4">
        <f t="shared" si="225"/>
        <v>2.5635047465643154E-2</v>
      </c>
      <c r="Q3575" s="4">
        <f t="shared" si="225"/>
        <v>2.7516397231945916E-3</v>
      </c>
      <c r="R3575" s="4">
        <f t="shared" si="225"/>
        <v>1.0133436624480609E-2</v>
      </c>
      <c r="S3575" s="4">
        <f t="shared" si="225"/>
        <v>4.1391267716542349E-2</v>
      </c>
      <c r="T3575" s="4">
        <f t="shared" si="225"/>
        <v>2.5923153192127329E-2</v>
      </c>
      <c r="U3575" s="35"/>
      <c r="V3575" s="35"/>
      <c r="W3575" s="35"/>
      <c r="X3575" s="35"/>
    </row>
    <row r="3576" spans="4:24" x14ac:dyDescent="0.3">
      <c r="D3576" s="23">
        <v>44770</v>
      </c>
      <c r="E3576" s="5">
        <v>395.30517600000002</v>
      </c>
      <c r="F3576" s="28">
        <v>72.739040000000003</v>
      </c>
      <c r="G3576" s="28">
        <v>163.63999999999999</v>
      </c>
      <c r="H3576" s="28">
        <v>305.9941</v>
      </c>
      <c r="I3576" s="28">
        <v>197.79859999999999</v>
      </c>
      <c r="J3576" s="29"/>
      <c r="K3576" s="29"/>
      <c r="L3576" s="29"/>
      <c r="M3576" s="29"/>
      <c r="N3576" s="29"/>
      <c r="P3576" s="4">
        <f t="shared" si="225"/>
        <v>1.246433733142246E-2</v>
      </c>
      <c r="Q3576" s="4">
        <f t="shared" si="225"/>
        <v>6.9106342366632755E-3</v>
      </c>
      <c r="R3576" s="4">
        <f t="shared" si="225"/>
        <v>1.2111672447682711E-2</v>
      </c>
      <c r="S3576" s="4">
        <f t="shared" si="225"/>
        <v>9.730710213689861E-3</v>
      </c>
      <c r="T3576" s="4">
        <f t="shared" si="225"/>
        <v>1.295933367977781E-2</v>
      </c>
      <c r="U3576" s="35"/>
      <c r="V3576" s="35"/>
      <c r="W3576" s="35"/>
      <c r="X3576" s="35"/>
    </row>
    <row r="3577" spans="4:24" x14ac:dyDescent="0.3">
      <c r="D3577" s="23">
        <v>44771</v>
      </c>
      <c r="E3577" s="5">
        <v>401.06826799999999</v>
      </c>
      <c r="F3577" s="28">
        <v>72.682299999999998</v>
      </c>
      <c r="G3577" s="28">
        <v>164.1</v>
      </c>
      <c r="H3577" s="28">
        <v>311.5745</v>
      </c>
      <c r="I3577" s="28">
        <v>200.4913</v>
      </c>
      <c r="J3577" s="29"/>
      <c r="K3577" s="29"/>
      <c r="L3577" s="29"/>
      <c r="M3577" s="29"/>
      <c r="N3577" s="29"/>
      <c r="P3577" s="4">
        <f t="shared" si="225"/>
        <v>1.4473593135978988E-2</v>
      </c>
      <c r="Q3577" s="4">
        <f t="shared" si="225"/>
        <v>-7.8035318446832962E-4</v>
      </c>
      <c r="R3577" s="4">
        <f t="shared" si="225"/>
        <v>2.8071050348473727E-3</v>
      </c>
      <c r="S3577" s="4">
        <f t="shared" si="225"/>
        <v>1.8072654240345432E-2</v>
      </c>
      <c r="T3577" s="4">
        <f t="shared" si="225"/>
        <v>1.3521512976844605E-2</v>
      </c>
      <c r="U3577" s="35"/>
      <c r="V3577" s="35"/>
      <c r="W3577" s="35"/>
      <c r="X3577" s="35"/>
    </row>
    <row r="3578" spans="4:24" x14ac:dyDescent="0.3">
      <c r="D3578" s="23">
        <v>44774</v>
      </c>
      <c r="E3578" s="5">
        <v>399.880585</v>
      </c>
      <c r="F3578" s="28">
        <v>72.997669999999999</v>
      </c>
      <c r="G3578" s="28">
        <v>165.03</v>
      </c>
      <c r="H3578" s="28">
        <v>311.38670000000002</v>
      </c>
      <c r="I3578" s="28">
        <v>200.0247</v>
      </c>
      <c r="J3578" s="29"/>
      <c r="K3578" s="29"/>
      <c r="L3578" s="29"/>
      <c r="M3578" s="29"/>
      <c r="N3578" s="29"/>
      <c r="P3578" s="4">
        <f t="shared" si="225"/>
        <v>-2.9656921688735764E-3</v>
      </c>
      <c r="Q3578" s="4">
        <f t="shared" si="225"/>
        <v>4.3296342339076309E-3</v>
      </c>
      <c r="R3578" s="4">
        <f t="shared" si="225"/>
        <v>5.6512774594313329E-3</v>
      </c>
      <c r="S3578" s="4">
        <f t="shared" si="225"/>
        <v>-6.0292681370547306E-4</v>
      </c>
      <c r="T3578" s="4">
        <f t="shared" si="225"/>
        <v>-2.3299953614480807E-3</v>
      </c>
      <c r="U3578" s="35"/>
      <c r="V3578" s="35"/>
      <c r="W3578" s="35"/>
      <c r="X3578" s="35"/>
    </row>
    <row r="3579" spans="4:24" x14ac:dyDescent="0.3">
      <c r="D3579" s="23">
        <v>44775</v>
      </c>
      <c r="E3579" s="5">
        <v>397.24240099999997</v>
      </c>
      <c r="F3579" s="28">
        <v>72.259010000000004</v>
      </c>
      <c r="G3579" s="28">
        <v>164.05</v>
      </c>
      <c r="H3579" s="28">
        <v>310.45830000000001</v>
      </c>
      <c r="I3579" s="28">
        <v>198.94569999999999</v>
      </c>
      <c r="J3579" s="29"/>
      <c r="K3579" s="29"/>
      <c r="L3579" s="29"/>
      <c r="M3579" s="29"/>
      <c r="N3579" s="29"/>
      <c r="P3579" s="4">
        <f t="shared" si="225"/>
        <v>-6.6192888148852982E-3</v>
      </c>
      <c r="Q3579" s="4">
        <f t="shared" si="225"/>
        <v>-1.0170497731025442E-2</v>
      </c>
      <c r="R3579" s="4">
        <f t="shared" si="225"/>
        <v>-5.9560161483657179E-3</v>
      </c>
      <c r="S3579" s="4">
        <f t="shared" si="225"/>
        <v>-2.985955309749576E-3</v>
      </c>
      <c r="T3579" s="4">
        <f t="shared" si="225"/>
        <v>-5.4089357538975608E-3</v>
      </c>
      <c r="U3579" s="35"/>
      <c r="V3579" s="35"/>
      <c r="W3579" s="35"/>
      <c r="X3579" s="35"/>
    </row>
    <row r="3580" spans="4:24" x14ac:dyDescent="0.3">
      <c r="D3580" s="23">
        <v>44776</v>
      </c>
      <c r="E3580" s="5">
        <v>403.46304300000003</v>
      </c>
      <c r="F3580" s="28">
        <v>72.618870000000001</v>
      </c>
      <c r="G3580" s="28">
        <v>164.45</v>
      </c>
      <c r="H3580" s="28">
        <v>318.91289999999998</v>
      </c>
      <c r="I3580" s="28">
        <v>202.1438</v>
      </c>
      <c r="J3580" s="29"/>
      <c r="K3580" s="29"/>
      <c r="L3580" s="29"/>
      <c r="M3580" s="29"/>
      <c r="N3580" s="29"/>
      <c r="P3580" s="4">
        <f t="shared" si="225"/>
        <v>1.5538216215311498E-2</v>
      </c>
      <c r="Q3580" s="4">
        <f t="shared" si="225"/>
        <v>4.9677803136960784E-3</v>
      </c>
      <c r="R3580" s="4">
        <f t="shared" si="225"/>
        <v>2.4353132279553084E-3</v>
      </c>
      <c r="S3580" s="4">
        <f t="shared" si="225"/>
        <v>2.6868431912443036E-2</v>
      </c>
      <c r="T3580" s="4">
        <f t="shared" si="225"/>
        <v>1.5947402153459023E-2</v>
      </c>
      <c r="U3580" s="35"/>
      <c r="V3580" s="35"/>
      <c r="W3580" s="35"/>
      <c r="X3580" s="35"/>
    </row>
    <row r="3581" spans="4:24" x14ac:dyDescent="0.3">
      <c r="D3581" s="23">
        <v>44777</v>
      </c>
      <c r="E3581" s="5">
        <v>403.19049100000001</v>
      </c>
      <c r="F3581" s="28">
        <v>72.798810000000003</v>
      </c>
      <c r="G3581" s="28">
        <v>167.17</v>
      </c>
      <c r="H3581" s="28">
        <v>320.40429999999998</v>
      </c>
      <c r="I3581" s="28">
        <v>201.9494</v>
      </c>
      <c r="J3581" s="29"/>
      <c r="K3581" s="29"/>
      <c r="L3581" s="29"/>
      <c r="M3581" s="29"/>
      <c r="N3581" s="29"/>
      <c r="P3581" s="4">
        <f t="shared" si="225"/>
        <v>-6.7575978752682766E-4</v>
      </c>
      <c r="Q3581" s="4">
        <f t="shared" si="225"/>
        <v>2.4748035017359209E-3</v>
      </c>
      <c r="R3581" s="4">
        <f t="shared" si="225"/>
        <v>1.6404686079473405E-2</v>
      </c>
      <c r="S3581" s="4">
        <f t="shared" si="225"/>
        <v>4.6656110781611694E-3</v>
      </c>
      <c r="T3581" s="4">
        <f t="shared" si="225"/>
        <v>-9.6215434952631946E-4</v>
      </c>
      <c r="U3581" s="35"/>
      <c r="V3581" s="35"/>
      <c r="W3581" s="35"/>
      <c r="X3581" s="35"/>
    </row>
    <row r="3582" spans="4:24" x14ac:dyDescent="0.3">
      <c r="D3582" s="23">
        <v>44778</v>
      </c>
      <c r="E3582" s="5">
        <v>402.50900300000001</v>
      </c>
      <c r="F3582" s="28">
        <v>71.974900000000005</v>
      </c>
      <c r="G3582" s="28">
        <v>165.29</v>
      </c>
      <c r="H3582" s="28">
        <v>317.78699999999998</v>
      </c>
      <c r="I3582" s="28">
        <v>201.88140000000001</v>
      </c>
      <c r="J3582" s="29"/>
      <c r="K3582" s="29"/>
      <c r="L3582" s="29"/>
      <c r="M3582" s="29"/>
      <c r="N3582" s="29"/>
      <c r="P3582" s="4">
        <f t="shared" si="225"/>
        <v>-1.6916683393628125E-3</v>
      </c>
      <c r="Q3582" s="4">
        <f t="shared" si="225"/>
        <v>-1.1382161789229418E-2</v>
      </c>
      <c r="R3582" s="4">
        <f t="shared" si="225"/>
        <v>-1.1309751785277433E-2</v>
      </c>
      <c r="S3582" s="4">
        <f t="shared" si="225"/>
        <v>-8.202288792642504E-3</v>
      </c>
      <c r="T3582" s="4">
        <f t="shared" si="225"/>
        <v>-3.3677471179848075E-4</v>
      </c>
      <c r="U3582" s="35"/>
      <c r="V3582" s="35"/>
      <c r="W3582" s="35"/>
      <c r="X3582" s="35"/>
    </row>
    <row r="3583" spans="4:24" x14ac:dyDescent="0.3">
      <c r="D3583" s="23">
        <v>44781</v>
      </c>
      <c r="E3583" s="5">
        <v>402.04174799999998</v>
      </c>
      <c r="F3583" s="28">
        <v>72.296880000000002</v>
      </c>
      <c r="G3583" s="28">
        <v>166.69</v>
      </c>
      <c r="H3583" s="28">
        <v>316.75979999999998</v>
      </c>
      <c r="I3583" s="28">
        <v>202.066</v>
      </c>
      <c r="J3583" s="29"/>
      <c r="K3583" s="29"/>
      <c r="L3583" s="29"/>
      <c r="M3583" s="29"/>
      <c r="N3583" s="29"/>
      <c r="P3583" s="4">
        <f t="shared" si="225"/>
        <v>-1.1615303371538919E-3</v>
      </c>
      <c r="Q3583" s="4">
        <f t="shared" si="225"/>
        <v>4.4635275806428091E-3</v>
      </c>
      <c r="R3583" s="4">
        <f t="shared" si="225"/>
        <v>8.4342930257346894E-3</v>
      </c>
      <c r="S3583" s="4">
        <f t="shared" si="225"/>
        <v>-3.2375890864396561E-3</v>
      </c>
      <c r="T3583" s="4">
        <f t="shared" si="225"/>
        <v>9.1398044820004284E-4</v>
      </c>
      <c r="U3583" s="35"/>
      <c r="V3583" s="35"/>
      <c r="W3583" s="35"/>
      <c r="X3583" s="35"/>
    </row>
    <row r="3584" spans="4:24" x14ac:dyDescent="0.3">
      <c r="D3584" s="23">
        <v>44782</v>
      </c>
      <c r="E3584" s="5">
        <v>400.445221</v>
      </c>
      <c r="F3584" s="28">
        <v>72.135890000000003</v>
      </c>
      <c r="G3584" s="28">
        <v>167.2</v>
      </c>
      <c r="H3584" s="28">
        <v>313.17450000000002</v>
      </c>
      <c r="I3584" s="28">
        <v>200.79259999999999</v>
      </c>
      <c r="J3584" s="29"/>
      <c r="K3584" s="29"/>
      <c r="L3584" s="29"/>
      <c r="M3584" s="29"/>
      <c r="N3584" s="29"/>
      <c r="P3584" s="4">
        <f t="shared" si="225"/>
        <v>-3.9789533488611773E-3</v>
      </c>
      <c r="Q3584" s="4">
        <f t="shared" si="225"/>
        <v>-2.2292734075808813E-3</v>
      </c>
      <c r="R3584" s="4">
        <f t="shared" si="225"/>
        <v>3.0549006956045303E-3</v>
      </c>
      <c r="S3584" s="4">
        <f t="shared" si="225"/>
        <v>-1.1383214771627416E-2</v>
      </c>
      <c r="T3584" s="4">
        <f t="shared" si="225"/>
        <v>-6.3218421601167083E-3</v>
      </c>
      <c r="U3584" s="35"/>
      <c r="V3584" s="35"/>
      <c r="W3584" s="35"/>
      <c r="X3584" s="35"/>
    </row>
    <row r="3585" spans="4:24" x14ac:dyDescent="0.3">
      <c r="D3585" s="23">
        <v>44783</v>
      </c>
      <c r="E3585" s="5">
        <v>408.856201</v>
      </c>
      <c r="F3585" s="28">
        <v>72.334760000000003</v>
      </c>
      <c r="G3585" s="28">
        <v>166.78</v>
      </c>
      <c r="H3585" s="28">
        <v>321.91550000000001</v>
      </c>
      <c r="I3585" s="28">
        <v>205.37110000000001</v>
      </c>
      <c r="J3585" s="29"/>
      <c r="K3585" s="29"/>
      <c r="L3585" s="29"/>
      <c r="M3585" s="29"/>
      <c r="N3585" s="29"/>
      <c r="P3585" s="4">
        <f t="shared" si="225"/>
        <v>2.0786526800294042E-2</v>
      </c>
      <c r="Q3585" s="4">
        <f t="shared" si="225"/>
        <v>2.7530868811213309E-3</v>
      </c>
      <c r="R3585" s="4">
        <f t="shared" si="225"/>
        <v>-2.5151219917618258E-3</v>
      </c>
      <c r="S3585" s="4">
        <f t="shared" si="225"/>
        <v>2.7528545567854921E-2</v>
      </c>
      <c r="T3585" s="4">
        <f t="shared" si="225"/>
        <v>2.2546051975193514E-2</v>
      </c>
      <c r="U3585" s="35"/>
      <c r="V3585" s="35"/>
      <c r="W3585" s="35"/>
      <c r="X3585" s="35"/>
    </row>
    <row r="3586" spans="4:24" x14ac:dyDescent="0.3">
      <c r="D3586" s="23">
        <v>44784</v>
      </c>
      <c r="E3586" s="5">
        <v>408.856201</v>
      </c>
      <c r="F3586" s="28">
        <v>71.927520000000001</v>
      </c>
      <c r="G3586" s="28">
        <v>166.34</v>
      </c>
      <c r="H3586" s="28">
        <v>320.0883</v>
      </c>
      <c r="I3586" s="28">
        <v>205.38079999999999</v>
      </c>
      <c r="J3586" s="29"/>
      <c r="K3586" s="29"/>
      <c r="L3586" s="29"/>
      <c r="M3586" s="29"/>
      <c r="N3586" s="29"/>
      <c r="P3586" s="4">
        <f t="shared" si="225"/>
        <v>0</v>
      </c>
      <c r="Q3586" s="4">
        <f t="shared" si="225"/>
        <v>-5.6458428599500459E-3</v>
      </c>
      <c r="R3586" s="4">
        <f t="shared" si="225"/>
        <v>-2.6416922182978765E-3</v>
      </c>
      <c r="S3586" s="4">
        <f t="shared" si="225"/>
        <v>-5.6921935153648531E-3</v>
      </c>
      <c r="T3586" s="4">
        <f t="shared" si="225"/>
        <v>4.7230457128813549E-5</v>
      </c>
      <c r="U3586" s="35"/>
      <c r="V3586" s="35"/>
      <c r="W3586" s="35"/>
      <c r="X3586" s="35"/>
    </row>
    <row r="3587" spans="4:24" x14ac:dyDescent="0.3">
      <c r="D3587" s="23">
        <v>44785</v>
      </c>
      <c r="E3587" s="5">
        <v>415.77771000000001</v>
      </c>
      <c r="F3587" s="28">
        <v>72.259010000000004</v>
      </c>
      <c r="G3587" s="28">
        <v>167.87</v>
      </c>
      <c r="H3587" s="28">
        <v>326.32060000000001</v>
      </c>
      <c r="I3587" s="28">
        <v>208.93870000000001</v>
      </c>
      <c r="J3587" s="29"/>
      <c r="K3587" s="29"/>
      <c r="L3587" s="29"/>
      <c r="M3587" s="29"/>
      <c r="N3587" s="29"/>
      <c r="P3587" s="4">
        <f t="shared" si="225"/>
        <v>1.6787259058764409E-2</v>
      </c>
      <c r="Q3587" s="4">
        <f t="shared" si="225"/>
        <v>4.5980797795641005E-3</v>
      </c>
      <c r="R3587" s="4">
        <f t="shared" si="225"/>
        <v>9.1559838937811996E-3</v>
      </c>
      <c r="S3587" s="4">
        <f t="shared" si="225"/>
        <v>1.9283438463542909E-2</v>
      </c>
      <c r="T3587" s="4">
        <f t="shared" si="225"/>
        <v>1.7175090526944353E-2</v>
      </c>
      <c r="U3587" s="35"/>
      <c r="V3587" s="35"/>
      <c r="W3587" s="35"/>
      <c r="X3587" s="35"/>
    </row>
    <row r="3588" spans="4:24" x14ac:dyDescent="0.3">
      <c r="D3588" s="23">
        <v>44788</v>
      </c>
      <c r="E3588" s="5">
        <v>417.49102800000003</v>
      </c>
      <c r="F3588" s="28">
        <v>72.334760000000003</v>
      </c>
      <c r="G3588" s="28">
        <v>165.71</v>
      </c>
      <c r="H3588" s="28">
        <v>328.95760000000001</v>
      </c>
      <c r="I3588" s="28">
        <v>209.7552</v>
      </c>
      <c r="J3588" s="29"/>
      <c r="K3588" s="29"/>
      <c r="L3588" s="29"/>
      <c r="M3588" s="29"/>
      <c r="N3588" s="29"/>
      <c r="P3588" s="4">
        <f t="shared" si="225"/>
        <v>4.1122877562700683E-3</v>
      </c>
      <c r="Q3588" s="4">
        <f t="shared" si="225"/>
        <v>1.0477630803859693E-3</v>
      </c>
      <c r="R3588" s="4">
        <f t="shared" si="225"/>
        <v>-1.295059769262016E-2</v>
      </c>
      <c r="S3588" s="4">
        <f t="shared" si="225"/>
        <v>8.0485333867223018E-3</v>
      </c>
      <c r="T3588" s="4">
        <f t="shared" si="225"/>
        <v>3.9002289502426514E-3</v>
      </c>
      <c r="U3588" s="35"/>
      <c r="V3588" s="35"/>
      <c r="W3588" s="35"/>
      <c r="X3588" s="35"/>
    </row>
    <row r="3589" spans="4:24" x14ac:dyDescent="0.3">
      <c r="D3589" s="23">
        <v>44789</v>
      </c>
      <c r="E3589" s="5">
        <v>418.30874599999999</v>
      </c>
      <c r="F3589" s="28">
        <v>72.240039999999993</v>
      </c>
      <c r="G3589" s="28">
        <v>165.42</v>
      </c>
      <c r="H3589" s="28">
        <v>328.18729999999999</v>
      </c>
      <c r="I3589" s="28">
        <v>210.20240000000001</v>
      </c>
      <c r="J3589" s="29"/>
      <c r="K3589" s="29"/>
      <c r="L3589" s="29"/>
      <c r="M3589" s="29"/>
      <c r="N3589" s="29"/>
      <c r="P3589" s="4">
        <f t="shared" ref="P3589:T3604" si="226">LN(E3589/E3588)</f>
        <v>1.956732428852347E-3</v>
      </c>
      <c r="Q3589" s="4">
        <f t="shared" si="226"/>
        <v>-1.3103253617157494E-3</v>
      </c>
      <c r="R3589" s="4">
        <f t="shared" si="226"/>
        <v>-1.7515783779421385E-3</v>
      </c>
      <c r="S3589" s="4">
        <f t="shared" si="226"/>
        <v>-2.3443850901268921E-3</v>
      </c>
      <c r="T3589" s="4">
        <f t="shared" si="226"/>
        <v>2.1297396167318863E-3</v>
      </c>
      <c r="U3589" s="35"/>
      <c r="V3589" s="35"/>
      <c r="W3589" s="35"/>
      <c r="X3589" s="35"/>
    </row>
    <row r="3590" spans="4:24" x14ac:dyDescent="0.3">
      <c r="D3590" s="23">
        <v>44790</v>
      </c>
      <c r="E3590" s="5">
        <v>415.33963</v>
      </c>
      <c r="F3590" s="28">
        <v>71.813869999999994</v>
      </c>
      <c r="G3590" s="28">
        <v>164.35</v>
      </c>
      <c r="H3590" s="28">
        <v>324.44389999999999</v>
      </c>
      <c r="I3590" s="28">
        <v>208.31649999999999</v>
      </c>
      <c r="J3590" s="29"/>
      <c r="K3590" s="29"/>
      <c r="L3590" s="29"/>
      <c r="M3590" s="29"/>
      <c r="N3590" s="29"/>
      <c r="P3590" s="4">
        <f t="shared" si="226"/>
        <v>-7.1232155904807888E-3</v>
      </c>
      <c r="Q3590" s="4">
        <f t="shared" si="226"/>
        <v>-5.9168299327709258E-3</v>
      </c>
      <c r="R3590" s="4">
        <f t="shared" si="226"/>
        <v>-6.4893941535319466E-3</v>
      </c>
      <c r="S3590" s="4">
        <f t="shared" si="226"/>
        <v>-1.1471842147652254E-2</v>
      </c>
      <c r="T3590" s="4">
        <f t="shared" si="226"/>
        <v>-9.0123182713045397E-3</v>
      </c>
      <c r="U3590" s="35"/>
      <c r="V3590" s="35"/>
      <c r="W3590" s="35"/>
      <c r="X3590" s="35"/>
    </row>
    <row r="3591" spans="4:24" x14ac:dyDescent="0.3">
      <c r="D3591" s="23">
        <v>44791</v>
      </c>
      <c r="E3591" s="5">
        <v>416.54681399999998</v>
      </c>
      <c r="F3591" s="28">
        <v>71.946460000000002</v>
      </c>
      <c r="G3591" s="28">
        <v>163.92</v>
      </c>
      <c r="H3591" s="28">
        <v>325.2242</v>
      </c>
      <c r="I3591" s="28">
        <v>208.86089999999999</v>
      </c>
      <c r="J3591" s="29"/>
      <c r="K3591" s="29"/>
      <c r="L3591" s="29"/>
      <c r="M3591" s="29"/>
      <c r="N3591" s="29"/>
      <c r="P3591" s="4">
        <f t="shared" si="226"/>
        <v>2.9022827720634227E-3</v>
      </c>
      <c r="Q3591" s="4">
        <f t="shared" si="226"/>
        <v>1.844598403402083E-3</v>
      </c>
      <c r="R3591" s="4">
        <f t="shared" si="226"/>
        <v>-2.6197961795841646E-3</v>
      </c>
      <c r="S3591" s="4">
        <f t="shared" si="226"/>
        <v>2.4021508065905123E-3</v>
      </c>
      <c r="T3591" s="4">
        <f t="shared" si="226"/>
        <v>2.609922344900924E-3</v>
      </c>
      <c r="U3591" s="35"/>
      <c r="V3591" s="35"/>
      <c r="W3591" s="35"/>
      <c r="X3591" s="35"/>
    </row>
    <row r="3592" spans="4:24" x14ac:dyDescent="0.3">
      <c r="D3592" s="23">
        <v>44792</v>
      </c>
      <c r="E3592" s="5">
        <v>410.94921900000003</v>
      </c>
      <c r="F3592" s="28">
        <v>71.491900000000001</v>
      </c>
      <c r="G3592" s="28">
        <v>162.72</v>
      </c>
      <c r="H3592" s="28">
        <v>318.88330000000002</v>
      </c>
      <c r="I3592" s="28">
        <v>205.8766</v>
      </c>
      <c r="J3592" s="29"/>
      <c r="K3592" s="29"/>
      <c r="L3592" s="29"/>
      <c r="M3592" s="29"/>
      <c r="N3592" s="29"/>
      <c r="P3592" s="4">
        <f t="shared" si="226"/>
        <v>-1.35292017318834E-2</v>
      </c>
      <c r="Q3592" s="4">
        <f t="shared" si="226"/>
        <v>-6.3380747198127467E-3</v>
      </c>
      <c r="R3592" s="4">
        <f t="shared" si="226"/>
        <v>-7.3475716303944101E-3</v>
      </c>
      <c r="S3592" s="4">
        <f t="shared" si="226"/>
        <v>-1.9689585517639999E-2</v>
      </c>
      <c r="T3592" s="4">
        <f t="shared" si="226"/>
        <v>-1.4391519974959627E-2</v>
      </c>
      <c r="U3592" s="35"/>
      <c r="V3592" s="35"/>
      <c r="W3592" s="35"/>
      <c r="X3592" s="35"/>
    </row>
    <row r="3593" spans="4:24" x14ac:dyDescent="0.3">
      <c r="D3593" s="23">
        <v>44795</v>
      </c>
      <c r="E3593" s="5">
        <v>402.39221199999997</v>
      </c>
      <c r="F3593" s="28">
        <v>71.169889999999995</v>
      </c>
      <c r="G3593" s="28">
        <v>161.63999999999999</v>
      </c>
      <c r="H3593" s="28">
        <v>310.488</v>
      </c>
      <c r="I3593" s="28">
        <v>201.47309999999999</v>
      </c>
      <c r="J3593" s="29"/>
      <c r="K3593" s="29"/>
      <c r="L3593" s="29"/>
      <c r="M3593" s="29"/>
      <c r="N3593" s="29"/>
      <c r="P3593" s="4">
        <f t="shared" si="226"/>
        <v>-2.1042387396691717E-2</v>
      </c>
      <c r="Q3593" s="4">
        <f t="shared" si="226"/>
        <v>-4.5143208543196962E-3</v>
      </c>
      <c r="R3593" s="4">
        <f t="shared" si="226"/>
        <v>-6.6592920899769606E-3</v>
      </c>
      <c r="S3593" s="4">
        <f t="shared" si="226"/>
        <v>-2.6679951847748351E-2</v>
      </c>
      <c r="T3593" s="4">
        <f t="shared" si="226"/>
        <v>-2.162108645805727E-2</v>
      </c>
      <c r="U3593" s="35"/>
      <c r="V3593" s="35"/>
      <c r="W3593" s="35"/>
      <c r="X3593" s="35"/>
    </row>
    <row r="3594" spans="4:24" x14ac:dyDescent="0.3">
      <c r="D3594" s="23">
        <v>44796</v>
      </c>
      <c r="E3594" s="5">
        <v>401.418701</v>
      </c>
      <c r="F3594" s="28">
        <v>71.141490000000005</v>
      </c>
      <c r="G3594" s="28">
        <v>162.77000000000001</v>
      </c>
      <c r="H3594" s="28">
        <v>310.2312</v>
      </c>
      <c r="I3594" s="28">
        <v>201.09399999999999</v>
      </c>
      <c r="J3594" s="29"/>
      <c r="K3594" s="29"/>
      <c r="L3594" s="29"/>
      <c r="M3594" s="29"/>
      <c r="N3594" s="29"/>
      <c r="P3594" s="4">
        <f t="shared" si="226"/>
        <v>-2.4222400075468494E-3</v>
      </c>
      <c r="Q3594" s="4">
        <f t="shared" si="226"/>
        <v>-3.9912479770770284E-4</v>
      </c>
      <c r="R3594" s="4">
        <f t="shared" si="226"/>
        <v>6.9665211931340442E-3</v>
      </c>
      <c r="S3594" s="4">
        <f t="shared" si="226"/>
        <v>-8.2742732833533444E-4</v>
      </c>
      <c r="T3594" s="4">
        <f t="shared" si="226"/>
        <v>-1.8834132847089814E-3</v>
      </c>
      <c r="U3594" s="35"/>
      <c r="V3594" s="35"/>
      <c r="W3594" s="35"/>
      <c r="X3594" s="35"/>
    </row>
    <row r="3595" spans="4:24" x14ac:dyDescent="0.3">
      <c r="D3595" s="23">
        <v>44797</v>
      </c>
      <c r="E3595" s="5">
        <v>402.70370500000001</v>
      </c>
      <c r="F3595" s="28">
        <v>70.961550000000003</v>
      </c>
      <c r="G3595" s="28">
        <v>163.25</v>
      </c>
      <c r="H3595" s="28">
        <v>311.13</v>
      </c>
      <c r="I3595" s="28">
        <v>201.93969999999999</v>
      </c>
      <c r="J3595" s="29"/>
      <c r="K3595" s="29"/>
      <c r="L3595" s="29"/>
      <c r="M3595" s="29"/>
      <c r="N3595" s="29"/>
      <c r="P3595" s="4">
        <f t="shared" si="226"/>
        <v>3.1960434984488642E-3</v>
      </c>
      <c r="Q3595" s="4">
        <f t="shared" si="226"/>
        <v>-2.5325298624650572E-3</v>
      </c>
      <c r="R3595" s="4">
        <f t="shared" si="226"/>
        <v>2.9446067531335562E-3</v>
      </c>
      <c r="S3595" s="4">
        <f t="shared" si="226"/>
        <v>2.8930053143774309E-3</v>
      </c>
      <c r="T3595" s="4">
        <f t="shared" si="226"/>
        <v>4.1966775543213477E-3</v>
      </c>
      <c r="U3595" s="35"/>
      <c r="V3595" s="35"/>
      <c r="W3595" s="35"/>
      <c r="X3595" s="35"/>
    </row>
    <row r="3596" spans="4:24" x14ac:dyDescent="0.3">
      <c r="D3596" s="23">
        <v>44798</v>
      </c>
      <c r="E3596" s="5">
        <v>408.38888500000002</v>
      </c>
      <c r="F3596" s="28">
        <v>71.349829999999997</v>
      </c>
      <c r="G3596" s="28">
        <v>163.75</v>
      </c>
      <c r="H3596" s="28">
        <v>316.63139999999999</v>
      </c>
      <c r="I3596" s="28">
        <v>204.8656</v>
      </c>
      <c r="J3596" s="29"/>
      <c r="K3596" s="29"/>
      <c r="L3596" s="29"/>
      <c r="M3596" s="29"/>
      <c r="N3596" s="29"/>
      <c r="P3596" s="4">
        <f t="shared" si="226"/>
        <v>1.4018801743005823E-2</v>
      </c>
      <c r="Q3596" s="4">
        <f t="shared" si="226"/>
        <v>5.4567802443655439E-3</v>
      </c>
      <c r="R3596" s="4">
        <f t="shared" si="226"/>
        <v>3.0581063588208724E-3</v>
      </c>
      <c r="S3596" s="4">
        <f t="shared" si="226"/>
        <v>1.7527490033748525E-2</v>
      </c>
      <c r="T3596" s="4">
        <f t="shared" si="226"/>
        <v>1.4385016390963668E-2</v>
      </c>
      <c r="U3596" s="35"/>
      <c r="V3596" s="35"/>
      <c r="W3596" s="35"/>
      <c r="X3596" s="35"/>
    </row>
    <row r="3597" spans="4:24" x14ac:dyDescent="0.3">
      <c r="D3597" s="23">
        <v>44799</v>
      </c>
      <c r="E3597" s="5">
        <v>394.565338</v>
      </c>
      <c r="F3597" s="28">
        <v>71.207759999999993</v>
      </c>
      <c r="G3597" s="28">
        <v>161.76</v>
      </c>
      <c r="H3597" s="28">
        <v>303.65320000000003</v>
      </c>
      <c r="I3597" s="28">
        <v>198.0805</v>
      </c>
      <c r="J3597" s="29"/>
      <c r="K3597" s="29"/>
      <c r="L3597" s="29"/>
      <c r="M3597" s="29"/>
      <c r="N3597" s="29"/>
      <c r="P3597" s="4">
        <f t="shared" si="226"/>
        <v>-3.4435121076622791E-2</v>
      </c>
      <c r="Q3597" s="4">
        <f t="shared" si="226"/>
        <v>-1.9931600559929021E-3</v>
      </c>
      <c r="R3597" s="4">
        <f t="shared" si="226"/>
        <v>-1.2227119243200033E-2</v>
      </c>
      <c r="S3597" s="4">
        <f t="shared" si="226"/>
        <v>-4.1852060566573632E-2</v>
      </c>
      <c r="T3597" s="4">
        <f t="shared" si="226"/>
        <v>-3.3680640650577305E-2</v>
      </c>
      <c r="U3597" s="35"/>
      <c r="V3597" s="35"/>
      <c r="W3597" s="35"/>
      <c r="X3597" s="35"/>
    </row>
    <row r="3598" spans="4:24" x14ac:dyDescent="0.3">
      <c r="D3598" s="23">
        <v>44802</v>
      </c>
      <c r="E3598" s="5">
        <v>391.95639</v>
      </c>
      <c r="F3598" s="28">
        <v>70.885800000000003</v>
      </c>
      <c r="G3598" s="28">
        <v>161.86000000000001</v>
      </c>
      <c r="H3598" s="28">
        <v>300.66059999999999</v>
      </c>
      <c r="I3598" s="28">
        <v>196.63210000000001</v>
      </c>
      <c r="J3598" s="29"/>
      <c r="K3598" s="29"/>
      <c r="L3598" s="29"/>
      <c r="M3598" s="29"/>
      <c r="N3598" s="29"/>
      <c r="P3598" s="4">
        <f t="shared" si="226"/>
        <v>-6.6341652770639638E-3</v>
      </c>
      <c r="Q3598" s="4">
        <f t="shared" si="226"/>
        <v>-4.5316698516320213E-3</v>
      </c>
      <c r="R3598" s="4">
        <f t="shared" si="226"/>
        <v>6.1800879539462177E-4</v>
      </c>
      <c r="S3598" s="4">
        <f t="shared" si="226"/>
        <v>-9.9042069295716146E-3</v>
      </c>
      <c r="T3598" s="4">
        <f t="shared" si="226"/>
        <v>-7.3390436539631744E-3</v>
      </c>
      <c r="U3598" s="35"/>
      <c r="V3598" s="35"/>
      <c r="W3598" s="35"/>
      <c r="X3598" s="35"/>
    </row>
    <row r="3599" spans="4:24" x14ac:dyDescent="0.3">
      <c r="D3599" s="23">
        <v>44803</v>
      </c>
      <c r="E3599" s="5">
        <v>387.653503</v>
      </c>
      <c r="F3599" s="28">
        <v>70.942620000000005</v>
      </c>
      <c r="G3599" s="28">
        <v>160.51</v>
      </c>
      <c r="H3599" s="28">
        <v>297.31229999999999</v>
      </c>
      <c r="I3599" s="28">
        <v>194.44489999999999</v>
      </c>
      <c r="J3599" s="29"/>
      <c r="K3599" s="29"/>
      <c r="L3599" s="29"/>
      <c r="M3599" s="29"/>
      <c r="N3599" s="29"/>
      <c r="P3599" s="4">
        <f t="shared" si="226"/>
        <v>-1.1038676475583962E-2</v>
      </c>
      <c r="Q3599" s="4">
        <f t="shared" si="226"/>
        <v>8.0124989109909271E-4</v>
      </c>
      <c r="R3599" s="4">
        <f t="shared" si="226"/>
        <v>-8.3755181424295475E-3</v>
      </c>
      <c r="S3599" s="4">
        <f t="shared" si="226"/>
        <v>-1.1198952307955463E-2</v>
      </c>
      <c r="T3599" s="4">
        <f t="shared" si="226"/>
        <v>-1.1185637635976848E-2</v>
      </c>
      <c r="U3599" s="35"/>
      <c r="V3599" s="35"/>
      <c r="W3599" s="35"/>
      <c r="X3599" s="35"/>
    </row>
    <row r="3600" spans="4:24" x14ac:dyDescent="0.3">
      <c r="D3600" s="23">
        <v>44804</v>
      </c>
      <c r="E3600" s="5">
        <v>384.70385700000003</v>
      </c>
      <c r="F3600" s="28">
        <v>70.649039999999999</v>
      </c>
      <c r="G3600" s="28">
        <v>159.27000000000001</v>
      </c>
      <c r="H3600" s="28">
        <v>295.58390000000003</v>
      </c>
      <c r="I3600" s="28">
        <v>193.01599999999999</v>
      </c>
      <c r="J3600" s="29"/>
      <c r="K3600" s="29"/>
      <c r="L3600" s="29"/>
      <c r="M3600" s="29"/>
      <c r="N3600" s="29"/>
      <c r="P3600" s="4">
        <f t="shared" si="226"/>
        <v>-7.6380714238675198E-3</v>
      </c>
      <c r="Q3600" s="4">
        <f t="shared" si="226"/>
        <v>-4.1468603547843439E-3</v>
      </c>
      <c r="R3600" s="4">
        <f t="shared" si="226"/>
        <v>-7.7553706614364526E-3</v>
      </c>
      <c r="S3600" s="4">
        <f t="shared" si="226"/>
        <v>-5.83037940256301E-3</v>
      </c>
      <c r="T3600" s="4">
        <f t="shared" si="226"/>
        <v>-7.375745412593027E-3</v>
      </c>
      <c r="U3600" s="35"/>
      <c r="V3600" s="35"/>
      <c r="W3600" s="35"/>
      <c r="X3600" s="35"/>
    </row>
    <row r="3601" spans="4:24" x14ac:dyDescent="0.3">
      <c r="D3601" s="23">
        <v>44805</v>
      </c>
      <c r="E3601" s="5">
        <v>385.91104100000001</v>
      </c>
      <c r="F3601" s="28">
        <v>70.265609999999995</v>
      </c>
      <c r="G3601" s="28">
        <v>157.87</v>
      </c>
      <c r="H3601" s="28">
        <v>295.7122</v>
      </c>
      <c r="I3601" s="28">
        <v>193.1326</v>
      </c>
      <c r="J3601" s="29"/>
      <c r="K3601" s="29"/>
      <c r="L3601" s="29"/>
      <c r="M3601" s="29"/>
      <c r="N3601" s="29"/>
      <c r="P3601" s="4">
        <f t="shared" si="226"/>
        <v>3.1330434711435121E-3</v>
      </c>
      <c r="Q3601" s="4">
        <f t="shared" si="226"/>
        <v>-5.4420309924515919E-3</v>
      </c>
      <c r="R3601" s="4">
        <f t="shared" si="226"/>
        <v>-8.8289657200543194E-3</v>
      </c>
      <c r="S3601" s="4">
        <f t="shared" si="226"/>
        <v>4.339619422941145E-4</v>
      </c>
      <c r="T3601" s="4">
        <f t="shared" si="226"/>
        <v>6.0391260537396934E-4</v>
      </c>
      <c r="U3601" s="35"/>
      <c r="V3601" s="35"/>
      <c r="W3601" s="35"/>
      <c r="X3601" s="35"/>
    </row>
    <row r="3602" spans="4:24" x14ac:dyDescent="0.3">
      <c r="D3602" s="23">
        <v>44806</v>
      </c>
      <c r="E3602" s="5">
        <v>381.84182700000002</v>
      </c>
      <c r="F3602" s="28">
        <v>70.445949999999996</v>
      </c>
      <c r="G3602" s="28">
        <v>159.26</v>
      </c>
      <c r="H3602" s="28">
        <v>291.53440000000001</v>
      </c>
      <c r="I3602" s="28">
        <v>191.21770000000001</v>
      </c>
      <c r="J3602" s="29"/>
      <c r="K3602" s="29"/>
      <c r="L3602" s="29"/>
      <c r="M3602" s="29"/>
      <c r="N3602" s="29"/>
      <c r="P3602" s="4">
        <f t="shared" si="226"/>
        <v>-1.0600421760632929E-2</v>
      </c>
      <c r="Q3602" s="4">
        <f t="shared" si="226"/>
        <v>2.5632591770088334E-3</v>
      </c>
      <c r="R3602" s="4">
        <f t="shared" si="226"/>
        <v>8.7661772856631442E-3</v>
      </c>
      <c r="S3602" s="4">
        <f t="shared" si="226"/>
        <v>-1.4228674919655744E-2</v>
      </c>
      <c r="T3602" s="4">
        <f t="shared" si="226"/>
        <v>-9.9644300740977399E-3</v>
      </c>
      <c r="U3602" s="35"/>
      <c r="V3602" s="35"/>
      <c r="W3602" s="35"/>
      <c r="X3602" s="35"/>
    </row>
    <row r="3603" spans="4:24" x14ac:dyDescent="0.3">
      <c r="D3603" s="23">
        <v>44810</v>
      </c>
      <c r="E3603" s="5">
        <v>380.40106200000002</v>
      </c>
      <c r="F3603" s="28">
        <v>69.810100000000006</v>
      </c>
      <c r="G3603" s="28">
        <v>158.33000000000001</v>
      </c>
      <c r="H3603" s="28">
        <v>289.44040000000001</v>
      </c>
      <c r="I3603" s="28">
        <v>190.44</v>
      </c>
      <c r="J3603" s="29"/>
      <c r="K3603" s="29"/>
      <c r="L3603" s="29"/>
      <c r="M3603" s="29"/>
      <c r="N3603" s="29"/>
      <c r="P3603" s="4">
        <f t="shared" si="226"/>
        <v>-3.7803349473360085E-3</v>
      </c>
      <c r="Q3603" s="4">
        <f t="shared" si="226"/>
        <v>-9.0670506715539202E-3</v>
      </c>
      <c r="R3603" s="4">
        <f t="shared" si="226"/>
        <v>-5.856624315955814E-3</v>
      </c>
      <c r="S3603" s="4">
        <f t="shared" si="226"/>
        <v>-7.2086054944515525E-3</v>
      </c>
      <c r="T3603" s="4">
        <f t="shared" si="226"/>
        <v>-4.0753852281039497E-3</v>
      </c>
      <c r="U3603" s="35"/>
      <c r="V3603" s="35"/>
      <c r="W3603" s="35"/>
      <c r="X3603" s="35"/>
    </row>
    <row r="3604" spans="4:24" x14ac:dyDescent="0.3">
      <c r="D3604" s="23">
        <v>44811</v>
      </c>
      <c r="E3604" s="5">
        <v>387.23498499999999</v>
      </c>
      <c r="F3604" s="28">
        <v>70.313069999999996</v>
      </c>
      <c r="G3604" s="28">
        <v>159.94</v>
      </c>
      <c r="H3604" s="28">
        <v>295.28750000000002</v>
      </c>
      <c r="I3604" s="28">
        <v>193.9589</v>
      </c>
      <c r="J3604" s="29"/>
      <c r="K3604" s="29"/>
      <c r="L3604" s="29"/>
      <c r="M3604" s="29"/>
      <c r="N3604" s="29"/>
      <c r="P3604" s="4">
        <f t="shared" si="226"/>
        <v>1.7805582677629727E-2</v>
      </c>
      <c r="Q3604" s="4">
        <f t="shared" si="226"/>
        <v>7.1790005917298904E-3</v>
      </c>
      <c r="R3604" s="4">
        <f t="shared" si="226"/>
        <v>1.0117282390400979E-2</v>
      </c>
      <c r="S3604" s="4">
        <f t="shared" si="226"/>
        <v>2.0000054394853164E-2</v>
      </c>
      <c r="T3604" s="4">
        <f t="shared" si="226"/>
        <v>1.8309096622324498E-2</v>
      </c>
      <c r="U3604" s="35"/>
      <c r="V3604" s="35"/>
      <c r="W3604" s="35"/>
      <c r="X3604" s="35"/>
    </row>
    <row r="3605" spans="4:24" x14ac:dyDescent="0.3">
      <c r="D3605" s="23">
        <v>44812</v>
      </c>
      <c r="E3605" s="5">
        <v>389.766052</v>
      </c>
      <c r="F3605" s="28">
        <v>70.094800000000006</v>
      </c>
      <c r="G3605" s="28">
        <v>158.97999999999999</v>
      </c>
      <c r="H3605" s="28">
        <v>296.8184</v>
      </c>
      <c r="I3605" s="28">
        <v>195.4948</v>
      </c>
      <c r="J3605" s="29"/>
      <c r="K3605" s="29"/>
      <c r="L3605" s="29"/>
      <c r="M3605" s="29"/>
      <c r="N3605" s="29"/>
      <c r="P3605" s="4">
        <f t="shared" ref="P3605:T3620" si="227">LN(E3605/E3604)</f>
        <v>6.5149873219568803E-3</v>
      </c>
      <c r="Q3605" s="4">
        <f t="shared" si="227"/>
        <v>-3.1090874866797169E-3</v>
      </c>
      <c r="R3605" s="4">
        <f t="shared" si="227"/>
        <v>-6.0203367587773268E-3</v>
      </c>
      <c r="S3605" s="4">
        <f t="shared" si="227"/>
        <v>5.1710459609261563E-3</v>
      </c>
      <c r="T3605" s="4">
        <f t="shared" si="227"/>
        <v>7.8874996575594592E-3</v>
      </c>
      <c r="U3605" s="35"/>
      <c r="V3605" s="35"/>
      <c r="W3605" s="35"/>
      <c r="X3605" s="35"/>
    </row>
    <row r="3606" spans="4:24" x14ac:dyDescent="0.3">
      <c r="D3606" s="23">
        <v>44813</v>
      </c>
      <c r="E3606" s="5">
        <v>395.821167</v>
      </c>
      <c r="F3606" s="28">
        <v>70.066339999999997</v>
      </c>
      <c r="G3606" s="28">
        <v>159.82</v>
      </c>
      <c r="H3606" s="28">
        <v>303.30759999999998</v>
      </c>
      <c r="I3606" s="28">
        <v>198.7415</v>
      </c>
      <c r="J3606" s="29"/>
      <c r="K3606" s="29"/>
      <c r="L3606" s="29"/>
      <c r="M3606" s="29"/>
      <c r="N3606" s="29"/>
      <c r="P3606" s="4">
        <f t="shared" si="227"/>
        <v>1.5415818303293844E-2</v>
      </c>
      <c r="Q3606" s="4">
        <f t="shared" si="227"/>
        <v>-4.0610400844546412E-4</v>
      </c>
      <c r="R3606" s="4">
        <f t="shared" si="227"/>
        <v>5.2697738013501218E-3</v>
      </c>
      <c r="S3606" s="4">
        <f t="shared" si="227"/>
        <v>2.1626968098441189E-2</v>
      </c>
      <c r="T3606" s="4">
        <f t="shared" si="227"/>
        <v>1.6471204718095035E-2</v>
      </c>
      <c r="U3606" s="35"/>
      <c r="V3606" s="35"/>
      <c r="W3606" s="35"/>
      <c r="X3606" s="35"/>
    </row>
    <row r="3607" spans="4:24" x14ac:dyDescent="0.3">
      <c r="D3607" s="23">
        <v>44816</v>
      </c>
      <c r="E3607" s="5">
        <v>400.075287</v>
      </c>
      <c r="F3607" s="28">
        <v>69.980919999999998</v>
      </c>
      <c r="G3607" s="28">
        <v>160.63</v>
      </c>
      <c r="H3607" s="28">
        <v>306.9126</v>
      </c>
      <c r="I3607" s="28">
        <v>200.8801</v>
      </c>
      <c r="J3607" s="29"/>
      <c r="K3607" s="29"/>
      <c r="L3607" s="29"/>
      <c r="M3607" s="29"/>
      <c r="N3607" s="29"/>
      <c r="P3607" s="4">
        <f t="shared" si="227"/>
        <v>1.0690236128964541E-2</v>
      </c>
      <c r="Q3607" s="4">
        <f t="shared" si="227"/>
        <v>-1.2198740709776998E-3</v>
      </c>
      <c r="R3607" s="4">
        <f t="shared" si="227"/>
        <v>5.0554016233580043E-3</v>
      </c>
      <c r="S3607" s="4">
        <f t="shared" si="227"/>
        <v>1.181554442215791E-2</v>
      </c>
      <c r="T3607" s="4">
        <f t="shared" si="227"/>
        <v>1.0703227334546407E-2</v>
      </c>
      <c r="U3607" s="35"/>
      <c r="V3607" s="35"/>
      <c r="W3607" s="35"/>
      <c r="X3607" s="35"/>
    </row>
    <row r="3608" spans="4:24" x14ac:dyDescent="0.3">
      <c r="D3608" s="23">
        <v>44817</v>
      </c>
      <c r="E3608" s="5">
        <v>382.67904700000003</v>
      </c>
      <c r="F3608" s="28">
        <v>69.629779999999997</v>
      </c>
      <c r="G3608" s="28">
        <v>158.54</v>
      </c>
      <c r="H3608" s="28">
        <v>290.08249999999998</v>
      </c>
      <c r="I3608" s="28">
        <v>192.24809999999999</v>
      </c>
      <c r="J3608" s="29"/>
      <c r="K3608" s="29"/>
      <c r="L3608" s="29"/>
      <c r="M3608" s="29"/>
      <c r="N3608" s="29"/>
      <c r="P3608" s="4">
        <f t="shared" si="227"/>
        <v>-4.4456106421772168E-2</v>
      </c>
      <c r="Q3608" s="4">
        <f t="shared" si="227"/>
        <v>-5.0302840746420663E-3</v>
      </c>
      <c r="R3608" s="4">
        <f t="shared" si="227"/>
        <v>-1.3096656160665028E-2</v>
      </c>
      <c r="S3608" s="4">
        <f t="shared" si="227"/>
        <v>-5.6397651219809407E-2</v>
      </c>
      <c r="T3608" s="4">
        <f t="shared" si="227"/>
        <v>-4.3921487286816253E-2</v>
      </c>
      <c r="U3608" s="35"/>
      <c r="V3608" s="35"/>
      <c r="W3608" s="35"/>
      <c r="X3608" s="35"/>
    </row>
    <row r="3609" spans="4:24" x14ac:dyDescent="0.3">
      <c r="D3609" s="23">
        <v>44818</v>
      </c>
      <c r="E3609" s="5">
        <v>384.139252</v>
      </c>
      <c r="F3609" s="28">
        <v>69.715190000000007</v>
      </c>
      <c r="G3609" s="28">
        <v>157.93</v>
      </c>
      <c r="H3609" s="28">
        <v>292.38369999999998</v>
      </c>
      <c r="I3609" s="28">
        <v>192.9966</v>
      </c>
      <c r="J3609" s="29"/>
      <c r="K3609" s="29"/>
      <c r="L3609" s="29"/>
      <c r="M3609" s="29"/>
      <c r="N3609" s="29"/>
      <c r="P3609" s="4">
        <f t="shared" si="227"/>
        <v>3.8084817925440701E-3</v>
      </c>
      <c r="Q3609" s="4">
        <f t="shared" si="227"/>
        <v>1.2258786333805842E-3</v>
      </c>
      <c r="R3609" s="4">
        <f t="shared" si="227"/>
        <v>-3.855030527046526E-3</v>
      </c>
      <c r="S3609" s="4">
        <f t="shared" si="227"/>
        <v>7.9016154861534672E-3</v>
      </c>
      <c r="T3609" s="4">
        <f t="shared" si="227"/>
        <v>3.885846797373842E-3</v>
      </c>
      <c r="U3609" s="35"/>
      <c r="V3609" s="35"/>
      <c r="W3609" s="35"/>
      <c r="X3609" s="35"/>
    </row>
    <row r="3610" spans="4:24" x14ac:dyDescent="0.3">
      <c r="D3610" s="23">
        <v>44819</v>
      </c>
      <c r="E3610" s="5">
        <v>379.77801499999998</v>
      </c>
      <c r="F3610" s="28">
        <v>69.506410000000002</v>
      </c>
      <c r="G3610" s="28">
        <v>154.97999999999999</v>
      </c>
      <c r="H3610" s="28">
        <v>287.5145</v>
      </c>
      <c r="I3610" s="28">
        <v>190.9358</v>
      </c>
      <c r="J3610" s="29"/>
      <c r="K3610" s="29"/>
      <c r="L3610" s="29"/>
      <c r="M3610" s="29"/>
      <c r="N3610" s="29"/>
      <c r="P3610" s="4">
        <f t="shared" si="227"/>
        <v>-1.1418211294651783E-2</v>
      </c>
      <c r="Q3610" s="4">
        <f t="shared" si="227"/>
        <v>-2.9992494915537264E-3</v>
      </c>
      <c r="R3610" s="4">
        <f t="shared" si="227"/>
        <v>-1.885582054615919E-2</v>
      </c>
      <c r="S3610" s="4">
        <f t="shared" si="227"/>
        <v>-1.6793687019523742E-2</v>
      </c>
      <c r="T3610" s="4">
        <f t="shared" si="227"/>
        <v>-1.0735326280110855E-2</v>
      </c>
      <c r="U3610" s="35"/>
      <c r="V3610" s="35"/>
      <c r="W3610" s="35"/>
      <c r="X3610" s="35"/>
    </row>
    <row r="3611" spans="4:24" x14ac:dyDescent="0.3">
      <c r="D3611" s="23">
        <v>44820</v>
      </c>
      <c r="E3611" s="5">
        <v>376.88073700000001</v>
      </c>
      <c r="F3611" s="28">
        <v>69.43047</v>
      </c>
      <c r="G3611" s="28">
        <v>155.84</v>
      </c>
      <c r="H3611" s="28">
        <v>285.75639999999999</v>
      </c>
      <c r="I3611" s="28">
        <v>189.19569999999999</v>
      </c>
      <c r="J3611" s="29"/>
      <c r="K3611" s="29"/>
      <c r="L3611" s="29"/>
      <c r="M3611" s="29"/>
      <c r="N3611" s="29"/>
      <c r="P3611" s="4">
        <f t="shared" si="227"/>
        <v>-7.6581210539255918E-3</v>
      </c>
      <c r="Q3611" s="4">
        <f t="shared" si="227"/>
        <v>-1.0931583833224702E-3</v>
      </c>
      <c r="R3611" s="4">
        <f t="shared" si="227"/>
        <v>5.5337635584208492E-3</v>
      </c>
      <c r="S3611" s="4">
        <f t="shared" si="227"/>
        <v>-6.1335941237665526E-3</v>
      </c>
      <c r="T3611" s="4">
        <f t="shared" si="227"/>
        <v>-9.155316802507852E-3</v>
      </c>
      <c r="U3611" s="35"/>
      <c r="V3611" s="35"/>
      <c r="W3611" s="35"/>
      <c r="X3611" s="35"/>
    </row>
    <row r="3612" spans="4:24" x14ac:dyDescent="0.3">
      <c r="D3612" s="23">
        <v>44823</v>
      </c>
      <c r="E3612" s="5">
        <v>379.80343599999998</v>
      </c>
      <c r="F3612" s="28">
        <v>69.383039999999994</v>
      </c>
      <c r="G3612" s="28">
        <v>155.96</v>
      </c>
      <c r="H3612" s="28">
        <v>287.98169999999999</v>
      </c>
      <c r="I3612" s="28">
        <v>190.53720000000001</v>
      </c>
      <c r="J3612" s="29"/>
      <c r="K3612" s="29"/>
      <c r="L3612" s="29"/>
      <c r="M3612" s="29"/>
      <c r="N3612" s="29"/>
      <c r="P3612" s="4">
        <f t="shared" si="227"/>
        <v>7.7250552845494662E-3</v>
      </c>
      <c r="Q3612" s="4">
        <f t="shared" si="227"/>
        <v>-6.8336290676260193E-4</v>
      </c>
      <c r="R3612" s="4">
        <f t="shared" si="227"/>
        <v>7.6972422017168184E-4</v>
      </c>
      <c r="S3612" s="4">
        <f t="shared" si="227"/>
        <v>7.7572368259656577E-3</v>
      </c>
      <c r="T3612" s="4">
        <f t="shared" si="227"/>
        <v>7.0655220067283551E-3</v>
      </c>
      <c r="U3612" s="35"/>
      <c r="V3612" s="35"/>
      <c r="W3612" s="35"/>
      <c r="X3612" s="35"/>
    </row>
    <row r="3613" spans="4:24" x14ac:dyDescent="0.3">
      <c r="D3613" s="23">
        <v>44824</v>
      </c>
      <c r="E3613" s="5">
        <v>375.44381700000002</v>
      </c>
      <c r="F3613" s="28">
        <v>69.041390000000007</v>
      </c>
      <c r="G3613" s="28">
        <v>155.07</v>
      </c>
      <c r="H3613" s="28">
        <v>285.68619999999999</v>
      </c>
      <c r="I3613" s="28">
        <v>188.32089999999999</v>
      </c>
      <c r="J3613" s="29"/>
      <c r="K3613" s="29"/>
      <c r="L3613" s="29"/>
      <c r="M3613" s="29"/>
      <c r="N3613" s="29"/>
      <c r="P3613" s="4">
        <f t="shared" si="227"/>
        <v>-1.154500703185902E-2</v>
      </c>
      <c r="Q3613" s="4">
        <f t="shared" si="227"/>
        <v>-4.9362774149591428E-3</v>
      </c>
      <c r="R3613" s="4">
        <f t="shared" si="227"/>
        <v>-5.7229362383389958E-3</v>
      </c>
      <c r="S3613" s="4">
        <f t="shared" si="227"/>
        <v>-8.002930795414637E-3</v>
      </c>
      <c r="T3613" s="4">
        <f t="shared" si="227"/>
        <v>-1.1700028493558579E-2</v>
      </c>
      <c r="U3613" s="35"/>
      <c r="V3613" s="35"/>
      <c r="W3613" s="35"/>
      <c r="X3613" s="35"/>
    </row>
    <row r="3614" spans="4:24" x14ac:dyDescent="0.3">
      <c r="D3614" s="23">
        <v>44825</v>
      </c>
      <c r="E3614" s="5">
        <v>368.89462300000002</v>
      </c>
      <c r="F3614" s="28">
        <v>69.231179999999995</v>
      </c>
      <c r="G3614" s="28">
        <v>155.79</v>
      </c>
      <c r="H3614" s="28">
        <v>280.57060000000001</v>
      </c>
      <c r="I3614" s="28">
        <v>185.10329999999999</v>
      </c>
      <c r="J3614" s="29"/>
      <c r="K3614" s="29"/>
      <c r="L3614" s="29"/>
      <c r="M3614" s="29"/>
      <c r="N3614" s="29"/>
      <c r="P3614" s="4">
        <f t="shared" si="227"/>
        <v>-1.7597809441563424E-2</v>
      </c>
      <c r="Q3614" s="4">
        <f t="shared" si="227"/>
        <v>2.7451593499204343E-3</v>
      </c>
      <c r="R3614" s="4">
        <f t="shared" si="227"/>
        <v>4.6323186482795965E-3</v>
      </c>
      <c r="S3614" s="4">
        <f t="shared" si="227"/>
        <v>-1.8068618957092799E-2</v>
      </c>
      <c r="T3614" s="4">
        <f t="shared" si="227"/>
        <v>-1.7233374978448263E-2</v>
      </c>
      <c r="U3614" s="35"/>
      <c r="V3614" s="35"/>
      <c r="W3614" s="35"/>
      <c r="X3614" s="35"/>
    </row>
    <row r="3615" spans="4:24" x14ac:dyDescent="0.3">
      <c r="D3615" s="23">
        <v>44826</v>
      </c>
      <c r="E3615" s="5">
        <v>365.796021</v>
      </c>
      <c r="F3615" s="28">
        <v>68.519419999999997</v>
      </c>
      <c r="G3615" s="28">
        <v>155.69999999999999</v>
      </c>
      <c r="H3615" s="28">
        <v>277.11750000000001</v>
      </c>
      <c r="I3615" s="28">
        <v>183.03270000000001</v>
      </c>
      <c r="J3615" s="29"/>
      <c r="K3615" s="29"/>
      <c r="L3615" s="29"/>
      <c r="M3615" s="29"/>
      <c r="N3615" s="29"/>
      <c r="P3615" s="4">
        <f t="shared" si="227"/>
        <v>-8.4351703617119179E-3</v>
      </c>
      <c r="Q3615" s="4">
        <f t="shared" si="227"/>
        <v>-1.0334130440256323E-2</v>
      </c>
      <c r="R3615" s="4">
        <f t="shared" si="227"/>
        <v>-5.7786768438469109E-4</v>
      </c>
      <c r="S3615" s="4">
        <f t="shared" si="227"/>
        <v>-1.2383782727123495E-2</v>
      </c>
      <c r="T3615" s="4">
        <f t="shared" si="227"/>
        <v>-1.1249222218385415E-2</v>
      </c>
      <c r="U3615" s="35"/>
      <c r="V3615" s="35"/>
      <c r="W3615" s="35"/>
      <c r="X3615" s="35"/>
    </row>
    <row r="3616" spans="4:24" x14ac:dyDescent="0.3">
      <c r="D3616" s="23">
        <v>44827</v>
      </c>
      <c r="E3616" s="5">
        <v>359.66717499999999</v>
      </c>
      <c r="F3616" s="28">
        <v>68.329629999999995</v>
      </c>
      <c r="G3616" s="28">
        <v>153.01</v>
      </c>
      <c r="H3616" s="28">
        <v>272.60550000000001</v>
      </c>
      <c r="I3616" s="28">
        <v>179.87569999999999</v>
      </c>
      <c r="J3616" s="29"/>
      <c r="K3616" s="29"/>
      <c r="L3616" s="29"/>
      <c r="M3616" s="29"/>
      <c r="N3616" s="29"/>
      <c r="P3616" s="4">
        <f t="shared" si="227"/>
        <v>-1.6896768434183709E-2</v>
      </c>
      <c r="Q3616" s="4">
        <f t="shared" si="227"/>
        <v>-2.7737148585102829E-3</v>
      </c>
      <c r="R3616" s="4">
        <f t="shared" si="227"/>
        <v>-1.7427800106230556E-2</v>
      </c>
      <c r="S3616" s="4">
        <f t="shared" si="227"/>
        <v>-1.6415908829721493E-2</v>
      </c>
      <c r="T3616" s="4">
        <f t="shared" si="227"/>
        <v>-1.739876861177574E-2</v>
      </c>
      <c r="U3616" s="35"/>
      <c r="V3616" s="35"/>
      <c r="W3616" s="35"/>
      <c r="X3616" s="35"/>
    </row>
    <row r="3617" spans="4:24" x14ac:dyDescent="0.3">
      <c r="D3617" s="23">
        <v>44830</v>
      </c>
      <c r="E3617" s="5">
        <v>356.10910000000001</v>
      </c>
      <c r="F3617" s="28">
        <v>67.456509999999994</v>
      </c>
      <c r="G3617" s="28">
        <v>151.22999999999999</v>
      </c>
      <c r="H3617" s="28">
        <v>271.47750000000002</v>
      </c>
      <c r="I3617" s="28">
        <v>177.90379999999999</v>
      </c>
      <c r="J3617" s="29"/>
      <c r="K3617" s="29"/>
      <c r="L3617" s="29"/>
      <c r="M3617" s="29"/>
      <c r="N3617" s="29"/>
      <c r="P3617" s="4">
        <f t="shared" si="227"/>
        <v>-9.9419453580092965E-3</v>
      </c>
      <c r="Q3617" s="4">
        <f t="shared" si="227"/>
        <v>-1.2860399945605505E-2</v>
      </c>
      <c r="R3617" s="4">
        <f t="shared" si="227"/>
        <v>-1.1701421971072873E-2</v>
      </c>
      <c r="S3617" s="4">
        <f t="shared" si="227"/>
        <v>-4.1464321294069663E-3</v>
      </c>
      <c r="T3617" s="4">
        <f t="shared" si="227"/>
        <v>-1.1023102032897842E-2</v>
      </c>
      <c r="U3617" s="35"/>
      <c r="V3617" s="35"/>
      <c r="W3617" s="35"/>
      <c r="X3617" s="35"/>
    </row>
    <row r="3618" spans="4:24" x14ac:dyDescent="0.3">
      <c r="D3618" s="23">
        <v>44831</v>
      </c>
      <c r="E3618" s="5">
        <v>355.20004299999999</v>
      </c>
      <c r="F3618" s="28">
        <v>67.162310000000005</v>
      </c>
      <c r="G3618" s="28">
        <v>151.54</v>
      </c>
      <c r="H3618" s="28">
        <v>271.5865</v>
      </c>
      <c r="I3618" s="28">
        <v>177.64019999999999</v>
      </c>
      <c r="J3618" s="29"/>
      <c r="K3618" s="29"/>
      <c r="L3618" s="29"/>
      <c r="M3618" s="29"/>
      <c r="N3618" s="29"/>
      <c r="P3618" s="4">
        <f t="shared" si="227"/>
        <v>-2.5560124001410139E-3</v>
      </c>
      <c r="Q3618" s="4">
        <f t="shared" si="227"/>
        <v>-4.3708668428074264E-3</v>
      </c>
      <c r="R3618" s="4">
        <f t="shared" si="227"/>
        <v>2.0477597405781107E-3</v>
      </c>
      <c r="S3618" s="4">
        <f t="shared" si="227"/>
        <v>4.0142598833177771E-4</v>
      </c>
      <c r="T3618" s="4">
        <f t="shared" si="227"/>
        <v>-1.482798462625843E-3</v>
      </c>
      <c r="U3618" s="35"/>
      <c r="V3618" s="35"/>
      <c r="W3618" s="35"/>
      <c r="X3618" s="35"/>
    </row>
    <row r="3619" spans="4:24" x14ac:dyDescent="0.3">
      <c r="D3619" s="23">
        <v>44832</v>
      </c>
      <c r="E3619" s="5">
        <v>362.18908699999997</v>
      </c>
      <c r="F3619" s="28">
        <v>68.206239999999994</v>
      </c>
      <c r="G3619" s="28">
        <v>154.69</v>
      </c>
      <c r="H3619" s="28">
        <v>276.98880000000003</v>
      </c>
      <c r="I3619" s="28">
        <v>181.37899999999999</v>
      </c>
      <c r="J3619" s="29"/>
      <c r="K3619" s="29"/>
      <c r="L3619" s="29"/>
      <c r="M3619" s="29"/>
      <c r="N3619" s="29"/>
      <c r="P3619" s="4">
        <f t="shared" si="227"/>
        <v>1.9485283056274134E-2</v>
      </c>
      <c r="Q3619" s="4">
        <f t="shared" si="227"/>
        <v>1.5423829173796623E-2</v>
      </c>
      <c r="R3619" s="4">
        <f t="shared" si="227"/>
        <v>2.0573497745346159E-2</v>
      </c>
      <c r="S3619" s="4">
        <f t="shared" si="227"/>
        <v>1.9696383156903582E-2</v>
      </c>
      <c r="T3619" s="4">
        <f t="shared" si="227"/>
        <v>2.0828608421382795E-2</v>
      </c>
      <c r="U3619" s="35"/>
      <c r="V3619" s="35"/>
      <c r="W3619" s="35"/>
      <c r="X3619" s="35"/>
    </row>
    <row r="3620" spans="4:24" x14ac:dyDescent="0.3">
      <c r="D3620" s="23">
        <v>44833</v>
      </c>
      <c r="E3620" s="5">
        <v>354.62332199999997</v>
      </c>
      <c r="F3620" s="28">
        <v>67.855119999999999</v>
      </c>
      <c r="G3620" s="28">
        <v>154.66</v>
      </c>
      <c r="H3620" s="28">
        <v>269.00389999999999</v>
      </c>
      <c r="I3620" s="28">
        <v>177.61089999999999</v>
      </c>
      <c r="J3620" s="29"/>
      <c r="K3620" s="29"/>
      <c r="L3620" s="29"/>
      <c r="M3620" s="29"/>
      <c r="N3620" s="29"/>
      <c r="P3620" s="4">
        <f t="shared" si="227"/>
        <v>-2.1110253873920053E-2</v>
      </c>
      <c r="Q3620" s="4">
        <f t="shared" si="227"/>
        <v>-5.1612122564526006E-3</v>
      </c>
      <c r="R3620" s="4">
        <f t="shared" si="227"/>
        <v>-1.939550676842037E-4</v>
      </c>
      <c r="S3620" s="4">
        <f t="shared" si="227"/>
        <v>-2.9251194518891816E-2</v>
      </c>
      <c r="T3620" s="4">
        <f t="shared" si="227"/>
        <v>-2.0993562168557377E-2</v>
      </c>
      <c r="U3620" s="35"/>
      <c r="V3620" s="35"/>
      <c r="W3620" s="35"/>
      <c r="X3620" s="35"/>
    </row>
    <row r="3621" spans="4:24" x14ac:dyDescent="0.3">
      <c r="D3621" s="23">
        <v>44834</v>
      </c>
      <c r="E3621" s="5">
        <v>349.13958700000001</v>
      </c>
      <c r="F3621" s="28">
        <v>67.693759999999997</v>
      </c>
      <c r="G3621" s="28">
        <v>154.66999999999999</v>
      </c>
      <c r="H3621" s="28">
        <v>264.4425</v>
      </c>
      <c r="I3621" s="28">
        <v>175.19970000000001</v>
      </c>
      <c r="J3621" s="29"/>
      <c r="K3621" s="29"/>
      <c r="L3621" s="29"/>
      <c r="M3621" s="29"/>
      <c r="N3621" s="29"/>
      <c r="P3621" s="4">
        <f t="shared" ref="P3621:T3636" si="228">LN(E3621/E3620)</f>
        <v>-1.5584356369556771E-2</v>
      </c>
      <c r="Q3621" s="4">
        <f t="shared" si="228"/>
        <v>-2.3808396826450456E-3</v>
      </c>
      <c r="R3621" s="4">
        <f t="shared" si="228"/>
        <v>6.4655869159052561E-5</v>
      </c>
      <c r="S3621" s="4">
        <f t="shared" si="228"/>
        <v>-1.710204127691449E-2</v>
      </c>
      <c r="T3621" s="4">
        <f t="shared" si="228"/>
        <v>-1.366873637658644E-2</v>
      </c>
      <c r="U3621" s="35"/>
      <c r="V3621" s="35"/>
      <c r="W3621" s="35"/>
      <c r="X3621" s="35"/>
    </row>
    <row r="3622" spans="4:24" x14ac:dyDescent="0.3">
      <c r="D3622" s="23">
        <v>44837</v>
      </c>
      <c r="E3622" s="5">
        <v>358.35732999999999</v>
      </c>
      <c r="F3622" s="28">
        <v>68.260630000000006</v>
      </c>
      <c r="G3622" s="28">
        <v>158.43</v>
      </c>
      <c r="H3622" s="28">
        <v>270.64640000000003</v>
      </c>
      <c r="I3622" s="28">
        <v>179.65119999999999</v>
      </c>
      <c r="J3622" s="29"/>
      <c r="K3622" s="29"/>
      <c r="L3622" s="29"/>
      <c r="M3622" s="29"/>
      <c r="N3622" s="29"/>
      <c r="P3622" s="4">
        <f t="shared" si="228"/>
        <v>2.605881210393143E-2</v>
      </c>
      <c r="Q3622" s="4">
        <f t="shared" si="228"/>
        <v>8.3391685268809704E-3</v>
      </c>
      <c r="R3622" s="4">
        <f t="shared" si="228"/>
        <v>2.4019040336903132E-2</v>
      </c>
      <c r="S3622" s="4">
        <f t="shared" si="228"/>
        <v>2.318933548177517E-2</v>
      </c>
      <c r="T3622" s="4">
        <f t="shared" si="228"/>
        <v>2.5090727020045507E-2</v>
      </c>
      <c r="U3622" s="35"/>
      <c r="V3622" s="35"/>
      <c r="W3622" s="35"/>
      <c r="X3622" s="35"/>
    </row>
    <row r="3623" spans="4:24" x14ac:dyDescent="0.3">
      <c r="D3623" s="23">
        <v>44838</v>
      </c>
      <c r="E3623" s="5">
        <v>369.46160900000001</v>
      </c>
      <c r="F3623" s="28">
        <v>68.431820000000002</v>
      </c>
      <c r="G3623" s="28">
        <v>160.69999999999999</v>
      </c>
      <c r="H3623" s="28">
        <v>279.15570000000002</v>
      </c>
      <c r="I3623" s="28">
        <v>185.42060000000001</v>
      </c>
      <c r="J3623" s="29"/>
      <c r="K3623" s="29"/>
      <c r="L3623" s="29"/>
      <c r="M3623" s="29"/>
      <c r="N3623" s="29"/>
      <c r="P3623" s="4">
        <f t="shared" si="228"/>
        <v>3.051621803231469E-2</v>
      </c>
      <c r="Q3623" s="4">
        <f t="shared" si="228"/>
        <v>2.5047482798129022E-3</v>
      </c>
      <c r="R3623" s="4">
        <f t="shared" si="228"/>
        <v>1.4226417356515263E-2</v>
      </c>
      <c r="S3623" s="4">
        <f t="shared" si="228"/>
        <v>3.0956518834535575E-2</v>
      </c>
      <c r="T3623" s="4">
        <f t="shared" si="228"/>
        <v>3.1609564878380257E-2</v>
      </c>
      <c r="U3623" s="35"/>
      <c r="V3623" s="35"/>
      <c r="W3623" s="35"/>
      <c r="X3623" s="35"/>
    </row>
    <row r="3624" spans="4:24" x14ac:dyDescent="0.3">
      <c r="D3624" s="23">
        <v>44839</v>
      </c>
      <c r="E3624" s="5">
        <v>368.60140999999999</v>
      </c>
      <c r="F3624" s="28">
        <v>68.070400000000006</v>
      </c>
      <c r="G3624" s="28">
        <v>159.81</v>
      </c>
      <c r="H3624" s="28">
        <v>279.00740000000002</v>
      </c>
      <c r="I3624" s="28">
        <v>185.06909999999999</v>
      </c>
      <c r="J3624" s="29"/>
      <c r="K3624" s="29"/>
      <c r="L3624" s="29"/>
      <c r="M3624" s="29"/>
      <c r="N3624" s="29"/>
      <c r="P3624" s="4">
        <f t="shared" si="228"/>
        <v>-2.3309646123415104E-3</v>
      </c>
      <c r="Q3624" s="4">
        <f t="shared" si="228"/>
        <v>-5.2954573863187521E-3</v>
      </c>
      <c r="R3624" s="4">
        <f t="shared" si="228"/>
        <v>-5.5536631464493322E-3</v>
      </c>
      <c r="S3624" s="4">
        <f t="shared" si="228"/>
        <v>-5.3138591028197555E-4</v>
      </c>
      <c r="T3624" s="4">
        <f t="shared" si="228"/>
        <v>-1.8974892174526794E-3</v>
      </c>
      <c r="U3624" s="35"/>
      <c r="V3624" s="35"/>
      <c r="W3624" s="35"/>
      <c r="X3624" s="35"/>
    </row>
    <row r="3625" spans="4:24" x14ac:dyDescent="0.3">
      <c r="D3625" s="23">
        <v>44840</v>
      </c>
      <c r="E3625" s="5">
        <v>364.79894999999999</v>
      </c>
      <c r="F3625" s="28">
        <v>67.813609999999997</v>
      </c>
      <c r="G3625" s="28">
        <v>159.63</v>
      </c>
      <c r="H3625" s="28">
        <v>276.81079999999997</v>
      </c>
      <c r="I3625" s="28">
        <v>183.3022</v>
      </c>
      <c r="J3625" s="29"/>
      <c r="K3625" s="29"/>
      <c r="L3625" s="29"/>
      <c r="M3625" s="29"/>
      <c r="N3625" s="29"/>
      <c r="P3625" s="4">
        <f t="shared" si="228"/>
        <v>-1.0369490606707811E-2</v>
      </c>
      <c r="Q3625" s="4">
        <f t="shared" si="228"/>
        <v>-3.7795514819916904E-3</v>
      </c>
      <c r="R3625" s="4">
        <f t="shared" si="228"/>
        <v>-1.1269723206298698E-3</v>
      </c>
      <c r="S3625" s="4">
        <f t="shared" si="228"/>
        <v>-7.9040644437220354E-3</v>
      </c>
      <c r="T3625" s="4">
        <f t="shared" si="228"/>
        <v>-9.5931118971822986E-3</v>
      </c>
      <c r="U3625" s="35"/>
      <c r="V3625" s="35"/>
      <c r="W3625" s="35"/>
      <c r="X3625" s="35"/>
    </row>
    <row r="3626" spans="4:24" x14ac:dyDescent="0.3">
      <c r="D3626" s="23">
        <v>44841</v>
      </c>
      <c r="E3626" s="5">
        <v>354.62332199999997</v>
      </c>
      <c r="F3626" s="28">
        <v>67.461690000000004</v>
      </c>
      <c r="G3626" s="28">
        <v>157.88</v>
      </c>
      <c r="H3626" s="28">
        <v>266.26310000000001</v>
      </c>
      <c r="I3626" s="28">
        <v>178.06</v>
      </c>
      <c r="J3626" s="29"/>
      <c r="K3626" s="29"/>
      <c r="L3626" s="29"/>
      <c r="M3626" s="29"/>
      <c r="N3626" s="29"/>
      <c r="P3626" s="4">
        <f t="shared" si="228"/>
        <v>-2.8290218547640047E-2</v>
      </c>
      <c r="Q3626" s="4">
        <f t="shared" si="228"/>
        <v>-5.2030310620998499E-3</v>
      </c>
      <c r="R3626" s="4">
        <f t="shared" si="228"/>
        <v>-1.1023386481741284E-2</v>
      </c>
      <c r="S3626" s="4">
        <f t="shared" si="228"/>
        <v>-3.8849322632201748E-2</v>
      </c>
      <c r="T3626" s="4">
        <f t="shared" si="228"/>
        <v>-2.9015584810323566E-2</v>
      </c>
      <c r="U3626" s="35"/>
      <c r="V3626" s="35"/>
      <c r="W3626" s="35"/>
      <c r="X3626" s="35"/>
    </row>
    <row r="3627" spans="4:24" x14ac:dyDescent="0.3">
      <c r="D3627" s="23">
        <v>44844</v>
      </c>
      <c r="E3627" s="5">
        <v>351.91568000000001</v>
      </c>
      <c r="F3627" s="28">
        <v>67.157359999999997</v>
      </c>
      <c r="G3627" s="28">
        <v>155.47999999999999</v>
      </c>
      <c r="H3627" s="28">
        <v>263.60149999999999</v>
      </c>
      <c r="I3627" s="28">
        <v>176.64439999999999</v>
      </c>
      <c r="J3627" s="29"/>
      <c r="K3627" s="29"/>
      <c r="L3627" s="29"/>
      <c r="M3627" s="29"/>
      <c r="N3627" s="29"/>
      <c r="P3627" s="4">
        <f t="shared" si="228"/>
        <v>-7.6645599109636626E-3</v>
      </c>
      <c r="Q3627" s="4">
        <f t="shared" si="228"/>
        <v>-4.5213588781585611E-3</v>
      </c>
      <c r="R3627" s="4">
        <f t="shared" si="228"/>
        <v>-1.531814481062402E-2</v>
      </c>
      <c r="S3627" s="4">
        <f t="shared" si="228"/>
        <v>-1.004642463897416E-2</v>
      </c>
      <c r="T3627" s="4">
        <f t="shared" si="228"/>
        <v>-7.9818999467392744E-3</v>
      </c>
      <c r="U3627" s="35"/>
      <c r="V3627" s="35"/>
      <c r="W3627" s="35"/>
      <c r="X3627" s="35"/>
    </row>
    <row r="3628" spans="4:24" x14ac:dyDescent="0.3">
      <c r="D3628" s="23">
        <v>44845</v>
      </c>
      <c r="E3628" s="5">
        <v>349.686981</v>
      </c>
      <c r="F3628" s="28">
        <v>67.176349999999999</v>
      </c>
      <c r="G3628" s="28">
        <v>155.16</v>
      </c>
      <c r="H3628" s="28">
        <v>259.98009999999999</v>
      </c>
      <c r="I3628" s="28">
        <v>175.5121</v>
      </c>
      <c r="J3628" s="29"/>
      <c r="K3628" s="29"/>
      <c r="L3628" s="29"/>
      <c r="M3628" s="29"/>
      <c r="N3628" s="29"/>
      <c r="P3628" s="4">
        <f t="shared" si="228"/>
        <v>-6.353187125119176E-3</v>
      </c>
      <c r="Q3628" s="4">
        <f t="shared" si="228"/>
        <v>2.8272873765636627E-4</v>
      </c>
      <c r="R3628" s="4">
        <f t="shared" si="228"/>
        <v>-2.0602634122559738E-3</v>
      </c>
      <c r="S3628" s="4">
        <f t="shared" si="228"/>
        <v>-1.3833403427450547E-2</v>
      </c>
      <c r="T3628" s="4">
        <f t="shared" si="228"/>
        <v>-6.4306858005765879E-3</v>
      </c>
      <c r="U3628" s="35"/>
      <c r="V3628" s="35"/>
      <c r="W3628" s="35"/>
      <c r="X3628" s="35"/>
    </row>
    <row r="3629" spans="4:24" x14ac:dyDescent="0.3">
      <c r="D3629" s="23">
        <v>44846</v>
      </c>
      <c r="E3629" s="5">
        <v>348.53353900000002</v>
      </c>
      <c r="F3629" s="28">
        <v>67.252449999999996</v>
      </c>
      <c r="G3629" s="28">
        <v>155.99</v>
      </c>
      <c r="H3629" s="28">
        <v>259.89100000000002</v>
      </c>
      <c r="I3629" s="28">
        <v>175.03370000000001</v>
      </c>
      <c r="J3629" s="29"/>
      <c r="K3629" s="29"/>
      <c r="L3629" s="29"/>
      <c r="M3629" s="29"/>
      <c r="N3629" s="29"/>
      <c r="P3629" s="4">
        <f t="shared" si="228"/>
        <v>-3.3039505892955485E-3</v>
      </c>
      <c r="Q3629" s="4">
        <f t="shared" si="228"/>
        <v>1.1321979833071154E-3</v>
      </c>
      <c r="R3629" s="4">
        <f t="shared" si="228"/>
        <v>5.3350600590110478E-3</v>
      </c>
      <c r="S3629" s="4">
        <f t="shared" si="228"/>
        <v>-3.4277728026193394E-4</v>
      </c>
      <c r="T3629" s="4">
        <f t="shared" si="228"/>
        <v>-2.7294595856211679E-3</v>
      </c>
      <c r="U3629" s="35"/>
      <c r="V3629" s="35"/>
      <c r="W3629" s="35"/>
      <c r="X3629" s="35"/>
    </row>
    <row r="3630" spans="4:24" x14ac:dyDescent="0.3">
      <c r="D3630" s="23">
        <v>44847</v>
      </c>
      <c r="E3630" s="5">
        <v>357.73172</v>
      </c>
      <c r="F3630" s="28">
        <v>67.014669999999995</v>
      </c>
      <c r="G3630" s="28">
        <v>154.91</v>
      </c>
      <c r="H3630" s="28">
        <v>265.98610000000002</v>
      </c>
      <c r="I3630" s="28">
        <v>179.37780000000001</v>
      </c>
      <c r="J3630" s="29"/>
      <c r="K3630" s="29"/>
      <c r="L3630" s="29"/>
      <c r="M3630" s="29"/>
      <c r="N3630" s="29"/>
      <c r="P3630" s="4">
        <f t="shared" si="228"/>
        <v>2.604885626264478E-2</v>
      </c>
      <c r="Q3630" s="4">
        <f t="shared" si="228"/>
        <v>-3.5418983974632189E-3</v>
      </c>
      <c r="R3630" s="4">
        <f t="shared" si="228"/>
        <v>-6.9475995125058325E-3</v>
      </c>
      <c r="S3630" s="4">
        <f t="shared" si="228"/>
        <v>2.3181739432718132E-2</v>
      </c>
      <c r="T3630" s="4">
        <f t="shared" si="228"/>
        <v>2.4515669335564143E-2</v>
      </c>
      <c r="U3630" s="35"/>
      <c r="V3630" s="35"/>
      <c r="W3630" s="35"/>
      <c r="X3630" s="35"/>
    </row>
    <row r="3631" spans="4:24" x14ac:dyDescent="0.3">
      <c r="D3631" s="23">
        <v>44848</v>
      </c>
      <c r="E3631" s="5">
        <v>349.57943699999998</v>
      </c>
      <c r="F3631" s="28">
        <v>66.691310000000001</v>
      </c>
      <c r="G3631" s="28">
        <v>152.97999999999999</v>
      </c>
      <c r="H3631" s="28">
        <v>257.99119999999999</v>
      </c>
      <c r="I3631" s="28">
        <v>175.15090000000001</v>
      </c>
      <c r="J3631" s="29"/>
      <c r="K3631" s="29"/>
      <c r="L3631" s="29"/>
      <c r="M3631" s="29"/>
      <c r="N3631" s="29"/>
      <c r="P3631" s="4">
        <f t="shared" si="228"/>
        <v>-2.3052496594576293E-2</v>
      </c>
      <c r="Q3631" s="4">
        <f t="shared" si="228"/>
        <v>-4.8368910714524536E-3</v>
      </c>
      <c r="R3631" s="4">
        <f t="shared" si="228"/>
        <v>-1.2537109224551701E-2</v>
      </c>
      <c r="S3631" s="4">
        <f t="shared" si="228"/>
        <v>-3.0518575964451362E-2</v>
      </c>
      <c r="T3631" s="4">
        <f t="shared" si="228"/>
        <v>-2.3846308065103336E-2</v>
      </c>
      <c r="U3631" s="35"/>
      <c r="V3631" s="35"/>
      <c r="W3631" s="35"/>
      <c r="X3631" s="35"/>
    </row>
    <row r="3632" spans="4:24" x14ac:dyDescent="0.3">
      <c r="D3632" s="23">
        <v>44851</v>
      </c>
      <c r="E3632" s="5">
        <v>358.56262199999998</v>
      </c>
      <c r="F3632" s="28">
        <v>66.833979999999997</v>
      </c>
      <c r="G3632" s="28">
        <v>153.41999999999999</v>
      </c>
      <c r="H3632" s="28">
        <v>266.5104</v>
      </c>
      <c r="I3632" s="28">
        <v>179.82689999999999</v>
      </c>
      <c r="J3632" s="29"/>
      <c r="K3632" s="29"/>
      <c r="L3632" s="29"/>
      <c r="M3632" s="29"/>
      <c r="N3632" s="29"/>
      <c r="P3632" s="4">
        <f t="shared" si="228"/>
        <v>2.5372499207937955E-2</v>
      </c>
      <c r="Q3632" s="4">
        <f t="shared" si="228"/>
        <v>2.1369742659800382E-3</v>
      </c>
      <c r="R3632" s="4">
        <f t="shared" si="228"/>
        <v>2.8720646374301795E-3</v>
      </c>
      <c r="S3632" s="4">
        <f t="shared" si="228"/>
        <v>3.2487791421934857E-2</v>
      </c>
      <c r="T3632" s="4">
        <f t="shared" si="228"/>
        <v>2.6346833442441365E-2</v>
      </c>
      <c r="U3632" s="35"/>
      <c r="V3632" s="35"/>
      <c r="W3632" s="35"/>
      <c r="X3632" s="35"/>
    </row>
    <row r="3633" spans="4:24" x14ac:dyDescent="0.3">
      <c r="D3633" s="23">
        <v>44852</v>
      </c>
      <c r="E3633" s="5">
        <v>362.77554300000003</v>
      </c>
      <c r="F3633" s="28">
        <v>66.986149999999995</v>
      </c>
      <c r="G3633" s="28">
        <v>153.75</v>
      </c>
      <c r="H3633" s="28">
        <v>268.61799999999999</v>
      </c>
      <c r="I3633" s="28">
        <v>182.02340000000001</v>
      </c>
      <c r="J3633" s="29"/>
      <c r="K3633" s="29"/>
      <c r="L3633" s="29"/>
      <c r="M3633" s="29"/>
      <c r="N3633" s="29"/>
      <c r="P3633" s="4">
        <f t="shared" si="228"/>
        <v>1.168098156202298E-2</v>
      </c>
      <c r="Q3633" s="4">
        <f t="shared" si="228"/>
        <v>2.2742477620943911E-3</v>
      </c>
      <c r="R3633" s="4">
        <f t="shared" si="228"/>
        <v>2.1486481554770132E-3</v>
      </c>
      <c r="S3633" s="4">
        <f t="shared" si="228"/>
        <v>7.8770287565092106E-3</v>
      </c>
      <c r="T3633" s="4">
        <f t="shared" si="228"/>
        <v>1.2140528715278929E-2</v>
      </c>
      <c r="U3633" s="35"/>
      <c r="V3633" s="35"/>
      <c r="W3633" s="35"/>
      <c r="X3633" s="35"/>
    </row>
    <row r="3634" spans="4:24" x14ac:dyDescent="0.3">
      <c r="D3634" s="23">
        <v>44853</v>
      </c>
      <c r="E3634" s="5">
        <v>360.20477299999999</v>
      </c>
      <c r="F3634" s="28">
        <v>66.434510000000003</v>
      </c>
      <c r="G3634" s="28">
        <v>151.69</v>
      </c>
      <c r="H3634" s="28">
        <v>267.63850000000002</v>
      </c>
      <c r="I3634" s="28">
        <v>180.47120000000001</v>
      </c>
      <c r="J3634" s="29"/>
      <c r="K3634" s="29"/>
      <c r="L3634" s="29"/>
      <c r="M3634" s="29"/>
      <c r="N3634" s="29"/>
      <c r="P3634" s="4">
        <f t="shared" si="228"/>
        <v>-7.1116205458261533E-3</v>
      </c>
      <c r="Q3634" s="4">
        <f t="shared" si="228"/>
        <v>-8.2692312185161203E-3</v>
      </c>
      <c r="R3634" s="4">
        <f t="shared" si="228"/>
        <v>-1.3488942083046313E-2</v>
      </c>
      <c r="S3634" s="4">
        <f t="shared" si="228"/>
        <v>-3.6531066357263524E-3</v>
      </c>
      <c r="T3634" s="4">
        <f t="shared" si="228"/>
        <v>-8.5640419850753317E-3</v>
      </c>
      <c r="U3634" s="35"/>
      <c r="V3634" s="35"/>
      <c r="W3634" s="35"/>
      <c r="X3634" s="35"/>
    </row>
    <row r="3635" spans="4:24" x14ac:dyDescent="0.3">
      <c r="D3635" s="23">
        <v>44854</v>
      </c>
      <c r="E3635" s="5">
        <v>357.18435699999998</v>
      </c>
      <c r="F3635" s="28">
        <v>65.987489999999994</v>
      </c>
      <c r="G3635" s="28">
        <v>151.44999999999999</v>
      </c>
      <c r="H3635" s="28">
        <v>266.27300000000002</v>
      </c>
      <c r="I3635" s="28">
        <v>178.9092</v>
      </c>
      <c r="J3635" s="29"/>
      <c r="K3635" s="29"/>
      <c r="L3635" s="29"/>
      <c r="M3635" s="29"/>
      <c r="N3635" s="29"/>
      <c r="P3635" s="4">
        <f t="shared" si="228"/>
        <v>-8.4206289754165196E-3</v>
      </c>
      <c r="Q3635" s="4">
        <f t="shared" si="228"/>
        <v>-6.751471779885743E-3</v>
      </c>
      <c r="R3635" s="4">
        <f t="shared" si="228"/>
        <v>-1.5834271303347223E-3</v>
      </c>
      <c r="S3635" s="4">
        <f t="shared" si="228"/>
        <v>-5.1150910863006242E-3</v>
      </c>
      <c r="T3635" s="4">
        <f t="shared" si="228"/>
        <v>-8.692793685953961E-3</v>
      </c>
      <c r="U3635" s="35"/>
      <c r="V3635" s="35"/>
      <c r="W3635" s="35"/>
      <c r="X3635" s="35"/>
    </row>
    <row r="3636" spans="4:24" x14ac:dyDescent="0.3">
      <c r="D3636" s="23">
        <v>44855</v>
      </c>
      <c r="E3636" s="5">
        <v>365.864441</v>
      </c>
      <c r="F3636" s="28">
        <v>66.101650000000006</v>
      </c>
      <c r="G3636" s="28">
        <v>154.15</v>
      </c>
      <c r="H3636" s="28">
        <v>272.51650000000001</v>
      </c>
      <c r="I3636" s="28">
        <v>183.02889999999999</v>
      </c>
      <c r="J3636" s="29"/>
      <c r="K3636" s="29"/>
      <c r="L3636" s="29"/>
      <c r="M3636" s="29"/>
      <c r="N3636" s="29"/>
      <c r="P3636" s="4">
        <f t="shared" si="228"/>
        <v>2.4010830362084994E-2</v>
      </c>
      <c r="Q3636" s="4">
        <f t="shared" si="228"/>
        <v>1.7285301187380836E-3</v>
      </c>
      <c r="R3636" s="4">
        <f t="shared" si="228"/>
        <v>1.7670616858913076E-2</v>
      </c>
      <c r="S3636" s="4">
        <f t="shared" si="228"/>
        <v>2.3177064459715884E-2</v>
      </c>
      <c r="T3636" s="4">
        <f t="shared" si="228"/>
        <v>2.2765649300346039E-2</v>
      </c>
      <c r="U3636" s="35"/>
      <c r="V3636" s="35"/>
      <c r="W3636" s="35"/>
      <c r="X3636" s="35"/>
    </row>
    <row r="3637" spans="4:24" x14ac:dyDescent="0.3">
      <c r="D3637" s="23">
        <v>44858</v>
      </c>
      <c r="E3637" s="5">
        <v>370.34130900000002</v>
      </c>
      <c r="F3637" s="28">
        <v>66.006519999999995</v>
      </c>
      <c r="G3637" s="28">
        <v>153.65</v>
      </c>
      <c r="H3637" s="28">
        <v>275.51459999999997</v>
      </c>
      <c r="I3637" s="28">
        <v>185.0008</v>
      </c>
      <c r="J3637" s="29"/>
      <c r="K3637" s="29"/>
      <c r="L3637" s="29"/>
      <c r="M3637" s="29"/>
      <c r="N3637" s="29"/>
      <c r="P3637" s="4">
        <f t="shared" ref="P3637:T3652" si="229">LN(E3637/E3636)</f>
        <v>1.2162152180846517E-2</v>
      </c>
      <c r="Q3637" s="4">
        <f t="shared" si="229"/>
        <v>-1.440183698595891E-3</v>
      </c>
      <c r="R3637" s="4">
        <f t="shared" si="229"/>
        <v>-3.2488657556656681E-3</v>
      </c>
      <c r="S3637" s="4">
        <f t="shared" si="229"/>
        <v>1.0941459015251759E-2</v>
      </c>
      <c r="T3637" s="4">
        <f t="shared" si="229"/>
        <v>1.0716085523213343E-2</v>
      </c>
      <c r="U3637" s="35"/>
      <c r="V3637" s="35"/>
      <c r="W3637" s="35"/>
      <c r="X3637" s="35"/>
    </row>
    <row r="3638" spans="4:24" x14ac:dyDescent="0.3">
      <c r="D3638" s="23">
        <v>44859</v>
      </c>
      <c r="E3638" s="5">
        <v>376.255157</v>
      </c>
      <c r="F3638" s="28">
        <v>66.634240000000005</v>
      </c>
      <c r="G3638" s="28">
        <v>154</v>
      </c>
      <c r="H3638" s="28">
        <v>281.21379999999999</v>
      </c>
      <c r="I3638" s="28">
        <v>188.3492</v>
      </c>
      <c r="J3638" s="29"/>
      <c r="K3638" s="29"/>
      <c r="L3638" s="29"/>
      <c r="M3638" s="29"/>
      <c r="N3638" s="29"/>
      <c r="P3638" s="4">
        <f t="shared" si="229"/>
        <v>1.5842485088187534E-2</v>
      </c>
      <c r="Q3638" s="4">
        <f t="shared" si="229"/>
        <v>9.4650345230626511E-3</v>
      </c>
      <c r="R3638" s="4">
        <f t="shared" si="229"/>
        <v>2.2753138371353837E-3</v>
      </c>
      <c r="S3638" s="4">
        <f t="shared" si="229"/>
        <v>2.0474612379371655E-2</v>
      </c>
      <c r="T3638" s="4">
        <f t="shared" si="229"/>
        <v>1.7937537323996975E-2</v>
      </c>
      <c r="U3638" s="35"/>
      <c r="V3638" s="35"/>
      <c r="W3638" s="35"/>
      <c r="X3638" s="35"/>
    </row>
    <row r="3639" spans="4:24" x14ac:dyDescent="0.3">
      <c r="D3639" s="23">
        <v>44860</v>
      </c>
      <c r="E3639" s="5">
        <v>373.42041</v>
      </c>
      <c r="F3639" s="28">
        <v>66.900540000000007</v>
      </c>
      <c r="G3639" s="28">
        <v>154.97999999999999</v>
      </c>
      <c r="H3639" s="28">
        <v>275.00009999999997</v>
      </c>
      <c r="I3639" s="28">
        <v>187.1875</v>
      </c>
      <c r="J3639" s="29"/>
      <c r="K3639" s="29"/>
      <c r="L3639" s="29"/>
      <c r="M3639" s="29"/>
      <c r="N3639" s="29"/>
      <c r="P3639" s="4">
        <f t="shared" si="229"/>
        <v>-7.5626327854579753E-3</v>
      </c>
      <c r="Q3639" s="4">
        <f t="shared" si="229"/>
        <v>3.9884793014107345E-3</v>
      </c>
      <c r="R3639" s="4">
        <f t="shared" si="229"/>
        <v>6.3434739221749515E-3</v>
      </c>
      <c r="S3639" s="4">
        <f t="shared" si="229"/>
        <v>-2.2343772820664076E-2</v>
      </c>
      <c r="T3639" s="4">
        <f t="shared" si="229"/>
        <v>-6.1868984075277933E-3</v>
      </c>
      <c r="U3639" s="35"/>
      <c r="V3639" s="35"/>
      <c r="W3639" s="35"/>
      <c r="X3639" s="35"/>
    </row>
    <row r="3640" spans="4:24" x14ac:dyDescent="0.3">
      <c r="D3640" s="23">
        <v>44861</v>
      </c>
      <c r="E3640" s="5">
        <v>371.42636099999999</v>
      </c>
      <c r="F3640" s="28">
        <v>67.252449999999996</v>
      </c>
      <c r="G3640" s="28">
        <v>154.74</v>
      </c>
      <c r="H3640" s="28">
        <v>269.99340000000001</v>
      </c>
      <c r="I3640" s="28">
        <v>186.30889999999999</v>
      </c>
      <c r="J3640" s="29"/>
      <c r="K3640" s="29"/>
      <c r="L3640" s="29"/>
      <c r="M3640" s="29"/>
      <c r="N3640" s="29"/>
      <c r="P3640" s="4">
        <f t="shared" si="229"/>
        <v>-5.3542657132834934E-3</v>
      </c>
      <c r="Q3640" s="4">
        <f t="shared" si="229"/>
        <v>5.2464101946277973E-3</v>
      </c>
      <c r="R3640" s="4">
        <f t="shared" si="229"/>
        <v>-1.5497872144956272E-3</v>
      </c>
      <c r="S3640" s="4">
        <f t="shared" si="229"/>
        <v>-1.8373947047708686E-2</v>
      </c>
      <c r="T3640" s="4">
        <f t="shared" si="229"/>
        <v>-4.7047394331997628E-3</v>
      </c>
      <c r="U3640" s="35"/>
      <c r="V3640" s="35"/>
      <c r="W3640" s="35"/>
      <c r="X3640" s="35"/>
    </row>
    <row r="3641" spans="4:24" x14ac:dyDescent="0.3">
      <c r="D3641" s="23">
        <v>44862</v>
      </c>
      <c r="E3641" s="5">
        <v>380.26281699999998</v>
      </c>
      <c r="F3641" s="28">
        <v>67.119299999999996</v>
      </c>
      <c r="G3641" s="28">
        <v>153.16</v>
      </c>
      <c r="H3641" s="28">
        <v>278.25540000000001</v>
      </c>
      <c r="I3641" s="28">
        <v>190.64330000000001</v>
      </c>
      <c r="J3641" s="29"/>
      <c r="K3641" s="29"/>
      <c r="L3641" s="29"/>
      <c r="M3641" s="29"/>
      <c r="N3641" s="29"/>
      <c r="P3641" s="4">
        <f t="shared" si="229"/>
        <v>2.3512013560496644E-2</v>
      </c>
      <c r="Q3641" s="4">
        <f t="shared" si="229"/>
        <v>-1.9818160227865265E-3</v>
      </c>
      <c r="R3641" s="4">
        <f t="shared" si="229"/>
        <v>-1.0263162512214732E-2</v>
      </c>
      <c r="S3641" s="4">
        <f t="shared" si="229"/>
        <v>3.0141882720266848E-2</v>
      </c>
      <c r="T3641" s="4">
        <f t="shared" si="229"/>
        <v>2.2998093877402172E-2</v>
      </c>
      <c r="U3641" s="35"/>
      <c r="V3641" s="35"/>
      <c r="W3641" s="35"/>
      <c r="X3641" s="35"/>
    </row>
    <row r="3642" spans="4:24" x14ac:dyDescent="0.3">
      <c r="D3642" s="23">
        <v>44865</v>
      </c>
      <c r="E3642" s="5">
        <v>377.51608299999998</v>
      </c>
      <c r="F3642" s="28">
        <v>66.910070000000005</v>
      </c>
      <c r="G3642" s="28">
        <v>151.91</v>
      </c>
      <c r="H3642" s="28">
        <v>275.01979999999998</v>
      </c>
      <c r="I3642" s="28">
        <v>189.41319999999999</v>
      </c>
      <c r="J3642" s="29"/>
      <c r="K3642" s="29"/>
      <c r="L3642" s="29"/>
      <c r="M3642" s="29"/>
      <c r="N3642" s="29"/>
      <c r="P3642" s="4">
        <f t="shared" si="229"/>
        <v>-7.2494655881366011E-3</v>
      </c>
      <c r="Q3642" s="4">
        <f t="shared" si="229"/>
        <v>-3.1221540467104535E-3</v>
      </c>
      <c r="R3642" s="4">
        <f t="shared" si="229"/>
        <v>-8.1948863895224527E-3</v>
      </c>
      <c r="S3642" s="4">
        <f t="shared" si="229"/>
        <v>-1.1696301900731348E-2</v>
      </c>
      <c r="T3642" s="4">
        <f t="shared" si="229"/>
        <v>-6.4732706606918013E-3</v>
      </c>
      <c r="U3642" s="35"/>
      <c r="V3642" s="35"/>
      <c r="W3642" s="35"/>
      <c r="X3642" s="35"/>
    </row>
    <row r="3643" spans="4:24" x14ac:dyDescent="0.3">
      <c r="D3643" s="23">
        <v>44866</v>
      </c>
      <c r="E3643" s="5">
        <v>375.86413599999997</v>
      </c>
      <c r="F3643" s="28">
        <v>66.979650000000007</v>
      </c>
      <c r="G3643" s="28">
        <v>153.46</v>
      </c>
      <c r="H3643" s="28">
        <v>272.2097</v>
      </c>
      <c r="I3643" s="28">
        <v>188.82749999999999</v>
      </c>
      <c r="J3643" s="29"/>
      <c r="K3643" s="29"/>
      <c r="L3643" s="29"/>
      <c r="M3643" s="29"/>
      <c r="N3643" s="29"/>
      <c r="P3643" s="4">
        <f t="shared" si="229"/>
        <v>-4.3854340898854434E-3</v>
      </c>
      <c r="Q3643" s="4">
        <f t="shared" si="229"/>
        <v>1.0393629363598994E-3</v>
      </c>
      <c r="R3643" s="4">
        <f t="shared" si="229"/>
        <v>1.0151706529948045E-2</v>
      </c>
      <c r="S3643" s="4">
        <f t="shared" si="229"/>
        <v>-1.0270369930174746E-2</v>
      </c>
      <c r="T3643" s="4">
        <f t="shared" si="229"/>
        <v>-3.09697220913671E-3</v>
      </c>
      <c r="U3643" s="35"/>
      <c r="V3643" s="35"/>
      <c r="W3643" s="35"/>
      <c r="X3643" s="35"/>
    </row>
    <row r="3644" spans="4:24" x14ac:dyDescent="0.3">
      <c r="D3644" s="23">
        <v>44867</v>
      </c>
      <c r="E3644" s="5">
        <v>366.43139600000001</v>
      </c>
      <c r="F3644" s="28">
        <v>66.874790000000004</v>
      </c>
      <c r="G3644" s="28">
        <v>152.38999999999999</v>
      </c>
      <c r="H3644" s="28">
        <v>262.87920000000003</v>
      </c>
      <c r="I3644" s="28">
        <v>183.8586</v>
      </c>
      <c r="J3644" s="29"/>
      <c r="K3644" s="29"/>
      <c r="L3644" s="29"/>
      <c r="M3644" s="29"/>
      <c r="N3644" s="29"/>
      <c r="P3644" s="4">
        <f t="shared" si="229"/>
        <v>-2.5416420763266872E-2</v>
      </c>
      <c r="Q3644" s="4">
        <f t="shared" si="229"/>
        <v>-1.5667768876516375E-3</v>
      </c>
      <c r="R3644" s="4">
        <f t="shared" si="229"/>
        <v>-6.9969224477498928E-3</v>
      </c>
      <c r="S3644" s="4">
        <f t="shared" si="229"/>
        <v>-3.487811407382696E-2</v>
      </c>
      <c r="T3644" s="4">
        <f t="shared" si="229"/>
        <v>-2.6666915966809611E-2</v>
      </c>
      <c r="U3644" s="35"/>
      <c r="V3644" s="35"/>
      <c r="W3644" s="35"/>
      <c r="X3644" s="35"/>
    </row>
    <row r="3645" spans="4:24" x14ac:dyDescent="0.3">
      <c r="D3645" s="23">
        <v>44868</v>
      </c>
      <c r="E3645" s="5">
        <v>362.65826399999997</v>
      </c>
      <c r="F3645" s="28">
        <v>66.617369999999994</v>
      </c>
      <c r="G3645" s="28">
        <v>151.81</v>
      </c>
      <c r="H3645" s="28">
        <v>257.7439</v>
      </c>
      <c r="I3645" s="28">
        <v>182.10140000000001</v>
      </c>
      <c r="J3645" s="29"/>
      <c r="K3645" s="29"/>
      <c r="L3645" s="29"/>
      <c r="M3645" s="29"/>
      <c r="N3645" s="29"/>
      <c r="P3645" s="4">
        <f t="shared" si="229"/>
        <v>-1.0350347540190562E-2</v>
      </c>
      <c r="Q3645" s="4">
        <f t="shared" si="229"/>
        <v>-3.85671067239727E-3</v>
      </c>
      <c r="R3645" s="4">
        <f t="shared" si="229"/>
        <v>-3.8132853571455293E-3</v>
      </c>
      <c r="S3645" s="4">
        <f t="shared" si="229"/>
        <v>-1.9728154797032819E-2</v>
      </c>
      <c r="T3645" s="4">
        <f t="shared" si="229"/>
        <v>-9.6033091298530736E-3</v>
      </c>
      <c r="U3645" s="35"/>
      <c r="V3645" s="35"/>
      <c r="W3645" s="35"/>
      <c r="X3645" s="35"/>
    </row>
    <row r="3646" spans="4:24" x14ac:dyDescent="0.3">
      <c r="D3646" s="23">
        <v>44869</v>
      </c>
      <c r="E3646" s="5">
        <v>367.87808200000001</v>
      </c>
      <c r="F3646" s="28">
        <v>66.63646</v>
      </c>
      <c r="G3646" s="28">
        <v>156.47</v>
      </c>
      <c r="H3646" s="28">
        <v>261.8897</v>
      </c>
      <c r="I3646" s="28">
        <v>184.4443</v>
      </c>
      <c r="J3646" s="29"/>
      <c r="K3646" s="29"/>
      <c r="L3646" s="29"/>
      <c r="M3646" s="29"/>
      <c r="N3646" s="29"/>
      <c r="P3646" s="4">
        <f t="shared" si="229"/>
        <v>1.4290615002555568E-2</v>
      </c>
      <c r="Q3646" s="4">
        <f t="shared" si="229"/>
        <v>2.8652084717726097E-4</v>
      </c>
      <c r="R3646" s="4">
        <f t="shared" si="229"/>
        <v>3.0234559369342041E-2</v>
      </c>
      <c r="S3646" s="4">
        <f t="shared" si="229"/>
        <v>1.5956966478858029E-2</v>
      </c>
      <c r="T3646" s="4">
        <f t="shared" si="229"/>
        <v>1.2783846094053069E-2</v>
      </c>
      <c r="U3646" s="35"/>
      <c r="V3646" s="35"/>
      <c r="W3646" s="35"/>
      <c r="X3646" s="35"/>
    </row>
    <row r="3647" spans="4:24" x14ac:dyDescent="0.3">
      <c r="D3647" s="23">
        <v>44872</v>
      </c>
      <c r="E3647" s="5">
        <v>371.39703400000002</v>
      </c>
      <c r="F3647" s="28">
        <v>66.379069999999999</v>
      </c>
      <c r="G3647" s="28">
        <v>155.85</v>
      </c>
      <c r="H3647" s="28">
        <v>264.76900000000001</v>
      </c>
      <c r="I3647" s="28">
        <v>186.1234</v>
      </c>
      <c r="J3647" s="29"/>
      <c r="K3647" s="29"/>
      <c r="L3647" s="29"/>
      <c r="M3647" s="29"/>
      <c r="N3647" s="29"/>
      <c r="P3647" s="4">
        <f t="shared" si="229"/>
        <v>9.5200785235157095E-3</v>
      </c>
      <c r="Q3647" s="4">
        <f t="shared" si="229"/>
        <v>-3.8700792494696192E-3</v>
      </c>
      <c r="R3647" s="4">
        <f t="shared" si="229"/>
        <v>-3.9702921006197706E-3</v>
      </c>
      <c r="S3647" s="4">
        <f t="shared" si="229"/>
        <v>1.0934324970762176E-2</v>
      </c>
      <c r="T3647" s="4">
        <f t="shared" si="229"/>
        <v>9.062373712286317E-3</v>
      </c>
      <c r="U3647" s="35"/>
      <c r="V3647" s="35"/>
      <c r="W3647" s="35"/>
      <c r="X3647" s="35"/>
    </row>
    <row r="3648" spans="4:24" x14ac:dyDescent="0.3">
      <c r="D3648" s="23">
        <v>44873</v>
      </c>
      <c r="E3648" s="5">
        <v>373.40090900000001</v>
      </c>
      <c r="F3648" s="28">
        <v>66.674599999999998</v>
      </c>
      <c r="G3648" s="28">
        <v>159.44999999999999</v>
      </c>
      <c r="H3648" s="28">
        <v>266.69850000000002</v>
      </c>
      <c r="I3648" s="28">
        <v>187.09960000000001</v>
      </c>
      <c r="J3648" s="29"/>
      <c r="K3648" s="29"/>
      <c r="L3648" s="29"/>
      <c r="M3648" s="29"/>
      <c r="N3648" s="29"/>
      <c r="P3648" s="4">
        <f t="shared" si="229"/>
        <v>5.3810026035815669E-3</v>
      </c>
      <c r="Q3648" s="4">
        <f t="shared" si="229"/>
        <v>4.4422748503538364E-3</v>
      </c>
      <c r="R3648" s="4">
        <f t="shared" si="229"/>
        <v>2.2836387242720455E-2</v>
      </c>
      <c r="S3648" s="4">
        <f t="shared" si="229"/>
        <v>7.2610591519082909E-3</v>
      </c>
      <c r="T3648" s="4">
        <f t="shared" si="229"/>
        <v>5.23120078976536E-3</v>
      </c>
      <c r="U3648" s="35"/>
      <c r="V3648" s="35"/>
      <c r="W3648" s="35"/>
      <c r="X3648" s="35"/>
    </row>
    <row r="3649" spans="4:24" x14ac:dyDescent="0.3">
      <c r="D3649" s="23">
        <v>44874</v>
      </c>
      <c r="E3649" s="5">
        <v>365.708099</v>
      </c>
      <c r="F3649" s="28">
        <v>66.769919999999999</v>
      </c>
      <c r="G3649" s="28">
        <v>158.65</v>
      </c>
      <c r="H3649" s="28">
        <v>260.54399999999998</v>
      </c>
      <c r="I3649" s="28">
        <v>183.06790000000001</v>
      </c>
      <c r="J3649" s="29"/>
      <c r="K3649" s="29"/>
      <c r="L3649" s="29"/>
      <c r="M3649" s="29"/>
      <c r="N3649" s="29"/>
      <c r="P3649" s="4">
        <f t="shared" si="229"/>
        <v>-2.081719401304653E-2</v>
      </c>
      <c r="Q3649" s="4">
        <f t="shared" si="229"/>
        <v>1.4286089261925283E-3</v>
      </c>
      <c r="R3649" s="4">
        <f t="shared" si="229"/>
        <v>-5.0298754268619308E-3</v>
      </c>
      <c r="S3649" s="4">
        <f t="shared" si="229"/>
        <v>-2.3347053994675779E-2</v>
      </c>
      <c r="T3649" s="4">
        <f t="shared" si="229"/>
        <v>-2.1783973108467157E-2</v>
      </c>
      <c r="U3649" s="35"/>
      <c r="V3649" s="35"/>
      <c r="W3649" s="35"/>
      <c r="X3649" s="35"/>
    </row>
    <row r="3650" spans="4:24" x14ac:dyDescent="0.3">
      <c r="D3650" s="23">
        <v>44875</v>
      </c>
      <c r="E3650" s="5">
        <v>385.805206</v>
      </c>
      <c r="F3650" s="28">
        <v>68.152240000000006</v>
      </c>
      <c r="G3650" s="28">
        <v>163.47999999999999</v>
      </c>
      <c r="H3650" s="28">
        <v>279.76920000000001</v>
      </c>
      <c r="I3650" s="28">
        <v>193.4254</v>
      </c>
      <c r="J3650" s="29"/>
      <c r="K3650" s="29"/>
      <c r="L3650" s="29"/>
      <c r="M3650" s="29"/>
      <c r="N3650" s="29"/>
      <c r="P3650" s="4">
        <f t="shared" si="229"/>
        <v>5.3497122940617502E-2</v>
      </c>
      <c r="Q3650" s="4">
        <f t="shared" si="229"/>
        <v>2.0491346548244551E-2</v>
      </c>
      <c r="R3650" s="4">
        <f t="shared" si="229"/>
        <v>2.9990140666871948E-2</v>
      </c>
      <c r="S3650" s="4">
        <f t="shared" si="229"/>
        <v>7.1193224664179322E-2</v>
      </c>
      <c r="T3650" s="4">
        <f t="shared" si="229"/>
        <v>5.5034786143269683E-2</v>
      </c>
      <c r="U3650" s="35"/>
      <c r="V3650" s="35"/>
      <c r="W3650" s="35"/>
      <c r="X3650" s="35"/>
    </row>
    <row r="3651" spans="4:24" x14ac:dyDescent="0.3">
      <c r="D3651" s="23">
        <v>44876</v>
      </c>
      <c r="E3651" s="5">
        <v>389.53924599999999</v>
      </c>
      <c r="F3651" s="28">
        <v>68.152240000000006</v>
      </c>
      <c r="G3651" s="28">
        <v>164.56</v>
      </c>
      <c r="H3651" s="28">
        <v>284.92430000000002</v>
      </c>
      <c r="I3651" s="28">
        <v>195.3974</v>
      </c>
      <c r="J3651" s="29"/>
      <c r="K3651" s="29"/>
      <c r="L3651" s="29"/>
      <c r="M3651" s="29"/>
      <c r="N3651" s="29"/>
      <c r="P3651" s="4">
        <f t="shared" si="229"/>
        <v>9.6320257645656267E-3</v>
      </c>
      <c r="Q3651" s="4">
        <f t="shared" si="229"/>
        <v>0</v>
      </c>
      <c r="R3651" s="4">
        <f t="shared" si="229"/>
        <v>6.5845866486252784E-3</v>
      </c>
      <c r="S3651" s="4">
        <f t="shared" si="229"/>
        <v>1.8258553407214512E-2</v>
      </c>
      <c r="T3651" s="4">
        <f t="shared" si="229"/>
        <v>1.0143525062874671E-2</v>
      </c>
      <c r="U3651" s="35"/>
      <c r="V3651" s="35"/>
      <c r="W3651" s="35"/>
      <c r="X3651" s="35"/>
    </row>
    <row r="3652" spans="4:24" x14ac:dyDescent="0.3">
      <c r="D3652" s="23">
        <v>44879</v>
      </c>
      <c r="E3652" s="5">
        <v>386.22555499999999</v>
      </c>
      <c r="F3652" s="28">
        <v>67.932959999999994</v>
      </c>
      <c r="G3652" s="28">
        <v>164.92</v>
      </c>
      <c r="H3652" s="28">
        <v>282.43090000000001</v>
      </c>
      <c r="I3652" s="28">
        <v>193.63040000000001</v>
      </c>
      <c r="J3652" s="29"/>
      <c r="K3652" s="29"/>
      <c r="L3652" s="29"/>
      <c r="M3652" s="29"/>
      <c r="N3652" s="29"/>
      <c r="P3652" s="4">
        <f t="shared" si="229"/>
        <v>-8.5430820002187387E-3</v>
      </c>
      <c r="Q3652" s="4">
        <f t="shared" si="229"/>
        <v>-3.2226897529175815E-3</v>
      </c>
      <c r="R3652" s="4">
        <f t="shared" si="229"/>
        <v>2.1852624939974414E-3</v>
      </c>
      <c r="S3652" s="4">
        <f t="shared" si="229"/>
        <v>-8.7896120552151524E-3</v>
      </c>
      <c r="T3652" s="4">
        <f t="shared" si="229"/>
        <v>-9.0842461724989932E-3</v>
      </c>
      <c r="U3652" s="35"/>
      <c r="V3652" s="35"/>
      <c r="W3652" s="35"/>
      <c r="X3652" s="35"/>
    </row>
    <row r="3653" spans="4:24" x14ac:dyDescent="0.3">
      <c r="D3653" s="23">
        <v>44880</v>
      </c>
      <c r="E3653" s="5">
        <v>389.51965300000001</v>
      </c>
      <c r="F3653" s="28">
        <v>68.409620000000004</v>
      </c>
      <c r="G3653" s="28">
        <v>165.5</v>
      </c>
      <c r="H3653" s="28">
        <v>286.33920000000001</v>
      </c>
      <c r="I3653" s="28">
        <v>195.5926</v>
      </c>
      <c r="J3653" s="29"/>
      <c r="K3653" s="29"/>
      <c r="L3653" s="29"/>
      <c r="M3653" s="29"/>
      <c r="N3653" s="29"/>
      <c r="P3653" s="4">
        <f t="shared" ref="P3653:T3668" si="230">LN(E3653/E3652)</f>
        <v>8.4927828507468921E-3</v>
      </c>
      <c r="Q3653" s="4">
        <f t="shared" si="230"/>
        <v>6.9921214925123456E-3</v>
      </c>
      <c r="R3653" s="4">
        <f t="shared" si="230"/>
        <v>3.5106869784183232E-3</v>
      </c>
      <c r="S3653" s="4">
        <f t="shared" si="230"/>
        <v>1.3743203150186638E-2</v>
      </c>
      <c r="T3653" s="4">
        <f t="shared" si="230"/>
        <v>1.0082737265456053E-2</v>
      </c>
      <c r="U3653" s="35"/>
      <c r="V3653" s="35"/>
      <c r="W3653" s="35"/>
      <c r="X3653" s="35"/>
    </row>
    <row r="3654" spans="4:24" x14ac:dyDescent="0.3">
      <c r="D3654" s="23">
        <v>44881</v>
      </c>
      <c r="E3654" s="5">
        <v>386.54812600000002</v>
      </c>
      <c r="F3654" s="28">
        <v>68.800510000000003</v>
      </c>
      <c r="G3654" s="28">
        <v>165.12</v>
      </c>
      <c r="H3654" s="28">
        <v>282.43090000000001</v>
      </c>
      <c r="I3654" s="28">
        <v>193.60120000000001</v>
      </c>
      <c r="J3654" s="29"/>
      <c r="K3654" s="29"/>
      <c r="L3654" s="29"/>
      <c r="M3654" s="29"/>
      <c r="N3654" s="29"/>
      <c r="P3654" s="4">
        <f t="shared" si="230"/>
        <v>-7.657943293795438E-3</v>
      </c>
      <c r="Q3654" s="4">
        <f t="shared" si="230"/>
        <v>5.6976996885005479E-3</v>
      </c>
      <c r="R3654" s="4">
        <f t="shared" si="230"/>
        <v>-2.2987125239196239E-3</v>
      </c>
      <c r="S3654" s="4">
        <f t="shared" si="230"/>
        <v>-1.3743203150186647E-2</v>
      </c>
      <c r="T3654" s="4">
        <f t="shared" si="230"/>
        <v>-1.0233551403844202E-2</v>
      </c>
      <c r="U3654" s="35"/>
      <c r="V3654" s="35"/>
      <c r="W3654" s="35"/>
      <c r="X3654" s="35"/>
    </row>
    <row r="3655" spans="4:24" x14ac:dyDescent="0.3">
      <c r="D3655" s="23">
        <v>44882</v>
      </c>
      <c r="E3655" s="5">
        <v>385.36532599999998</v>
      </c>
      <c r="F3655" s="28">
        <v>68.514499999999998</v>
      </c>
      <c r="G3655" s="28">
        <v>163.92</v>
      </c>
      <c r="H3655" s="28">
        <v>281.8075</v>
      </c>
      <c r="I3655" s="28">
        <v>192.79089999999999</v>
      </c>
      <c r="J3655" s="29"/>
      <c r="K3655" s="29"/>
      <c r="L3655" s="29"/>
      <c r="M3655" s="29"/>
      <c r="N3655" s="29"/>
      <c r="P3655" s="4">
        <f t="shared" si="230"/>
        <v>-3.0645946709384228E-3</v>
      </c>
      <c r="Q3655" s="4">
        <f t="shared" si="230"/>
        <v>-4.1657560030275449E-3</v>
      </c>
      <c r="R3655" s="4">
        <f t="shared" si="230"/>
        <v>-7.2939783625537227E-3</v>
      </c>
      <c r="S3655" s="4">
        <f t="shared" si="230"/>
        <v>-2.2097051659769888E-3</v>
      </c>
      <c r="T3655" s="4">
        <f t="shared" si="230"/>
        <v>-4.194191277969642E-3</v>
      </c>
      <c r="U3655" s="35"/>
      <c r="V3655" s="35"/>
      <c r="W3655" s="35"/>
      <c r="X3655" s="35"/>
    </row>
    <row r="3656" spans="4:24" x14ac:dyDescent="0.3">
      <c r="D3656" s="23">
        <v>44883</v>
      </c>
      <c r="E3656" s="5">
        <v>387.11502100000001</v>
      </c>
      <c r="F3656" s="28">
        <v>68.400090000000006</v>
      </c>
      <c r="G3656" s="28">
        <v>162.79</v>
      </c>
      <c r="H3656" s="28">
        <v>281.81740000000002</v>
      </c>
      <c r="I3656" s="28">
        <v>193.69880000000001</v>
      </c>
      <c r="J3656" s="29"/>
      <c r="K3656" s="29"/>
      <c r="L3656" s="29"/>
      <c r="M3656" s="29"/>
      <c r="N3656" s="29"/>
      <c r="P3656" s="4">
        <f t="shared" si="230"/>
        <v>4.5300776880769856E-3</v>
      </c>
      <c r="Q3656" s="4">
        <f t="shared" si="230"/>
        <v>-1.6712612823805734E-3</v>
      </c>
      <c r="R3656" s="4">
        <f t="shared" si="230"/>
        <v>-6.9174773102257357E-3</v>
      </c>
      <c r="S3656" s="4">
        <f t="shared" si="230"/>
        <v>3.5129746755417704E-5</v>
      </c>
      <c r="T3656" s="4">
        <f t="shared" si="230"/>
        <v>4.6981933542206544E-3</v>
      </c>
      <c r="U3656" s="35"/>
      <c r="V3656" s="35"/>
      <c r="W3656" s="35"/>
      <c r="X3656" s="35"/>
    </row>
    <row r="3657" spans="4:24" x14ac:dyDescent="0.3">
      <c r="D3657" s="23">
        <v>44886</v>
      </c>
      <c r="E3657" s="5">
        <v>385.70748900000001</v>
      </c>
      <c r="F3657" s="28">
        <v>68.400090000000006</v>
      </c>
      <c r="G3657" s="28">
        <v>161.88</v>
      </c>
      <c r="H3657" s="28">
        <v>278.91829999999999</v>
      </c>
      <c r="I3657" s="28">
        <v>192.87880000000001</v>
      </c>
      <c r="J3657" s="29"/>
      <c r="K3657" s="29"/>
      <c r="L3657" s="29"/>
      <c r="M3657" s="29"/>
      <c r="N3657" s="29"/>
      <c r="P3657" s="4">
        <f t="shared" si="230"/>
        <v>-3.6425790866410203E-3</v>
      </c>
      <c r="Q3657" s="4">
        <f t="shared" si="230"/>
        <v>0</v>
      </c>
      <c r="R3657" s="4">
        <f t="shared" si="230"/>
        <v>-5.6057066127536692E-3</v>
      </c>
      <c r="S3657" s="4">
        <f t="shared" si="230"/>
        <v>-1.0340436080851443E-2</v>
      </c>
      <c r="T3657" s="4">
        <f t="shared" si="230"/>
        <v>-4.2423628779243196E-3</v>
      </c>
      <c r="U3657" s="35"/>
      <c r="V3657" s="35"/>
      <c r="W3657" s="35"/>
      <c r="X3657" s="35"/>
    </row>
    <row r="3658" spans="4:24" x14ac:dyDescent="0.3">
      <c r="D3658" s="23">
        <v>44887</v>
      </c>
      <c r="E3658" s="5">
        <v>390.897919</v>
      </c>
      <c r="F3658" s="28">
        <v>68.752799999999993</v>
      </c>
      <c r="G3658" s="28">
        <v>162.07</v>
      </c>
      <c r="H3658" s="28">
        <v>282.93549999999999</v>
      </c>
      <c r="I3658" s="28">
        <v>195.40710000000001</v>
      </c>
      <c r="J3658" s="29"/>
      <c r="K3658" s="29"/>
      <c r="L3658" s="29"/>
      <c r="M3658" s="29"/>
      <c r="N3658" s="29"/>
      <c r="P3658" s="4">
        <f t="shared" si="230"/>
        <v>1.3367167501819087E-2</v>
      </c>
      <c r="Q3658" s="4">
        <f t="shared" si="230"/>
        <v>5.1433225729621808E-3</v>
      </c>
      <c r="R3658" s="4">
        <f t="shared" si="230"/>
        <v>1.1730206623633479E-3</v>
      </c>
      <c r="S3658" s="4">
        <f t="shared" si="230"/>
        <v>1.4300049075657179E-2</v>
      </c>
      <c r="T3658" s="4">
        <f t="shared" si="230"/>
        <v>1.3023062301451706E-2</v>
      </c>
      <c r="U3658" s="35"/>
      <c r="V3658" s="35"/>
      <c r="W3658" s="35"/>
      <c r="X3658" s="35"/>
    </row>
    <row r="3659" spans="4:24" x14ac:dyDescent="0.3">
      <c r="D3659" s="23">
        <v>44888</v>
      </c>
      <c r="E3659" s="5">
        <v>393.36123700000002</v>
      </c>
      <c r="F3659" s="28">
        <v>69.172269999999997</v>
      </c>
      <c r="G3659" s="28">
        <v>163.08000000000001</v>
      </c>
      <c r="H3659" s="28">
        <v>285.77519999999998</v>
      </c>
      <c r="I3659" s="28">
        <v>196.59809999999999</v>
      </c>
      <c r="J3659" s="29"/>
      <c r="K3659" s="29"/>
      <c r="L3659" s="29"/>
      <c r="M3659" s="29"/>
      <c r="N3659" s="29"/>
      <c r="P3659" s="4">
        <f t="shared" si="230"/>
        <v>6.2819186282319899E-3</v>
      </c>
      <c r="Q3659" s="4">
        <f t="shared" si="230"/>
        <v>6.0825967794623488E-3</v>
      </c>
      <c r="R3659" s="4">
        <f t="shared" si="230"/>
        <v>6.2125372810245914E-3</v>
      </c>
      <c r="S3659" s="4">
        <f t="shared" si="230"/>
        <v>9.9865312906023511E-3</v>
      </c>
      <c r="T3659" s="4">
        <f t="shared" si="230"/>
        <v>6.0764687032330133E-3</v>
      </c>
      <c r="U3659" s="35"/>
      <c r="V3659" s="35"/>
      <c r="W3659" s="35"/>
      <c r="X3659" s="35"/>
    </row>
    <row r="3660" spans="4:24" x14ac:dyDescent="0.3">
      <c r="D3660" s="23">
        <v>44890</v>
      </c>
      <c r="E3660" s="5">
        <v>393.27322400000003</v>
      </c>
      <c r="F3660" s="28">
        <v>69.172269999999997</v>
      </c>
      <c r="G3660" s="28">
        <v>163.22</v>
      </c>
      <c r="H3660" s="28">
        <v>283.89530000000002</v>
      </c>
      <c r="I3660" s="28">
        <v>196.74449999999999</v>
      </c>
      <c r="J3660" s="29"/>
      <c r="K3660" s="29"/>
      <c r="L3660" s="29"/>
      <c r="M3660" s="29"/>
      <c r="N3660" s="29"/>
      <c r="P3660" s="4">
        <f t="shared" si="230"/>
        <v>-2.2377102639359201E-4</v>
      </c>
      <c r="Q3660" s="4">
        <f t="shared" si="230"/>
        <v>0</v>
      </c>
      <c r="R3660" s="4">
        <f t="shared" si="230"/>
        <v>8.5810609004414746E-4</v>
      </c>
      <c r="S3660" s="4">
        <f t="shared" si="230"/>
        <v>-6.5999795460348438E-3</v>
      </c>
      <c r="T3660" s="4">
        <f t="shared" si="230"/>
        <v>7.4438927672822576E-4</v>
      </c>
      <c r="U3660" s="35"/>
      <c r="V3660" s="35"/>
      <c r="W3660" s="35"/>
      <c r="X3660" s="35"/>
    </row>
    <row r="3661" spans="4:24" x14ac:dyDescent="0.3">
      <c r="D3661" s="23">
        <v>44893</v>
      </c>
      <c r="E3661" s="5">
        <v>386.997772</v>
      </c>
      <c r="F3661" s="28">
        <v>69.086460000000002</v>
      </c>
      <c r="G3661" s="28">
        <v>161.93</v>
      </c>
      <c r="H3661" s="28">
        <v>279.72969999999998</v>
      </c>
      <c r="I3661" s="28">
        <v>193.55240000000001</v>
      </c>
      <c r="J3661" s="29"/>
      <c r="K3661" s="29"/>
      <c r="L3661" s="29"/>
      <c r="M3661" s="29"/>
      <c r="N3661" s="29"/>
      <c r="P3661" s="4">
        <f t="shared" si="230"/>
        <v>-1.608566086713354E-2</v>
      </c>
      <c r="Q3661" s="4">
        <f t="shared" si="230"/>
        <v>-1.2412960978032024E-3</v>
      </c>
      <c r="R3661" s="4">
        <f t="shared" si="230"/>
        <v>-7.9348409557173875E-3</v>
      </c>
      <c r="S3661" s="4">
        <f t="shared" si="230"/>
        <v>-1.4781728447752163E-2</v>
      </c>
      <c r="T3661" s="4">
        <f t="shared" si="230"/>
        <v>-1.6357655806667492E-2</v>
      </c>
      <c r="U3661" s="35"/>
      <c r="V3661" s="35"/>
      <c r="W3661" s="35"/>
      <c r="X3661" s="35"/>
    </row>
    <row r="3662" spans="4:24" x14ac:dyDescent="0.3">
      <c r="D3662" s="23">
        <v>44894</v>
      </c>
      <c r="E3662" s="5">
        <v>386.33303799999999</v>
      </c>
      <c r="F3662" s="28">
        <v>68.829080000000005</v>
      </c>
      <c r="G3662" s="28">
        <v>162.72999999999999</v>
      </c>
      <c r="H3662" s="28">
        <v>277.61219999999997</v>
      </c>
      <c r="I3662" s="28">
        <v>193.24969999999999</v>
      </c>
      <c r="J3662" s="29"/>
      <c r="K3662" s="29"/>
      <c r="L3662" s="29"/>
      <c r="M3662" s="29"/>
      <c r="N3662" s="29"/>
      <c r="P3662" s="4">
        <f t="shared" si="230"/>
        <v>-1.7191456880305343E-3</v>
      </c>
      <c r="Q3662" s="4">
        <f t="shared" si="230"/>
        <v>-3.7324336155005969E-3</v>
      </c>
      <c r="R3662" s="4">
        <f t="shared" si="230"/>
        <v>4.9282425871433506E-3</v>
      </c>
      <c r="S3662" s="4">
        <f t="shared" si="230"/>
        <v>-7.5986039753318853E-3</v>
      </c>
      <c r="T3662" s="4">
        <f t="shared" si="230"/>
        <v>-1.5651417703932201E-3</v>
      </c>
      <c r="U3662" s="35"/>
      <c r="V3662" s="35"/>
      <c r="W3662" s="35"/>
      <c r="X3662" s="35"/>
    </row>
    <row r="3663" spans="4:24" x14ac:dyDescent="0.3">
      <c r="D3663" s="23">
        <v>44895</v>
      </c>
      <c r="E3663" s="5">
        <v>398.50277699999998</v>
      </c>
      <c r="F3663" s="28">
        <v>69.362930000000006</v>
      </c>
      <c r="G3663" s="28">
        <v>164.81</v>
      </c>
      <c r="H3663" s="28">
        <v>290.26729999999998</v>
      </c>
      <c r="I3663" s="28">
        <v>199.2046</v>
      </c>
      <c r="J3663" s="29"/>
      <c r="K3663" s="29"/>
      <c r="L3663" s="29"/>
      <c r="M3663" s="29"/>
      <c r="N3663" s="29"/>
      <c r="P3663" s="4">
        <f t="shared" si="230"/>
        <v>3.1014676619124295E-2</v>
      </c>
      <c r="Q3663" s="4">
        <f t="shared" si="230"/>
        <v>7.7262448917626222E-3</v>
      </c>
      <c r="R3663" s="4">
        <f t="shared" si="230"/>
        <v>1.2700909573565686E-2</v>
      </c>
      <c r="S3663" s="4">
        <f t="shared" si="230"/>
        <v>4.4577046797841947E-2</v>
      </c>
      <c r="T3663" s="4">
        <f t="shared" si="230"/>
        <v>3.0349302180297678E-2</v>
      </c>
      <c r="U3663" s="35"/>
      <c r="V3663" s="35"/>
      <c r="W3663" s="35"/>
      <c r="X3663" s="35"/>
    </row>
    <row r="3664" spans="4:24" x14ac:dyDescent="0.3">
      <c r="D3664" s="23">
        <v>44896</v>
      </c>
      <c r="E3664" s="5">
        <v>398.20959499999998</v>
      </c>
      <c r="F3664" s="28">
        <v>69.941000000000003</v>
      </c>
      <c r="G3664" s="28">
        <v>167.84</v>
      </c>
      <c r="H3664" s="28">
        <v>290.62360000000001</v>
      </c>
      <c r="I3664" s="28">
        <v>199.32169999999999</v>
      </c>
      <c r="J3664" s="29"/>
      <c r="K3664" s="29"/>
      <c r="L3664" s="29"/>
      <c r="M3664" s="29"/>
      <c r="N3664" s="29"/>
      <c r="P3664" s="4">
        <f t="shared" si="230"/>
        <v>-7.3597956687404748E-4</v>
      </c>
      <c r="Q3664" s="4">
        <f t="shared" si="230"/>
        <v>8.2994545547072258E-3</v>
      </c>
      <c r="R3664" s="4">
        <f t="shared" si="230"/>
        <v>1.8217849401898471E-2</v>
      </c>
      <c r="S3664" s="4">
        <f t="shared" si="230"/>
        <v>1.2267365341150137E-3</v>
      </c>
      <c r="T3664" s="4">
        <f t="shared" si="230"/>
        <v>5.8766512207610705E-4</v>
      </c>
      <c r="U3664" s="35"/>
      <c r="V3664" s="35"/>
      <c r="W3664" s="35"/>
      <c r="X3664" s="35"/>
    </row>
    <row r="3665" spans="4:24" x14ac:dyDescent="0.3">
      <c r="D3665" s="23">
        <v>44897</v>
      </c>
      <c r="E3665" s="5">
        <v>397.75012199999998</v>
      </c>
      <c r="F3665" s="28">
        <v>70.227630000000005</v>
      </c>
      <c r="G3665" s="28">
        <v>167.26</v>
      </c>
      <c r="H3665" s="28">
        <v>289.46589999999998</v>
      </c>
      <c r="I3665" s="28">
        <v>199.13630000000001</v>
      </c>
      <c r="J3665" s="29"/>
      <c r="K3665" s="29"/>
      <c r="L3665" s="29"/>
      <c r="M3665" s="29"/>
      <c r="N3665" s="29"/>
      <c r="P3665" s="4">
        <f t="shared" si="230"/>
        <v>-1.1545133283070463E-3</v>
      </c>
      <c r="Q3665" s="4">
        <f t="shared" si="230"/>
        <v>4.0897938365271379E-3</v>
      </c>
      <c r="R3665" s="4">
        <f t="shared" si="230"/>
        <v>-3.4616566946073803E-3</v>
      </c>
      <c r="S3665" s="4">
        <f t="shared" si="230"/>
        <v>-3.9914583422530781E-3</v>
      </c>
      <c r="T3665" s="4">
        <f t="shared" si="230"/>
        <v>-9.3058748163962703E-4</v>
      </c>
      <c r="U3665" s="35"/>
      <c r="V3665" s="35"/>
      <c r="W3665" s="35"/>
      <c r="X3665" s="35"/>
    </row>
    <row r="3666" spans="4:24" x14ac:dyDescent="0.3">
      <c r="D3666" s="23">
        <v>44900</v>
      </c>
      <c r="E3666" s="5">
        <v>390.59491000000003</v>
      </c>
      <c r="F3666" s="28">
        <v>69.673460000000006</v>
      </c>
      <c r="G3666" s="28">
        <v>164.39</v>
      </c>
      <c r="H3666" s="28">
        <v>284.60770000000002</v>
      </c>
      <c r="I3666" s="28">
        <v>195.2216</v>
      </c>
      <c r="J3666" s="29"/>
      <c r="K3666" s="29"/>
      <c r="L3666" s="29"/>
      <c r="M3666" s="29"/>
      <c r="N3666" s="29"/>
      <c r="P3666" s="4">
        <f t="shared" si="230"/>
        <v>-1.8152986819506691E-2</v>
      </c>
      <c r="Q3666" s="4">
        <f t="shared" si="230"/>
        <v>-7.9223528347885479E-3</v>
      </c>
      <c r="R3666" s="4">
        <f t="shared" si="230"/>
        <v>-1.7307834431960711E-2</v>
      </c>
      <c r="S3666" s="4">
        <f t="shared" si="230"/>
        <v>-1.692575997719124E-2</v>
      </c>
      <c r="T3666" s="4">
        <f t="shared" si="230"/>
        <v>-1.985419129898516E-2</v>
      </c>
      <c r="U3666" s="35"/>
      <c r="V3666" s="35"/>
      <c r="W3666" s="35"/>
      <c r="X3666" s="35"/>
    </row>
    <row r="3667" spans="4:24" x14ac:dyDescent="0.3">
      <c r="D3667" s="23">
        <v>44901</v>
      </c>
      <c r="E3667" s="5">
        <v>384.96456899999998</v>
      </c>
      <c r="F3667" s="28">
        <v>69.902770000000004</v>
      </c>
      <c r="G3667" s="28">
        <v>164.84</v>
      </c>
      <c r="H3667" s="28">
        <v>278.71050000000002</v>
      </c>
      <c r="I3667" s="28">
        <v>192.29300000000001</v>
      </c>
      <c r="J3667" s="29"/>
      <c r="K3667" s="29"/>
      <c r="L3667" s="29"/>
      <c r="M3667" s="29"/>
      <c r="N3667" s="29"/>
      <c r="P3667" s="4">
        <f t="shared" si="230"/>
        <v>-1.4519685642205602E-2</v>
      </c>
      <c r="Q3667" s="4">
        <f t="shared" si="230"/>
        <v>3.285805990210118E-3</v>
      </c>
      <c r="R3667" s="4">
        <f t="shared" si="230"/>
        <v>2.733652949197593E-3</v>
      </c>
      <c r="S3667" s="4">
        <f t="shared" si="230"/>
        <v>-2.0938132108783907E-2</v>
      </c>
      <c r="T3667" s="4">
        <f t="shared" si="230"/>
        <v>-1.5115073118675661E-2</v>
      </c>
      <c r="U3667" s="35"/>
      <c r="V3667" s="35"/>
      <c r="W3667" s="35"/>
      <c r="X3667" s="35"/>
    </row>
    <row r="3668" spans="4:24" x14ac:dyDescent="0.3">
      <c r="D3668" s="23">
        <v>44902</v>
      </c>
      <c r="E3668" s="5">
        <v>384.309662</v>
      </c>
      <c r="F3668" s="28">
        <v>70.514279999999999</v>
      </c>
      <c r="G3668" s="28">
        <v>166.33</v>
      </c>
      <c r="H3668" s="28">
        <v>277.57260000000002</v>
      </c>
      <c r="I3668" s="28">
        <v>191.98070000000001</v>
      </c>
      <c r="J3668" s="29"/>
      <c r="K3668" s="29"/>
      <c r="L3668" s="29"/>
      <c r="M3668" s="29"/>
      <c r="N3668" s="29"/>
      <c r="P3668" s="4">
        <f t="shared" si="230"/>
        <v>-1.7026624104293973E-3</v>
      </c>
      <c r="Q3668" s="4">
        <f t="shared" si="230"/>
        <v>8.7099660039326055E-3</v>
      </c>
      <c r="R3668" s="4">
        <f t="shared" si="230"/>
        <v>8.9984603318269251E-3</v>
      </c>
      <c r="S3668" s="4">
        <f t="shared" si="230"/>
        <v>-4.0910881063464825E-3</v>
      </c>
      <c r="T3668" s="4">
        <f t="shared" si="230"/>
        <v>-1.6254043342360377E-3</v>
      </c>
      <c r="U3668" s="35"/>
      <c r="V3668" s="35"/>
      <c r="W3668" s="35"/>
      <c r="X3668" s="35"/>
    </row>
    <row r="3669" spans="4:24" x14ac:dyDescent="0.3">
      <c r="D3669" s="23">
        <v>44903</v>
      </c>
      <c r="E3669" s="5">
        <v>387.320313</v>
      </c>
      <c r="F3669" s="28">
        <v>70.31362</v>
      </c>
      <c r="G3669" s="28">
        <v>166.47</v>
      </c>
      <c r="H3669" s="28">
        <v>280.85770000000002</v>
      </c>
      <c r="I3669" s="28">
        <v>193.64019999999999</v>
      </c>
      <c r="J3669" s="29"/>
      <c r="K3669" s="29"/>
      <c r="L3669" s="29"/>
      <c r="M3669" s="29"/>
      <c r="N3669" s="29"/>
      <c r="P3669" s="4">
        <f t="shared" ref="P3669:T3684" si="231">LN(E3669/E3668)</f>
        <v>7.8033937892854057E-3</v>
      </c>
      <c r="Q3669" s="4">
        <f t="shared" si="231"/>
        <v>-2.8497213378196008E-3</v>
      </c>
      <c r="R3669" s="4">
        <f t="shared" si="231"/>
        <v>8.413462034759727E-4</v>
      </c>
      <c r="S3669" s="4">
        <f t="shared" si="231"/>
        <v>1.1765614781984762E-2</v>
      </c>
      <c r="T3669" s="4">
        <f t="shared" si="231"/>
        <v>8.6069517735231395E-3</v>
      </c>
      <c r="U3669" s="35"/>
      <c r="V3669" s="35"/>
      <c r="W3669" s="35"/>
      <c r="X3669" s="35"/>
    </row>
    <row r="3670" spans="4:24" x14ac:dyDescent="0.3">
      <c r="D3670" s="23">
        <v>44904</v>
      </c>
      <c r="E3670" s="5">
        <v>384.426941</v>
      </c>
      <c r="F3670" s="28">
        <v>69.902770000000004</v>
      </c>
      <c r="G3670" s="28">
        <v>167.06</v>
      </c>
      <c r="H3670" s="28">
        <v>279.06670000000003</v>
      </c>
      <c r="I3670" s="28">
        <v>192.0197</v>
      </c>
      <c r="J3670" s="29"/>
      <c r="K3670" s="29"/>
      <c r="L3670" s="29"/>
      <c r="M3670" s="29"/>
      <c r="N3670" s="29"/>
      <c r="P3670" s="4">
        <f t="shared" si="231"/>
        <v>-7.4982723720088311E-3</v>
      </c>
      <c r="Q3670" s="4">
        <f t="shared" si="231"/>
        <v>-5.8602446661129041E-3</v>
      </c>
      <c r="R3670" s="4">
        <f t="shared" si="231"/>
        <v>3.5379163218405879E-3</v>
      </c>
      <c r="S3670" s="4">
        <f t="shared" si="231"/>
        <v>-6.3973140236275637E-3</v>
      </c>
      <c r="T3670" s="4">
        <f t="shared" si="231"/>
        <v>-8.4038269844131149E-3</v>
      </c>
      <c r="U3670" s="35"/>
      <c r="V3670" s="35"/>
      <c r="W3670" s="35"/>
      <c r="X3670" s="35"/>
    </row>
    <row r="3671" spans="4:24" x14ac:dyDescent="0.3">
      <c r="D3671" s="23">
        <v>44907</v>
      </c>
      <c r="E3671" s="5">
        <v>389.96935999999999</v>
      </c>
      <c r="F3671" s="28">
        <v>69.902770000000004</v>
      </c>
      <c r="G3671" s="28">
        <v>165.68</v>
      </c>
      <c r="H3671" s="28">
        <v>282.56939999999997</v>
      </c>
      <c r="I3671" s="28">
        <v>194.7824</v>
      </c>
      <c r="J3671" s="29"/>
      <c r="K3671" s="29"/>
      <c r="L3671" s="29"/>
      <c r="M3671" s="29"/>
      <c r="N3671" s="29"/>
      <c r="P3671" s="4">
        <f t="shared" si="231"/>
        <v>1.431441144649317E-2</v>
      </c>
      <c r="Q3671" s="4">
        <f t="shared" si="231"/>
        <v>0</v>
      </c>
      <c r="R3671" s="4">
        <f t="shared" si="231"/>
        <v>-8.2948122404315171E-3</v>
      </c>
      <c r="S3671" s="4">
        <f t="shared" si="231"/>
        <v>1.2473362783420414E-2</v>
      </c>
      <c r="T3671" s="4">
        <f t="shared" si="231"/>
        <v>1.4285067119734927E-2</v>
      </c>
      <c r="U3671" s="35"/>
      <c r="V3671" s="35"/>
      <c r="W3671" s="35"/>
      <c r="X3671" s="35"/>
    </row>
    <row r="3672" spans="4:24" x14ac:dyDescent="0.3">
      <c r="D3672" s="23">
        <v>44908</v>
      </c>
      <c r="E3672" s="5">
        <v>392.92132600000002</v>
      </c>
      <c r="F3672" s="28">
        <v>70.380520000000004</v>
      </c>
      <c r="G3672" s="28">
        <v>168.51</v>
      </c>
      <c r="H3672" s="28">
        <v>285.60700000000003</v>
      </c>
      <c r="I3672" s="28">
        <v>196.23689999999999</v>
      </c>
      <c r="J3672" s="29"/>
      <c r="K3672" s="29"/>
      <c r="L3672" s="29"/>
      <c r="M3672" s="29"/>
      <c r="N3672" s="29"/>
      <c r="P3672" s="4">
        <f t="shared" si="231"/>
        <v>7.5412315989372338E-3</v>
      </c>
      <c r="Q3672" s="4">
        <f t="shared" si="231"/>
        <v>6.811243834124109E-3</v>
      </c>
      <c r="R3672" s="4">
        <f t="shared" si="231"/>
        <v>1.6936878125122228E-2</v>
      </c>
      <c r="S3672" s="4">
        <f t="shared" si="231"/>
        <v>1.0692555836070698E-2</v>
      </c>
      <c r="T3672" s="4">
        <f t="shared" si="231"/>
        <v>7.4395647914387028E-3</v>
      </c>
      <c r="U3672" s="35"/>
      <c r="V3672" s="35"/>
      <c r="W3672" s="35"/>
      <c r="X3672" s="35"/>
    </row>
    <row r="3673" spans="4:24" x14ac:dyDescent="0.3">
      <c r="D3673" s="23">
        <v>44909</v>
      </c>
      <c r="E3673" s="5">
        <v>390.40917999999999</v>
      </c>
      <c r="F3673" s="28">
        <v>70.552509999999998</v>
      </c>
      <c r="G3673" s="28">
        <v>168.1</v>
      </c>
      <c r="H3673" s="28">
        <v>283.4896</v>
      </c>
      <c r="I3673" s="28">
        <v>195.14349999999999</v>
      </c>
      <c r="J3673" s="29"/>
      <c r="K3673" s="29"/>
      <c r="L3673" s="29"/>
      <c r="M3673" s="29"/>
      <c r="N3673" s="29"/>
      <c r="P3673" s="4">
        <f t="shared" si="231"/>
        <v>-6.4140349270027175E-3</v>
      </c>
      <c r="Q3673" s="4">
        <f t="shared" si="231"/>
        <v>2.4407349417148801E-3</v>
      </c>
      <c r="R3673" s="4">
        <f t="shared" si="231"/>
        <v>-2.4360547978811158E-3</v>
      </c>
      <c r="S3673" s="4">
        <f t="shared" si="231"/>
        <v>-7.4413017774203382E-3</v>
      </c>
      <c r="T3673" s="4">
        <f t="shared" si="231"/>
        <v>-5.5874174822810544E-3</v>
      </c>
      <c r="U3673" s="35"/>
      <c r="V3673" s="35"/>
      <c r="W3673" s="35"/>
      <c r="X3673" s="35"/>
    </row>
    <row r="3674" spans="4:24" x14ac:dyDescent="0.3">
      <c r="D3674" s="23">
        <v>44910</v>
      </c>
      <c r="E3674" s="5">
        <v>380.85910000000001</v>
      </c>
      <c r="F3674" s="28">
        <v>70.590710000000001</v>
      </c>
      <c r="G3674" s="28">
        <v>165.35</v>
      </c>
      <c r="H3674" s="28">
        <v>273.971</v>
      </c>
      <c r="I3674" s="28">
        <v>190.28210000000001</v>
      </c>
      <c r="J3674" s="29"/>
      <c r="K3674" s="29"/>
      <c r="L3674" s="29"/>
      <c r="M3674" s="29"/>
      <c r="N3674" s="29"/>
      <c r="P3674" s="4">
        <f t="shared" si="231"/>
        <v>-2.4765878151908415E-2</v>
      </c>
      <c r="Q3674" s="4">
        <f t="shared" si="231"/>
        <v>5.4129416818907736E-4</v>
      </c>
      <c r="R3674" s="4">
        <f t="shared" si="231"/>
        <v>-1.6494600986768179E-2</v>
      </c>
      <c r="S3674" s="4">
        <f t="shared" si="231"/>
        <v>-3.415317682094466E-2</v>
      </c>
      <c r="T3674" s="4">
        <f t="shared" si="231"/>
        <v>-2.5227477489254375E-2</v>
      </c>
      <c r="U3674" s="35"/>
      <c r="V3674" s="35"/>
      <c r="W3674" s="35"/>
      <c r="X3674" s="35"/>
    </row>
    <row r="3675" spans="4:24" x14ac:dyDescent="0.3">
      <c r="D3675" s="23">
        <v>44911</v>
      </c>
      <c r="E3675" s="5">
        <v>376.36264</v>
      </c>
      <c r="F3675" s="28">
        <v>70.409189999999995</v>
      </c>
      <c r="G3675" s="28">
        <v>166.79</v>
      </c>
      <c r="H3675" s="28">
        <v>271.35879999999997</v>
      </c>
      <c r="I3675" s="28">
        <v>188.10509999999999</v>
      </c>
      <c r="J3675" s="29"/>
      <c r="K3675" s="29"/>
      <c r="L3675" s="29"/>
      <c r="M3675" s="29"/>
      <c r="N3675" s="29"/>
      <c r="P3675" s="4">
        <f t="shared" si="231"/>
        <v>-1.187634378034319E-2</v>
      </c>
      <c r="Q3675" s="4">
        <f t="shared" si="231"/>
        <v>-2.5747550215307752E-3</v>
      </c>
      <c r="R3675" s="4">
        <f t="shared" si="231"/>
        <v>8.6710966612800686E-3</v>
      </c>
      <c r="S3675" s="4">
        <f t="shared" si="231"/>
        <v>-9.5803309466766049E-3</v>
      </c>
      <c r="T3675" s="4">
        <f t="shared" si="231"/>
        <v>-1.1506858693571962E-2</v>
      </c>
      <c r="U3675" s="35"/>
      <c r="V3675" s="35"/>
      <c r="W3675" s="35"/>
      <c r="X3675" s="35"/>
    </row>
    <row r="3676" spans="4:24" x14ac:dyDescent="0.3">
      <c r="D3676" s="23">
        <v>44914</v>
      </c>
      <c r="E3676" s="5">
        <v>373.17120399999999</v>
      </c>
      <c r="F3676" s="28">
        <v>69.988780000000006</v>
      </c>
      <c r="G3676" s="28">
        <v>166.32</v>
      </c>
      <c r="H3676" s="28">
        <v>267.5453</v>
      </c>
      <c r="I3676" s="28">
        <v>186.21129999999999</v>
      </c>
      <c r="J3676" s="29"/>
      <c r="K3676" s="29"/>
      <c r="L3676" s="29"/>
      <c r="M3676" s="29"/>
      <c r="N3676" s="29"/>
      <c r="P3676" s="4">
        <f t="shared" si="231"/>
        <v>-8.5158403781570077E-3</v>
      </c>
      <c r="Q3676" s="4">
        <f t="shared" si="231"/>
        <v>-5.9888509292037647E-3</v>
      </c>
      <c r="R3676" s="4">
        <f t="shared" si="231"/>
        <v>-2.8218925393243208E-3</v>
      </c>
      <c r="S3676" s="4">
        <f t="shared" si="231"/>
        <v>-1.4153032630875684E-2</v>
      </c>
      <c r="T3676" s="4">
        <f t="shared" si="231"/>
        <v>-1.0118798742640265E-2</v>
      </c>
      <c r="U3676" s="35"/>
      <c r="V3676" s="35"/>
      <c r="W3676" s="35"/>
      <c r="X3676" s="35"/>
    </row>
    <row r="3677" spans="4:24" x14ac:dyDescent="0.3">
      <c r="D3677" s="23">
        <v>44915</v>
      </c>
      <c r="E3677" s="5">
        <v>373.68182400000001</v>
      </c>
      <c r="F3677" s="28">
        <v>69.530140000000003</v>
      </c>
      <c r="G3677" s="28">
        <v>169.08</v>
      </c>
      <c r="H3677" s="28">
        <v>267.33699999999999</v>
      </c>
      <c r="I3677" s="28">
        <v>186.60169999999999</v>
      </c>
      <c r="J3677" s="29"/>
      <c r="K3677" s="29"/>
      <c r="L3677" s="29"/>
      <c r="M3677" s="29"/>
      <c r="N3677" s="29"/>
      <c r="P3677" s="4">
        <f t="shared" si="231"/>
        <v>1.3673910673664242E-3</v>
      </c>
      <c r="Q3677" s="4">
        <f t="shared" si="231"/>
        <v>-6.5746158597018928E-3</v>
      </c>
      <c r="R3677" s="4">
        <f t="shared" si="231"/>
        <v>1.6458332148831797E-2</v>
      </c>
      <c r="S3677" s="4">
        <f t="shared" si="231"/>
        <v>-7.788629780048845E-4</v>
      </c>
      <c r="T3677" s="4">
        <f t="shared" si="231"/>
        <v>2.0943483338875224E-3</v>
      </c>
      <c r="U3677" s="35"/>
      <c r="V3677" s="35"/>
      <c r="W3677" s="35"/>
      <c r="X3677" s="35"/>
    </row>
    <row r="3678" spans="4:24" x14ac:dyDescent="0.3">
      <c r="D3678" s="23">
        <v>44916</v>
      </c>
      <c r="E3678" s="5">
        <v>379.26934799999998</v>
      </c>
      <c r="F3678" s="28">
        <v>69.692589999999996</v>
      </c>
      <c r="G3678" s="28">
        <v>168.8</v>
      </c>
      <c r="H3678" s="28">
        <v>271.21499999999997</v>
      </c>
      <c r="I3678" s="28">
        <v>189.423</v>
      </c>
      <c r="J3678" s="29"/>
      <c r="K3678" s="29"/>
      <c r="L3678" s="29"/>
      <c r="M3678" s="29"/>
      <c r="N3678" s="29"/>
      <c r="P3678" s="4">
        <f t="shared" si="231"/>
        <v>1.4841936043540376E-2</v>
      </c>
      <c r="Q3678" s="4">
        <f t="shared" si="231"/>
        <v>2.3336717176216438E-3</v>
      </c>
      <c r="R3678" s="4">
        <f t="shared" si="231"/>
        <v>-1.6573935367324183E-3</v>
      </c>
      <c r="S3678" s="4">
        <f t="shared" si="231"/>
        <v>1.4401829456158276E-2</v>
      </c>
      <c r="T3678" s="4">
        <f t="shared" si="231"/>
        <v>1.5006210724940083E-2</v>
      </c>
      <c r="U3678" s="35"/>
      <c r="V3678" s="35"/>
      <c r="W3678" s="35"/>
      <c r="X3678" s="35"/>
    </row>
    <row r="3679" spans="4:24" x14ac:dyDescent="0.3">
      <c r="D3679" s="23">
        <v>44917</v>
      </c>
      <c r="E3679" s="5">
        <v>373.85864299999997</v>
      </c>
      <c r="F3679" s="28">
        <v>69.683030000000002</v>
      </c>
      <c r="G3679" s="28">
        <v>166.76</v>
      </c>
      <c r="H3679" s="28">
        <v>264.5797</v>
      </c>
      <c r="I3679" s="28">
        <v>186.7363</v>
      </c>
      <c r="J3679" s="29"/>
      <c r="K3679" s="29"/>
      <c r="L3679" s="29"/>
      <c r="M3679" s="29"/>
      <c r="N3679" s="29"/>
      <c r="P3679" s="4">
        <f t="shared" si="231"/>
        <v>-1.4368867330599194E-2</v>
      </c>
      <c r="Q3679" s="4">
        <f t="shared" si="231"/>
        <v>-1.3718324646713978E-4</v>
      </c>
      <c r="R3679" s="4">
        <f t="shared" si="231"/>
        <v>-1.2158929149260695E-2</v>
      </c>
      <c r="S3679" s="4">
        <f t="shared" si="231"/>
        <v>-2.4769335110188192E-2</v>
      </c>
      <c r="T3679" s="4">
        <f t="shared" si="231"/>
        <v>-1.4285148278406778E-2</v>
      </c>
      <c r="U3679" s="35"/>
      <c r="V3679" s="35"/>
      <c r="W3679" s="35"/>
      <c r="X3679" s="35"/>
    </row>
    <row r="3680" spans="4:24" x14ac:dyDescent="0.3">
      <c r="D3680" s="23">
        <v>44918</v>
      </c>
      <c r="E3680" s="5">
        <v>376.00912499999998</v>
      </c>
      <c r="F3680" s="28">
        <v>69.464650000000006</v>
      </c>
      <c r="G3680" s="28">
        <v>167.26</v>
      </c>
      <c r="H3680" s="28">
        <v>265.17469999999997</v>
      </c>
      <c r="I3680" s="28">
        <v>187.7662</v>
      </c>
      <c r="J3680" s="29"/>
      <c r="K3680" s="29"/>
      <c r="L3680" s="29"/>
      <c r="M3680" s="29"/>
      <c r="N3680" s="29"/>
      <c r="P3680" s="4">
        <f t="shared" si="231"/>
        <v>5.7356456357969716E-3</v>
      </c>
      <c r="Q3680" s="4">
        <f t="shared" si="231"/>
        <v>-3.1388260198676444E-3</v>
      </c>
      <c r="R3680" s="4">
        <f t="shared" si="231"/>
        <v>2.9938349407836419E-3</v>
      </c>
      <c r="S3680" s="4">
        <f t="shared" si="231"/>
        <v>2.246324901487364E-3</v>
      </c>
      <c r="T3680" s="4">
        <f t="shared" si="231"/>
        <v>5.5001106604597866E-3</v>
      </c>
      <c r="U3680" s="35"/>
      <c r="V3680" s="35"/>
      <c r="W3680" s="35"/>
      <c r="X3680" s="35"/>
    </row>
    <row r="3681" spans="4:24" x14ac:dyDescent="0.3">
      <c r="D3681" s="23">
        <v>44922</v>
      </c>
      <c r="E3681" s="5">
        <v>374.52633700000001</v>
      </c>
      <c r="F3681" s="28">
        <v>68.928309999999996</v>
      </c>
      <c r="G3681" s="28">
        <v>168.67</v>
      </c>
      <c r="H3681" s="28">
        <v>261.42570000000001</v>
      </c>
      <c r="I3681" s="28">
        <v>186.98150000000001</v>
      </c>
      <c r="J3681" s="29"/>
      <c r="K3681" s="29"/>
      <c r="L3681" s="29"/>
      <c r="M3681" s="29"/>
      <c r="N3681" s="29"/>
      <c r="P3681" s="4">
        <f t="shared" si="231"/>
        <v>-3.9512854602140723E-3</v>
      </c>
      <c r="Q3681" s="4">
        <f t="shared" si="231"/>
        <v>-7.7510111091094883E-3</v>
      </c>
      <c r="R3681" s="4">
        <f t="shared" si="231"/>
        <v>8.3946553165433809E-3</v>
      </c>
      <c r="S3681" s="4">
        <f t="shared" si="231"/>
        <v>-1.4238740949250119E-2</v>
      </c>
      <c r="T3681" s="4">
        <f t="shared" si="231"/>
        <v>-4.1878903959467282E-3</v>
      </c>
      <c r="U3681" s="35"/>
      <c r="V3681" s="35"/>
      <c r="W3681" s="35"/>
      <c r="X3681" s="35"/>
    </row>
    <row r="3682" spans="4:24" x14ac:dyDescent="0.3">
      <c r="D3682" s="23">
        <v>44923</v>
      </c>
      <c r="E3682" s="5">
        <v>369.87176499999998</v>
      </c>
      <c r="F3682" s="28">
        <v>68.832560000000001</v>
      </c>
      <c r="G3682" s="28">
        <v>167.91</v>
      </c>
      <c r="H3682" s="28">
        <v>257.97410000000002</v>
      </c>
      <c r="I3682" s="28">
        <v>184.62729999999999</v>
      </c>
      <c r="J3682" s="29"/>
      <c r="K3682" s="29"/>
      <c r="L3682" s="29"/>
      <c r="M3682" s="29"/>
      <c r="N3682" s="29"/>
      <c r="P3682" s="4">
        <f t="shared" si="231"/>
        <v>-1.250576176813803E-2</v>
      </c>
      <c r="Q3682" s="4">
        <f t="shared" si="231"/>
        <v>-1.3900901673827124E-3</v>
      </c>
      <c r="R3682" s="4">
        <f t="shared" si="231"/>
        <v>-4.516021698545274E-3</v>
      </c>
      <c r="S3682" s="4">
        <f t="shared" si="231"/>
        <v>-1.329092082772953E-2</v>
      </c>
      <c r="T3682" s="4">
        <f t="shared" si="231"/>
        <v>-1.2670483020917341E-2</v>
      </c>
      <c r="U3682" s="35"/>
      <c r="V3682" s="35"/>
      <c r="W3682" s="35"/>
      <c r="X3682" s="35"/>
    </row>
    <row r="3683" spans="4:24" x14ac:dyDescent="0.3">
      <c r="D3683" s="23">
        <v>44924</v>
      </c>
      <c r="E3683" s="5">
        <v>376.52960200000001</v>
      </c>
      <c r="F3683" s="28">
        <v>69.091139999999996</v>
      </c>
      <c r="G3683" s="28">
        <v>168.85</v>
      </c>
      <c r="H3683" s="28">
        <v>264.26229999999998</v>
      </c>
      <c r="I3683" s="28">
        <v>188.0213</v>
      </c>
      <c r="J3683" s="29"/>
      <c r="K3683" s="29"/>
      <c r="L3683" s="29"/>
      <c r="M3683" s="29"/>
      <c r="N3683" s="29"/>
      <c r="P3683" s="4">
        <f t="shared" si="231"/>
        <v>1.7840303835131278E-2</v>
      </c>
      <c r="Q3683" s="4">
        <f t="shared" si="231"/>
        <v>3.7496137786463728E-3</v>
      </c>
      <c r="R3683" s="4">
        <f t="shared" si="231"/>
        <v>5.5826252601986794E-3</v>
      </c>
      <c r="S3683" s="4">
        <f t="shared" si="231"/>
        <v>2.4082978212183442E-2</v>
      </c>
      <c r="T3683" s="4">
        <f t="shared" si="231"/>
        <v>1.8216055826127189E-2</v>
      </c>
      <c r="U3683" s="35"/>
      <c r="V3683" s="35"/>
      <c r="W3683" s="35"/>
      <c r="X3683" s="35"/>
    </row>
    <row r="3684" spans="4:24" x14ac:dyDescent="0.3">
      <c r="D3684" s="23">
        <v>44925</v>
      </c>
      <c r="E3684" s="5">
        <v>375.53781099999998</v>
      </c>
      <c r="F3684" s="28">
        <v>68.803799999999995</v>
      </c>
      <c r="G3684" s="28">
        <v>169.64</v>
      </c>
      <c r="H3684" s="28">
        <v>264.10359999999997</v>
      </c>
      <c r="I3684" s="28">
        <v>187.54060000000001</v>
      </c>
      <c r="J3684" s="29"/>
      <c r="K3684" s="29"/>
      <c r="L3684" s="29"/>
      <c r="M3684" s="29"/>
      <c r="N3684" s="29"/>
      <c r="P3684" s="4">
        <f t="shared" si="231"/>
        <v>-2.6375071112004697E-3</v>
      </c>
      <c r="Q3684" s="4">
        <f t="shared" si="231"/>
        <v>-4.1675266095086176E-3</v>
      </c>
      <c r="R3684" s="4">
        <f t="shared" si="231"/>
        <v>4.6677977748131776E-3</v>
      </c>
      <c r="S3684" s="4">
        <f t="shared" si="231"/>
        <v>-6.007200872442638E-4</v>
      </c>
      <c r="T3684" s="4">
        <f t="shared" si="231"/>
        <v>-2.559898980730081E-3</v>
      </c>
      <c r="U3684" s="35"/>
      <c r="V3684" s="35"/>
      <c r="W3684" s="35"/>
      <c r="X3684" s="35"/>
    </row>
    <row r="3685" spans="4:24" x14ac:dyDescent="0.3">
      <c r="D3685" s="23">
        <v>44929</v>
      </c>
      <c r="E3685" s="5">
        <v>373.956818</v>
      </c>
      <c r="F3685" s="28">
        <v>69.167760000000001</v>
      </c>
      <c r="G3685" s="28">
        <v>171.06</v>
      </c>
      <c r="H3685" s="28">
        <v>262.31830000000002</v>
      </c>
      <c r="I3685" s="28">
        <v>186.77549999999999</v>
      </c>
      <c r="J3685" s="29"/>
      <c r="K3685" s="29"/>
      <c r="L3685" s="29"/>
      <c r="M3685" s="29"/>
      <c r="N3685" s="29"/>
      <c r="P3685" s="4">
        <f t="shared" ref="P3685:T3700" si="232">LN(E3685/E3684)</f>
        <v>-4.2188303525392918E-3</v>
      </c>
      <c r="Q3685" s="4">
        <f t="shared" si="232"/>
        <v>5.2758821344501203E-3</v>
      </c>
      <c r="R3685" s="4">
        <f t="shared" si="232"/>
        <v>8.3358275462458043E-3</v>
      </c>
      <c r="S3685" s="4">
        <f t="shared" si="232"/>
        <v>-6.7827985294315893E-3</v>
      </c>
      <c r="T3685" s="4">
        <f t="shared" si="232"/>
        <v>-4.0879944277564546E-3</v>
      </c>
      <c r="U3685" s="35"/>
      <c r="V3685" s="35"/>
      <c r="W3685" s="35"/>
      <c r="X3685" s="35"/>
    </row>
    <row r="3686" spans="4:24" x14ac:dyDescent="0.3">
      <c r="D3686" s="23">
        <v>44930</v>
      </c>
      <c r="E3686" s="5">
        <v>376.84381100000002</v>
      </c>
      <c r="F3686" s="28">
        <v>69.560419999999993</v>
      </c>
      <c r="G3686" s="28">
        <v>172.67</v>
      </c>
      <c r="H3686" s="28">
        <v>263.56799999999998</v>
      </c>
      <c r="I3686" s="28">
        <v>188.4333</v>
      </c>
      <c r="J3686" s="29"/>
      <c r="K3686" s="29"/>
      <c r="L3686" s="29"/>
      <c r="M3686" s="29"/>
      <c r="N3686" s="29"/>
      <c r="P3686" s="4">
        <f t="shared" si="232"/>
        <v>7.6904763191774838E-3</v>
      </c>
      <c r="Q3686" s="4">
        <f t="shared" si="232"/>
        <v>5.6608693140741701E-3</v>
      </c>
      <c r="R3686" s="4">
        <f t="shared" si="232"/>
        <v>9.3678862717030964E-3</v>
      </c>
      <c r="S3686" s="4">
        <f t="shared" si="232"/>
        <v>4.7527473235725983E-3</v>
      </c>
      <c r="T3686" s="4">
        <f t="shared" si="232"/>
        <v>8.8367372398131198E-3</v>
      </c>
      <c r="U3686" s="35"/>
      <c r="V3686" s="35"/>
      <c r="W3686" s="35"/>
      <c r="X3686" s="35"/>
    </row>
    <row r="3687" spans="4:24" x14ac:dyDescent="0.3">
      <c r="D3687" s="23">
        <v>44931</v>
      </c>
      <c r="E3687" s="5">
        <v>372.542755</v>
      </c>
      <c r="F3687" s="28">
        <v>69.483819999999994</v>
      </c>
      <c r="G3687" s="28">
        <v>170.52</v>
      </c>
      <c r="H3687" s="28">
        <v>259.44200000000001</v>
      </c>
      <c r="I3687" s="28">
        <v>186.22620000000001</v>
      </c>
      <c r="J3687" s="29"/>
      <c r="K3687" s="29"/>
      <c r="L3687" s="29"/>
      <c r="M3687" s="29"/>
      <c r="N3687" s="29"/>
      <c r="P3687" s="4">
        <f t="shared" si="232"/>
        <v>-1.1478997418101475E-2</v>
      </c>
      <c r="Q3687" s="4">
        <f t="shared" si="232"/>
        <v>-1.1018077088161581E-3</v>
      </c>
      <c r="R3687" s="4">
        <f t="shared" si="232"/>
        <v>-1.2529666527329156E-2</v>
      </c>
      <c r="S3687" s="4">
        <f t="shared" si="232"/>
        <v>-1.5778228323775671E-2</v>
      </c>
      <c r="T3687" s="4">
        <f t="shared" si="232"/>
        <v>-1.1782034256356211E-2</v>
      </c>
      <c r="U3687" s="35"/>
      <c r="V3687" s="35"/>
      <c r="W3687" s="35"/>
      <c r="X3687" s="35"/>
    </row>
    <row r="3688" spans="4:24" x14ac:dyDescent="0.3">
      <c r="D3688" s="23">
        <v>44932</v>
      </c>
      <c r="E3688" s="5">
        <v>381.08596799999998</v>
      </c>
      <c r="F3688" s="28">
        <v>70.25</v>
      </c>
      <c r="G3688" s="28">
        <v>173.71</v>
      </c>
      <c r="H3688" s="28">
        <v>266.60300000000001</v>
      </c>
      <c r="I3688" s="28">
        <v>190.33619999999999</v>
      </c>
      <c r="J3688" s="29"/>
      <c r="K3688" s="29"/>
      <c r="L3688" s="29"/>
      <c r="M3688" s="29"/>
      <c r="N3688" s="29"/>
      <c r="P3688" s="4">
        <f t="shared" si="232"/>
        <v>2.2673177713044449E-2</v>
      </c>
      <c r="Q3688" s="4">
        <f t="shared" si="232"/>
        <v>1.0966388501970889E-2</v>
      </c>
      <c r="R3688" s="4">
        <f t="shared" si="232"/>
        <v>1.8534650216822393E-2</v>
      </c>
      <c r="S3688" s="4">
        <f t="shared" si="232"/>
        <v>2.7227489613648369E-2</v>
      </c>
      <c r="T3688" s="4">
        <f t="shared" si="232"/>
        <v>2.1829918310911439E-2</v>
      </c>
      <c r="U3688" s="35"/>
      <c r="V3688" s="35"/>
      <c r="W3688" s="35"/>
      <c r="X3688" s="35"/>
    </row>
    <row r="3689" spans="4:24" x14ac:dyDescent="0.3">
      <c r="D3689" s="23">
        <v>44935</v>
      </c>
      <c r="E3689" s="5">
        <v>380.86990400000002</v>
      </c>
      <c r="F3689" s="28">
        <v>70.441540000000003</v>
      </c>
      <c r="G3689" s="28">
        <v>174.1</v>
      </c>
      <c r="H3689" s="28">
        <v>268.3288</v>
      </c>
      <c r="I3689" s="28">
        <v>190.41470000000001</v>
      </c>
      <c r="J3689" s="29"/>
      <c r="K3689" s="29"/>
      <c r="L3689" s="29"/>
      <c r="M3689" s="29"/>
      <c r="N3689" s="29"/>
      <c r="P3689" s="4">
        <f t="shared" si="232"/>
        <v>-5.6712997098902886E-4</v>
      </c>
      <c r="Q3689" s="4">
        <f t="shared" si="232"/>
        <v>2.7228377532483561E-3</v>
      </c>
      <c r="R3689" s="4">
        <f t="shared" si="232"/>
        <v>2.2426046603113564E-3</v>
      </c>
      <c r="S3689" s="4">
        <f t="shared" si="232"/>
        <v>6.4524337033045488E-3</v>
      </c>
      <c r="T3689" s="4">
        <f t="shared" si="232"/>
        <v>4.1234308894491536E-4</v>
      </c>
      <c r="U3689" s="35"/>
      <c r="V3689" s="35"/>
      <c r="W3689" s="35"/>
      <c r="X3689" s="35"/>
    </row>
    <row r="3690" spans="4:24" x14ac:dyDescent="0.3">
      <c r="D3690" s="23">
        <v>44936</v>
      </c>
      <c r="E3690" s="5">
        <v>383.540863</v>
      </c>
      <c r="F3690" s="28">
        <v>70.163809999999998</v>
      </c>
      <c r="G3690" s="28">
        <v>174.74</v>
      </c>
      <c r="H3690" s="28">
        <v>270.6001</v>
      </c>
      <c r="I3690" s="28">
        <v>191.91550000000001</v>
      </c>
      <c r="J3690" s="29"/>
      <c r="K3690" s="29"/>
      <c r="L3690" s="29"/>
      <c r="M3690" s="29"/>
      <c r="N3690" s="29"/>
      <c r="P3690" s="4">
        <f t="shared" si="232"/>
        <v>6.9883104354844473E-3</v>
      </c>
      <c r="Q3690" s="4">
        <f t="shared" si="232"/>
        <v>-3.9504949306305853E-3</v>
      </c>
      <c r="R3690" s="4">
        <f t="shared" si="232"/>
        <v>3.6693080958052067E-3</v>
      </c>
      <c r="S3690" s="4">
        <f t="shared" si="232"/>
        <v>8.4289910879657738E-3</v>
      </c>
      <c r="T3690" s="4">
        <f t="shared" si="232"/>
        <v>7.8508457274547288E-3</v>
      </c>
      <c r="U3690" s="35"/>
      <c r="V3690" s="35"/>
      <c r="W3690" s="35"/>
      <c r="X3690" s="35"/>
    </row>
    <row r="3691" spans="4:24" x14ac:dyDescent="0.3">
      <c r="D3691" s="23">
        <v>44937</v>
      </c>
      <c r="E3691" s="5">
        <v>388.39184599999999</v>
      </c>
      <c r="F3691" s="28">
        <v>70.537319999999994</v>
      </c>
      <c r="G3691" s="28">
        <v>174.62</v>
      </c>
      <c r="H3691" s="28">
        <v>275.28149999999999</v>
      </c>
      <c r="I3691" s="28">
        <v>194.4462</v>
      </c>
      <c r="J3691" s="29"/>
      <c r="K3691" s="29"/>
      <c r="L3691" s="29"/>
      <c r="M3691" s="29"/>
      <c r="N3691" s="29"/>
      <c r="P3691" s="4">
        <f t="shared" si="232"/>
        <v>1.2568574441899903E-2</v>
      </c>
      <c r="Q3691" s="4">
        <f t="shared" si="232"/>
        <v>5.3092804213988936E-3</v>
      </c>
      <c r="R3691" s="4">
        <f t="shared" si="232"/>
        <v>-6.8697048728700628E-4</v>
      </c>
      <c r="S3691" s="4">
        <f t="shared" si="232"/>
        <v>1.7152125185994356E-2</v>
      </c>
      <c r="T3691" s="4">
        <f t="shared" si="232"/>
        <v>1.3100347125159806E-2</v>
      </c>
      <c r="U3691" s="35"/>
      <c r="V3691" s="35"/>
      <c r="W3691" s="35"/>
      <c r="X3691" s="35"/>
    </row>
    <row r="3692" spans="4:24" x14ac:dyDescent="0.3">
      <c r="D3692" s="23">
        <v>44938</v>
      </c>
      <c r="E3692" s="5">
        <v>389.80587800000001</v>
      </c>
      <c r="F3692" s="28">
        <v>71.08323</v>
      </c>
      <c r="G3692" s="28">
        <v>176.64</v>
      </c>
      <c r="H3692" s="28">
        <v>276.76920000000001</v>
      </c>
      <c r="I3692" s="28">
        <v>195.3879</v>
      </c>
      <c r="J3692" s="29"/>
      <c r="K3692" s="29"/>
      <c r="L3692" s="29"/>
      <c r="M3692" s="29"/>
      <c r="N3692" s="29"/>
      <c r="P3692" s="4">
        <f t="shared" si="232"/>
        <v>3.6341241117354962E-3</v>
      </c>
      <c r="Q3692" s="4">
        <f t="shared" si="232"/>
        <v>7.7095125519017586E-3</v>
      </c>
      <c r="R3692" s="4">
        <f t="shared" si="232"/>
        <v>1.150157870606878E-2</v>
      </c>
      <c r="S3692" s="4">
        <f t="shared" si="232"/>
        <v>5.3897354042981103E-3</v>
      </c>
      <c r="T3692" s="4">
        <f t="shared" si="232"/>
        <v>4.8312953213522653E-3</v>
      </c>
      <c r="U3692" s="35"/>
      <c r="V3692" s="35"/>
      <c r="W3692" s="35"/>
      <c r="X3692" s="35"/>
    </row>
    <row r="3693" spans="4:24" x14ac:dyDescent="0.3">
      <c r="D3693" s="23">
        <v>44939</v>
      </c>
      <c r="E3693" s="5">
        <v>391.31817599999999</v>
      </c>
      <c r="F3693" s="28">
        <v>70.843779999999995</v>
      </c>
      <c r="G3693" s="28">
        <v>178.76</v>
      </c>
      <c r="H3693" s="28">
        <v>278.67360000000002</v>
      </c>
      <c r="I3693" s="28">
        <v>196.2217</v>
      </c>
      <c r="J3693" s="29"/>
      <c r="K3693" s="29"/>
      <c r="L3693" s="29"/>
      <c r="M3693" s="29"/>
      <c r="N3693" s="29"/>
      <c r="P3693" s="4">
        <f t="shared" si="232"/>
        <v>3.8721119437489585E-3</v>
      </c>
      <c r="Q3693" s="4">
        <f t="shared" si="232"/>
        <v>-3.3742728349235064E-3</v>
      </c>
      <c r="R3693" s="4">
        <f t="shared" si="232"/>
        <v>1.1930360976520249E-2</v>
      </c>
      <c r="S3693" s="4">
        <f t="shared" si="232"/>
        <v>6.8572586137938532E-3</v>
      </c>
      <c r="T3693" s="4">
        <f t="shared" si="232"/>
        <v>4.2583290091269942E-3</v>
      </c>
      <c r="U3693" s="35"/>
      <c r="V3693" s="35"/>
      <c r="W3693" s="35"/>
      <c r="X3693" s="35"/>
    </row>
    <row r="3694" spans="4:24" x14ac:dyDescent="0.3">
      <c r="D3694" s="23">
        <v>44943</v>
      </c>
      <c r="E3694" s="5">
        <v>390.60128800000001</v>
      </c>
      <c r="F3694" s="28">
        <v>70.748009999999994</v>
      </c>
      <c r="G3694" s="28">
        <v>177.59</v>
      </c>
      <c r="H3694" s="28">
        <v>279.2389</v>
      </c>
      <c r="I3694" s="28">
        <v>195.95679999999999</v>
      </c>
      <c r="J3694" s="29"/>
      <c r="K3694" s="29"/>
      <c r="L3694" s="29"/>
      <c r="M3694" s="29"/>
      <c r="N3694" s="29"/>
      <c r="P3694" s="4">
        <f t="shared" si="232"/>
        <v>-1.833662503296083E-3</v>
      </c>
      <c r="Q3694" s="4">
        <f t="shared" si="232"/>
        <v>-1.3527622555609498E-3</v>
      </c>
      <c r="R3694" s="4">
        <f t="shared" si="232"/>
        <v>-6.5666013987468264E-3</v>
      </c>
      <c r="S3694" s="4">
        <f t="shared" si="232"/>
        <v>2.0264833408704121E-3</v>
      </c>
      <c r="T3694" s="4">
        <f t="shared" si="232"/>
        <v>-1.3509156686880676E-3</v>
      </c>
      <c r="U3694" s="35"/>
      <c r="V3694" s="35"/>
      <c r="W3694" s="35"/>
      <c r="X3694" s="35"/>
    </row>
    <row r="3695" spans="4:24" x14ac:dyDescent="0.3">
      <c r="D3695" s="23">
        <v>44944</v>
      </c>
      <c r="E3695" s="5">
        <v>384.43447900000001</v>
      </c>
      <c r="F3695" s="28">
        <v>71.399280000000005</v>
      </c>
      <c r="G3695" s="28">
        <v>177.08</v>
      </c>
      <c r="H3695" s="28">
        <v>275.60879999999997</v>
      </c>
      <c r="I3695" s="28">
        <v>192.86699999999999</v>
      </c>
      <c r="J3695" s="29"/>
      <c r="K3695" s="29"/>
      <c r="L3695" s="29"/>
      <c r="M3695" s="29"/>
      <c r="N3695" s="29"/>
      <c r="P3695" s="4">
        <f t="shared" si="232"/>
        <v>-1.5913947224903802E-2</v>
      </c>
      <c r="Q3695" s="4">
        <f t="shared" si="232"/>
        <v>9.1633763417920868E-3</v>
      </c>
      <c r="R3695" s="4">
        <f t="shared" si="232"/>
        <v>-2.8759148025635029E-3</v>
      </c>
      <c r="S3695" s="4">
        <f t="shared" si="232"/>
        <v>-1.3085218867167651E-2</v>
      </c>
      <c r="T3695" s="4">
        <f t="shared" si="232"/>
        <v>-1.5893394591658359E-2</v>
      </c>
      <c r="U3695" s="35"/>
      <c r="V3695" s="35"/>
      <c r="W3695" s="35"/>
      <c r="X3695" s="35"/>
    </row>
    <row r="3696" spans="4:24" x14ac:dyDescent="0.3">
      <c r="D3696" s="23">
        <v>44945</v>
      </c>
      <c r="E3696" s="5">
        <v>381.63583399999999</v>
      </c>
      <c r="F3696" s="28">
        <v>71.255619999999993</v>
      </c>
      <c r="G3696" s="28">
        <v>179.89</v>
      </c>
      <c r="H3696" s="28">
        <v>272.90109999999999</v>
      </c>
      <c r="I3696" s="28">
        <v>191.29750000000001</v>
      </c>
      <c r="J3696" s="29"/>
      <c r="K3696" s="29"/>
      <c r="L3696" s="29"/>
      <c r="M3696" s="29"/>
      <c r="N3696" s="29"/>
      <c r="P3696" s="4">
        <f t="shared" si="232"/>
        <v>-7.3065289257488826E-3</v>
      </c>
      <c r="Q3696" s="4">
        <f t="shared" si="232"/>
        <v>-2.0140920299810509E-3</v>
      </c>
      <c r="R3696" s="4">
        <f t="shared" si="232"/>
        <v>1.574394511065438E-2</v>
      </c>
      <c r="S3696" s="4">
        <f t="shared" si="232"/>
        <v>-9.8730104768833902E-3</v>
      </c>
      <c r="T3696" s="4">
        <f t="shared" si="232"/>
        <v>-8.1710243001596478E-3</v>
      </c>
      <c r="U3696" s="35"/>
      <c r="V3696" s="35"/>
      <c r="W3696" s="35"/>
      <c r="X3696" s="35"/>
    </row>
    <row r="3697" spans="4:24" x14ac:dyDescent="0.3">
      <c r="D3697" s="23">
        <v>44946</v>
      </c>
      <c r="E3697" s="5">
        <v>388.74539199999998</v>
      </c>
      <c r="F3697" s="28">
        <v>70.939549999999997</v>
      </c>
      <c r="G3697" s="28">
        <v>179.29</v>
      </c>
      <c r="H3697" s="28">
        <v>280.36959999999999</v>
      </c>
      <c r="I3697" s="28">
        <v>194.96610000000001</v>
      </c>
      <c r="J3697" s="29"/>
      <c r="K3697" s="29"/>
      <c r="L3697" s="29"/>
      <c r="M3697" s="29"/>
      <c r="N3697" s="29"/>
      <c r="P3697" s="4">
        <f t="shared" si="232"/>
        <v>1.8457770269457673E-2</v>
      </c>
      <c r="Q3697" s="4">
        <f t="shared" si="232"/>
        <v>-4.4455872945229381E-3</v>
      </c>
      <c r="R3697" s="4">
        <f t="shared" si="232"/>
        <v>-3.3409463672588765E-3</v>
      </c>
      <c r="S3697" s="4">
        <f t="shared" si="232"/>
        <v>2.6999274248472462E-2</v>
      </c>
      <c r="T3697" s="4">
        <f t="shared" si="232"/>
        <v>1.8995889414921589E-2</v>
      </c>
      <c r="U3697" s="35"/>
      <c r="V3697" s="35"/>
      <c r="W3697" s="35"/>
      <c r="X3697" s="35"/>
    </row>
    <row r="3698" spans="4:24" x14ac:dyDescent="0.3">
      <c r="D3698" s="23">
        <v>44949</v>
      </c>
      <c r="E3698" s="5">
        <v>393.40976000000001</v>
      </c>
      <c r="F3698" s="28">
        <v>70.767179999999996</v>
      </c>
      <c r="G3698" s="28">
        <v>179.63</v>
      </c>
      <c r="H3698" s="28">
        <v>286.59820000000002</v>
      </c>
      <c r="I3698" s="28">
        <v>197.43799999999999</v>
      </c>
      <c r="J3698" s="29"/>
      <c r="K3698" s="29"/>
      <c r="L3698" s="29"/>
      <c r="M3698" s="29"/>
      <c r="N3698" s="29"/>
      <c r="P3698" s="4">
        <f t="shared" si="232"/>
        <v>1.1927104954572259E-2</v>
      </c>
      <c r="Q3698" s="4">
        <f t="shared" si="232"/>
        <v>-2.4327720357753282E-3</v>
      </c>
      <c r="R3698" s="4">
        <f t="shared" si="232"/>
        <v>1.8945731734084268E-3</v>
      </c>
      <c r="S3698" s="4">
        <f t="shared" si="232"/>
        <v>2.1972502108845583E-2</v>
      </c>
      <c r="T3698" s="4">
        <f t="shared" si="232"/>
        <v>1.2598913709167639E-2</v>
      </c>
      <c r="U3698" s="35"/>
      <c r="V3698" s="35"/>
      <c r="W3698" s="35"/>
      <c r="X3698" s="35"/>
    </row>
    <row r="3699" spans="4:24" x14ac:dyDescent="0.3">
      <c r="D3699" s="23">
        <v>44950</v>
      </c>
      <c r="E3699" s="5">
        <v>392.987549</v>
      </c>
      <c r="F3699" s="28">
        <v>71.08323</v>
      </c>
      <c r="G3699" s="28">
        <v>180.28</v>
      </c>
      <c r="H3699" s="28">
        <v>286.01299999999998</v>
      </c>
      <c r="I3699" s="28">
        <v>197.11429999999999</v>
      </c>
      <c r="J3699" s="29"/>
      <c r="K3699" s="29"/>
      <c r="L3699" s="29"/>
      <c r="M3699" s="29"/>
      <c r="N3699" s="29"/>
      <c r="P3699" s="4">
        <f t="shared" si="232"/>
        <v>-1.0737855680225826E-3</v>
      </c>
      <c r="Q3699" s="4">
        <f t="shared" si="232"/>
        <v>4.456110108971633E-3</v>
      </c>
      <c r="R3699" s="4">
        <f t="shared" si="232"/>
        <v>3.6120180417032071E-3</v>
      </c>
      <c r="S3699" s="4">
        <f t="shared" si="232"/>
        <v>-2.0439705117125196E-3</v>
      </c>
      <c r="T3699" s="4">
        <f t="shared" si="232"/>
        <v>-1.6408474751102042E-3</v>
      </c>
      <c r="U3699" s="35"/>
      <c r="V3699" s="35"/>
      <c r="W3699" s="35"/>
      <c r="X3699" s="35"/>
    </row>
    <row r="3700" spans="4:24" x14ac:dyDescent="0.3">
      <c r="D3700" s="23">
        <v>44951</v>
      </c>
      <c r="E3700" s="5">
        <v>393.13482699999997</v>
      </c>
      <c r="F3700" s="28">
        <v>71.169430000000006</v>
      </c>
      <c r="G3700" s="28">
        <v>181.11</v>
      </c>
      <c r="H3700" s="28">
        <v>285.37830000000002</v>
      </c>
      <c r="I3700" s="28">
        <v>197.2124</v>
      </c>
      <c r="J3700" s="29"/>
      <c r="K3700" s="29"/>
      <c r="L3700" s="29"/>
      <c r="M3700" s="29"/>
      <c r="N3700" s="29"/>
      <c r="P3700" s="4">
        <f t="shared" si="232"/>
        <v>3.7469484706053029E-4</v>
      </c>
      <c r="Q3700" s="4">
        <f t="shared" si="232"/>
        <v>1.211928276781152E-3</v>
      </c>
      <c r="R3700" s="4">
        <f t="shared" si="232"/>
        <v>4.5933836539970158E-3</v>
      </c>
      <c r="S3700" s="4">
        <f t="shared" si="232"/>
        <v>-2.2215958172486306E-3</v>
      </c>
      <c r="T3700" s="4">
        <f t="shared" si="232"/>
        <v>4.9755698522999895E-4</v>
      </c>
      <c r="U3700" s="35"/>
      <c r="V3700" s="35"/>
      <c r="W3700" s="35"/>
      <c r="X3700" s="35"/>
    </row>
    <row r="3701" spans="4:24" x14ac:dyDescent="0.3">
      <c r="D3701" s="23">
        <v>44952</v>
      </c>
      <c r="E3701" s="5">
        <v>397.455536</v>
      </c>
      <c r="F3701" s="28">
        <v>71.035330000000002</v>
      </c>
      <c r="G3701" s="28">
        <v>179.47</v>
      </c>
      <c r="H3701" s="28">
        <v>290.94240000000002</v>
      </c>
      <c r="I3701" s="28">
        <v>199.24289999999999</v>
      </c>
      <c r="J3701" s="29"/>
      <c r="K3701" s="29"/>
      <c r="L3701" s="29"/>
      <c r="M3701" s="29"/>
      <c r="N3701" s="29"/>
      <c r="P3701" s="4">
        <f t="shared" ref="P3701:T3716" si="233">LN(E3701/E3700)</f>
        <v>1.093044443759543E-2</v>
      </c>
      <c r="Q3701" s="4">
        <f t="shared" si="233"/>
        <v>-1.8860133760641212E-3</v>
      </c>
      <c r="R3701" s="4">
        <f t="shared" si="233"/>
        <v>-9.0965184352595225E-3</v>
      </c>
      <c r="S3701" s="4">
        <f t="shared" si="233"/>
        <v>1.9309640919790809E-2</v>
      </c>
      <c r="T3701" s="4">
        <f t="shared" si="233"/>
        <v>1.0243362893139854E-2</v>
      </c>
      <c r="U3701" s="35"/>
      <c r="V3701" s="35"/>
      <c r="W3701" s="35"/>
      <c r="X3701" s="35"/>
    </row>
    <row r="3702" spans="4:24" x14ac:dyDescent="0.3">
      <c r="D3702" s="23">
        <v>44953</v>
      </c>
      <c r="E3702" s="5">
        <v>398.36877399999997</v>
      </c>
      <c r="F3702" s="28">
        <v>70.958709999999996</v>
      </c>
      <c r="G3702" s="28">
        <v>179.22</v>
      </c>
      <c r="H3702" s="28">
        <v>293.83859999999999</v>
      </c>
      <c r="I3702" s="28">
        <v>200.0472</v>
      </c>
      <c r="J3702" s="29"/>
      <c r="K3702" s="29"/>
      <c r="L3702" s="29"/>
      <c r="M3702" s="29"/>
      <c r="N3702" s="29"/>
      <c r="P3702" s="4">
        <f t="shared" si="233"/>
        <v>2.2950754064387422E-3</v>
      </c>
      <c r="Q3702" s="4">
        <f t="shared" si="233"/>
        <v>-1.0792003303299919E-3</v>
      </c>
      <c r="R3702" s="4">
        <f t="shared" si="233"/>
        <v>-1.3939615851116768E-3</v>
      </c>
      <c r="S3702" s="4">
        <f t="shared" si="233"/>
        <v>9.9053275675529597E-3</v>
      </c>
      <c r="T3702" s="4">
        <f t="shared" si="233"/>
        <v>4.0286552950835729E-3</v>
      </c>
      <c r="U3702" s="35"/>
      <c r="V3702" s="35"/>
      <c r="W3702" s="35"/>
      <c r="X3702" s="35"/>
    </row>
    <row r="3703" spans="4:24" x14ac:dyDescent="0.3">
      <c r="D3703" s="23">
        <v>44956</v>
      </c>
      <c r="E3703" s="5">
        <v>393.370453</v>
      </c>
      <c r="F3703" s="28">
        <v>70.757599999999996</v>
      </c>
      <c r="G3703" s="28">
        <v>178.76</v>
      </c>
      <c r="H3703" s="28">
        <v>287.89760000000001</v>
      </c>
      <c r="I3703" s="28">
        <v>197.36940000000001</v>
      </c>
      <c r="J3703" s="29"/>
      <c r="K3703" s="29"/>
      <c r="L3703" s="29"/>
      <c r="M3703" s="29"/>
      <c r="N3703" s="29"/>
      <c r="P3703" s="4">
        <f t="shared" si="233"/>
        <v>-1.2626347751891791E-2</v>
      </c>
      <c r="Q3703" s="4">
        <f t="shared" si="233"/>
        <v>-2.8382073312820679E-3</v>
      </c>
      <c r="R3703" s="4">
        <f t="shared" si="233"/>
        <v>-2.5699773908227103E-3</v>
      </c>
      <c r="S3703" s="4">
        <f t="shared" si="233"/>
        <v>-2.0425775646848984E-2</v>
      </c>
      <c r="T3703" s="4">
        <f t="shared" si="233"/>
        <v>-1.3476238918701961E-2</v>
      </c>
      <c r="U3703" s="35"/>
      <c r="V3703" s="35"/>
      <c r="W3703" s="35"/>
      <c r="X3703" s="35"/>
    </row>
    <row r="3704" spans="4:24" x14ac:dyDescent="0.3">
      <c r="D3704" s="23">
        <v>44957</v>
      </c>
      <c r="E3704" s="5">
        <v>399.15441900000002</v>
      </c>
      <c r="F3704" s="28">
        <v>71.08323</v>
      </c>
      <c r="G3704" s="28">
        <v>179.41</v>
      </c>
      <c r="H3704" s="28">
        <v>292.21199999999999</v>
      </c>
      <c r="I3704" s="28">
        <v>200.52789999999999</v>
      </c>
      <c r="J3704" s="29"/>
      <c r="K3704" s="29"/>
      <c r="L3704" s="29"/>
      <c r="M3704" s="29"/>
      <c r="N3704" s="29"/>
      <c r="P3704" s="4">
        <f t="shared" si="233"/>
        <v>1.4596560683715955E-2</v>
      </c>
      <c r="Q3704" s="4">
        <f t="shared" si="233"/>
        <v>4.5914927608949954E-3</v>
      </c>
      <c r="R3704" s="4">
        <f t="shared" si="233"/>
        <v>3.6295653660423006E-3</v>
      </c>
      <c r="S3704" s="4">
        <f t="shared" si="233"/>
        <v>1.4874704879621763E-2</v>
      </c>
      <c r="T3704" s="4">
        <f t="shared" si="233"/>
        <v>1.5876289399851171E-2</v>
      </c>
      <c r="U3704" s="35"/>
      <c r="V3704" s="35"/>
      <c r="W3704" s="35"/>
      <c r="X3704" s="35"/>
    </row>
    <row r="3705" spans="4:24" x14ac:dyDescent="0.3">
      <c r="D3705" s="23">
        <v>44958</v>
      </c>
      <c r="E3705" s="5">
        <v>403.39651500000002</v>
      </c>
      <c r="F3705" s="28">
        <v>71.540189999999996</v>
      </c>
      <c r="G3705" s="28">
        <v>181.67</v>
      </c>
      <c r="H3705" s="28">
        <v>298.46050000000002</v>
      </c>
      <c r="I3705" s="28">
        <v>202.97040000000001</v>
      </c>
      <c r="J3705" s="29"/>
      <c r="K3705" s="29"/>
      <c r="L3705" s="29"/>
      <c r="M3705" s="29"/>
      <c r="N3705" s="29"/>
      <c r="P3705" s="4">
        <f t="shared" si="233"/>
        <v>1.0571629358417154E-2</v>
      </c>
      <c r="Q3705" s="4">
        <f t="shared" si="233"/>
        <v>6.4079456744347302E-3</v>
      </c>
      <c r="R3705" s="4">
        <f t="shared" si="233"/>
        <v>1.2518165019360455E-2</v>
      </c>
      <c r="S3705" s="4">
        <f t="shared" si="233"/>
        <v>2.1158029533137401E-2</v>
      </c>
      <c r="T3705" s="4">
        <f t="shared" si="233"/>
        <v>1.2106766416618332E-2</v>
      </c>
      <c r="U3705" s="35"/>
      <c r="V3705" s="35"/>
      <c r="W3705" s="35"/>
      <c r="X3705" s="35"/>
    </row>
    <row r="3706" spans="4:24" x14ac:dyDescent="0.3">
      <c r="D3706" s="23">
        <v>44959</v>
      </c>
      <c r="E3706" s="5">
        <v>409.26873799999998</v>
      </c>
      <c r="F3706" s="28">
        <v>71.588179999999994</v>
      </c>
      <c r="G3706" s="28">
        <v>177.9</v>
      </c>
      <c r="H3706" s="28">
        <v>309.17219999999998</v>
      </c>
      <c r="I3706" s="28">
        <v>206.00139999999999</v>
      </c>
      <c r="J3706" s="29"/>
      <c r="K3706" s="29"/>
      <c r="L3706" s="29"/>
      <c r="M3706" s="29"/>
      <c r="N3706" s="29"/>
      <c r="P3706" s="4">
        <f t="shared" si="233"/>
        <v>1.4452014982474354E-2</v>
      </c>
      <c r="Q3706" s="4">
        <f t="shared" si="233"/>
        <v>6.7058685567878383E-4</v>
      </c>
      <c r="R3706" s="4">
        <f t="shared" si="233"/>
        <v>-2.0970259778864086E-2</v>
      </c>
      <c r="S3706" s="4">
        <f t="shared" si="233"/>
        <v>3.5260807459158577E-2</v>
      </c>
      <c r="T3706" s="4">
        <f t="shared" si="233"/>
        <v>1.4822809280807798E-2</v>
      </c>
      <c r="U3706" s="35"/>
      <c r="V3706" s="35"/>
      <c r="W3706" s="35"/>
      <c r="X3706" s="35"/>
    </row>
    <row r="3707" spans="4:24" x14ac:dyDescent="0.3">
      <c r="D3707" s="23">
        <v>44960</v>
      </c>
      <c r="E3707" s="5">
        <v>404.91854899999998</v>
      </c>
      <c r="F3707" s="28">
        <v>70.954580000000007</v>
      </c>
      <c r="G3707" s="28">
        <v>173.46</v>
      </c>
      <c r="H3707" s="28">
        <v>303.67750000000001</v>
      </c>
      <c r="I3707" s="28">
        <v>203.87280000000001</v>
      </c>
      <c r="J3707" s="29"/>
      <c r="K3707" s="29"/>
      <c r="L3707" s="29"/>
      <c r="M3707" s="29"/>
      <c r="N3707" s="29"/>
      <c r="P3707" s="4">
        <f t="shared" si="233"/>
        <v>-1.0686068097101969E-2</v>
      </c>
      <c r="Q3707" s="4">
        <f t="shared" si="233"/>
        <v>-8.8900225154965075E-3</v>
      </c>
      <c r="R3707" s="4">
        <f t="shared" si="233"/>
        <v>-2.5274569415479727E-2</v>
      </c>
      <c r="S3707" s="4">
        <f t="shared" si="233"/>
        <v>-1.7932120189609626E-2</v>
      </c>
      <c r="T3707" s="4">
        <f t="shared" si="233"/>
        <v>-1.0386694925849175E-2</v>
      </c>
      <c r="U3707" s="35"/>
      <c r="V3707" s="35"/>
      <c r="W3707" s="35"/>
      <c r="X3707" s="35"/>
    </row>
    <row r="3708" spans="4:24" x14ac:dyDescent="0.3">
      <c r="D3708" s="23">
        <v>44963</v>
      </c>
      <c r="E3708" s="5">
        <v>402.44400000000002</v>
      </c>
      <c r="F3708" s="28">
        <v>70.512979999999999</v>
      </c>
      <c r="G3708" s="28">
        <v>173.82</v>
      </c>
      <c r="H3708" s="28">
        <v>301.10860000000002</v>
      </c>
      <c r="I3708" s="28">
        <v>202.3426</v>
      </c>
      <c r="J3708" s="29"/>
      <c r="K3708" s="29"/>
      <c r="L3708" s="29"/>
      <c r="M3708" s="29"/>
      <c r="N3708" s="29"/>
      <c r="P3708" s="4">
        <f t="shared" si="233"/>
        <v>-6.1299765559455167E-3</v>
      </c>
      <c r="Q3708" s="4">
        <f t="shared" si="233"/>
        <v>-6.2431476777960017E-3</v>
      </c>
      <c r="R3708" s="4">
        <f t="shared" si="233"/>
        <v>2.0732557530042015E-3</v>
      </c>
      <c r="S3708" s="4">
        <f t="shared" si="233"/>
        <v>-8.4952860184763657E-3</v>
      </c>
      <c r="T3708" s="4">
        <f t="shared" si="233"/>
        <v>-7.5339696029651732E-3</v>
      </c>
      <c r="U3708" s="35"/>
      <c r="V3708" s="35"/>
      <c r="W3708" s="35"/>
      <c r="X3708" s="35"/>
    </row>
    <row r="3709" spans="4:24" x14ac:dyDescent="0.3">
      <c r="D3709" s="23">
        <v>44964</v>
      </c>
      <c r="E3709" s="5">
        <v>407.70739700000001</v>
      </c>
      <c r="F3709" s="28">
        <v>70.416989999999998</v>
      </c>
      <c r="G3709" s="28">
        <v>173.98</v>
      </c>
      <c r="H3709" s="28">
        <v>307.34730000000002</v>
      </c>
      <c r="I3709" s="28">
        <v>204.893</v>
      </c>
      <c r="J3709" s="29"/>
      <c r="K3709" s="29"/>
      <c r="L3709" s="29"/>
      <c r="M3709" s="29"/>
      <c r="N3709" s="29"/>
      <c r="P3709" s="4">
        <f t="shared" si="233"/>
        <v>1.2993796158902756E-2</v>
      </c>
      <c r="Q3709" s="4">
        <f t="shared" si="233"/>
        <v>-1.362237071986449E-3</v>
      </c>
      <c r="R3709" s="4">
        <f t="shared" si="233"/>
        <v>9.200690700807469E-4</v>
      </c>
      <c r="S3709" s="4">
        <f t="shared" si="233"/>
        <v>2.0507381522013486E-2</v>
      </c>
      <c r="T3709" s="4">
        <f t="shared" si="233"/>
        <v>1.2525591300762804E-2</v>
      </c>
      <c r="U3709" s="35"/>
      <c r="V3709" s="35"/>
      <c r="W3709" s="35"/>
      <c r="X3709" s="35"/>
    </row>
    <row r="3710" spans="4:24" x14ac:dyDescent="0.3">
      <c r="D3710" s="23">
        <v>44965</v>
      </c>
      <c r="E3710" s="5">
        <v>403.24920700000001</v>
      </c>
      <c r="F3710" s="28">
        <v>70.541780000000003</v>
      </c>
      <c r="G3710" s="28">
        <v>174.41</v>
      </c>
      <c r="H3710" s="28">
        <v>301.88229999999999</v>
      </c>
      <c r="I3710" s="28">
        <v>202.7055</v>
      </c>
      <c r="J3710" s="29"/>
      <c r="K3710" s="29"/>
      <c r="L3710" s="29"/>
      <c r="M3710" s="29"/>
      <c r="N3710" s="29"/>
      <c r="P3710" s="4">
        <f t="shared" si="233"/>
        <v>-1.0995002421825445E-2</v>
      </c>
      <c r="Q3710" s="4">
        <f t="shared" si="233"/>
        <v>1.7705891247665727E-3</v>
      </c>
      <c r="R3710" s="4">
        <f t="shared" si="233"/>
        <v>2.4684992011825124E-3</v>
      </c>
      <c r="S3710" s="4">
        <f t="shared" si="233"/>
        <v>-1.7941172232302637E-2</v>
      </c>
      <c r="T3710" s="4">
        <f t="shared" si="233"/>
        <v>-1.0733704869982532E-2</v>
      </c>
      <c r="U3710" s="35"/>
      <c r="V3710" s="35"/>
      <c r="W3710" s="35"/>
      <c r="X3710" s="35"/>
    </row>
    <row r="3711" spans="4:24" x14ac:dyDescent="0.3">
      <c r="D3711" s="23">
        <v>44966</v>
      </c>
      <c r="E3711" s="5">
        <v>399.75335699999999</v>
      </c>
      <c r="F3711" s="28">
        <v>70.253780000000006</v>
      </c>
      <c r="G3711" s="28">
        <v>173.03</v>
      </c>
      <c r="H3711" s="28">
        <v>299.21420000000001</v>
      </c>
      <c r="I3711" s="28">
        <v>200.73390000000001</v>
      </c>
      <c r="J3711" s="29"/>
      <c r="K3711" s="29"/>
      <c r="L3711" s="29"/>
      <c r="M3711" s="29"/>
      <c r="N3711" s="29"/>
      <c r="P3711" s="4">
        <f t="shared" si="233"/>
        <v>-8.7070010539804284E-3</v>
      </c>
      <c r="Q3711" s="4">
        <f t="shared" si="233"/>
        <v>-4.0910438039271817E-3</v>
      </c>
      <c r="R3711" s="4">
        <f t="shared" si="233"/>
        <v>-7.9438594120201534E-3</v>
      </c>
      <c r="S3711" s="4">
        <f t="shared" si="233"/>
        <v>-8.8775014418843237E-3</v>
      </c>
      <c r="T3711" s="4">
        <f t="shared" si="233"/>
        <v>-9.7740364270211405E-3</v>
      </c>
      <c r="U3711" s="35"/>
      <c r="V3711" s="35"/>
      <c r="W3711" s="35"/>
      <c r="X3711" s="35"/>
    </row>
    <row r="3712" spans="4:24" x14ac:dyDescent="0.3">
      <c r="D3712" s="23">
        <v>44967</v>
      </c>
      <c r="E3712" s="5">
        <v>400.68624899999998</v>
      </c>
      <c r="F3712" s="28">
        <v>69.95617</v>
      </c>
      <c r="G3712" s="28">
        <v>173.36</v>
      </c>
      <c r="H3712" s="28">
        <v>297.25049999999999</v>
      </c>
      <c r="I3712" s="28">
        <v>201.0968</v>
      </c>
      <c r="J3712" s="29"/>
      <c r="K3712" s="29"/>
      <c r="L3712" s="29"/>
      <c r="M3712" s="29"/>
      <c r="N3712" s="29"/>
      <c r="P3712" s="4">
        <f t="shared" si="233"/>
        <v>2.330950181374007E-3</v>
      </c>
      <c r="Q3712" s="4">
        <f t="shared" si="233"/>
        <v>-4.2452115125359898E-3</v>
      </c>
      <c r="R3712" s="4">
        <f t="shared" si="233"/>
        <v>1.9053673595467579E-3</v>
      </c>
      <c r="S3712" s="4">
        <f t="shared" si="233"/>
        <v>-6.5844872119223408E-3</v>
      </c>
      <c r="T3712" s="4">
        <f t="shared" si="233"/>
        <v>1.8062338127119383E-3</v>
      </c>
      <c r="U3712" s="35"/>
      <c r="V3712" s="35"/>
      <c r="W3712" s="35"/>
      <c r="X3712" s="35"/>
    </row>
    <row r="3713" spans="4:24" x14ac:dyDescent="0.3">
      <c r="D3713" s="23">
        <v>44970</v>
      </c>
      <c r="E3713" s="5">
        <v>405.38989299999997</v>
      </c>
      <c r="F3713" s="28">
        <v>70.148169999999993</v>
      </c>
      <c r="G3713" s="28">
        <v>172.48</v>
      </c>
      <c r="H3713" s="28">
        <v>302.01119999999997</v>
      </c>
      <c r="I3713" s="28">
        <v>203.49019999999999</v>
      </c>
      <c r="J3713" s="29"/>
      <c r="K3713" s="29"/>
      <c r="L3713" s="29"/>
      <c r="M3713" s="29"/>
      <c r="N3713" s="29"/>
      <c r="P3713" s="4">
        <f t="shared" si="233"/>
        <v>1.1670603165936603E-2</v>
      </c>
      <c r="Q3713" s="4">
        <f t="shared" si="233"/>
        <v>2.7408161687660364E-3</v>
      </c>
      <c r="R3713" s="4">
        <f t="shared" si="233"/>
        <v>-5.0890695074714042E-3</v>
      </c>
      <c r="S3713" s="4">
        <f t="shared" si="233"/>
        <v>1.588888512464981E-2</v>
      </c>
      <c r="T3713" s="4">
        <f t="shared" si="233"/>
        <v>1.1831462304245919E-2</v>
      </c>
      <c r="U3713" s="35"/>
      <c r="V3713" s="35"/>
      <c r="W3713" s="35"/>
      <c r="X3713" s="35"/>
    </row>
    <row r="3714" spans="4:24" x14ac:dyDescent="0.3">
      <c r="D3714" s="23">
        <v>44971</v>
      </c>
      <c r="E3714" s="5">
        <v>405.20336900000001</v>
      </c>
      <c r="F3714" s="28">
        <v>69.908169999999998</v>
      </c>
      <c r="G3714" s="28">
        <v>172.61</v>
      </c>
      <c r="H3714" s="28">
        <v>304.24290000000002</v>
      </c>
      <c r="I3714" s="28">
        <v>203.56870000000001</v>
      </c>
      <c r="J3714" s="29"/>
      <c r="K3714" s="29"/>
      <c r="L3714" s="29"/>
      <c r="M3714" s="29"/>
      <c r="N3714" s="29"/>
      <c r="P3714" s="4">
        <f t="shared" si="233"/>
        <v>-4.6021602210680895E-4</v>
      </c>
      <c r="Q3714" s="4">
        <f t="shared" si="233"/>
        <v>-3.4271955830538423E-3</v>
      </c>
      <c r="R3714" s="4">
        <f t="shared" si="233"/>
        <v>7.5342667796555053E-4</v>
      </c>
      <c r="S3714" s="4">
        <f t="shared" si="233"/>
        <v>7.3622927431247036E-3</v>
      </c>
      <c r="T3714" s="4">
        <f t="shared" si="233"/>
        <v>3.856935739430418E-4</v>
      </c>
      <c r="U3714" s="35"/>
      <c r="V3714" s="35"/>
      <c r="W3714" s="35"/>
      <c r="X3714" s="35"/>
    </row>
    <row r="3715" spans="4:24" x14ac:dyDescent="0.3">
      <c r="D3715" s="23">
        <v>44972</v>
      </c>
      <c r="E3715" s="5">
        <v>406.51919600000002</v>
      </c>
      <c r="F3715" s="28">
        <v>69.754580000000004</v>
      </c>
      <c r="G3715" s="28">
        <v>170.89</v>
      </c>
      <c r="H3715" s="28">
        <v>306.5736</v>
      </c>
      <c r="I3715" s="28">
        <v>204.48099999999999</v>
      </c>
      <c r="J3715" s="29"/>
      <c r="K3715" s="29"/>
      <c r="L3715" s="29"/>
      <c r="M3715" s="29"/>
      <c r="N3715" s="29"/>
      <c r="P3715" s="4">
        <f t="shared" si="233"/>
        <v>3.2420637525387036E-3</v>
      </c>
      <c r="Q3715" s="4">
        <f t="shared" si="233"/>
        <v>-2.1994420404372705E-3</v>
      </c>
      <c r="R3715" s="4">
        <f t="shared" si="233"/>
        <v>-1.0014639739780579E-2</v>
      </c>
      <c r="S3715" s="4">
        <f t="shared" si="233"/>
        <v>7.6314615322232767E-3</v>
      </c>
      <c r="T3715" s="4">
        <f t="shared" si="233"/>
        <v>4.4715215822080387E-3</v>
      </c>
      <c r="U3715" s="35"/>
      <c r="V3715" s="35"/>
      <c r="W3715" s="35"/>
      <c r="X3715" s="35"/>
    </row>
    <row r="3716" spans="4:24" x14ac:dyDescent="0.3">
      <c r="D3716" s="23">
        <v>44973</v>
      </c>
      <c r="E3716" s="5">
        <v>400.92190599999998</v>
      </c>
      <c r="F3716" s="28">
        <v>69.485759999999999</v>
      </c>
      <c r="G3716" s="28">
        <v>170.75</v>
      </c>
      <c r="H3716" s="28">
        <v>300.82100000000003</v>
      </c>
      <c r="I3716" s="28">
        <v>201.75399999999999</v>
      </c>
      <c r="J3716" s="29"/>
      <c r="K3716" s="29"/>
      <c r="L3716" s="29"/>
      <c r="M3716" s="29"/>
      <c r="N3716" s="29"/>
      <c r="P3716" s="4">
        <f t="shared" si="233"/>
        <v>-1.3864490294124352E-2</v>
      </c>
      <c r="Q3716" s="4">
        <f t="shared" si="233"/>
        <v>-3.8612421370221167E-3</v>
      </c>
      <c r="R3716" s="4">
        <f t="shared" si="233"/>
        <v>-8.195762079179844E-4</v>
      </c>
      <c r="S3716" s="4">
        <f t="shared" si="233"/>
        <v>-1.8942453586660451E-2</v>
      </c>
      <c r="T3716" s="4">
        <f t="shared" si="233"/>
        <v>-1.3425928159562782E-2</v>
      </c>
      <c r="U3716" s="35"/>
      <c r="V3716" s="35"/>
      <c r="W3716" s="35"/>
      <c r="X3716" s="35"/>
    </row>
    <row r="3717" spans="4:24" x14ac:dyDescent="0.3">
      <c r="D3717" s="23">
        <v>44974</v>
      </c>
      <c r="E3717" s="5">
        <v>399.92031900000001</v>
      </c>
      <c r="F3717" s="28">
        <v>69.63937</v>
      </c>
      <c r="G3717" s="28">
        <v>171.26</v>
      </c>
      <c r="H3717" s="28">
        <v>298.69850000000002</v>
      </c>
      <c r="I3717" s="28">
        <v>201.16550000000001</v>
      </c>
      <c r="J3717" s="29"/>
      <c r="K3717" s="29"/>
      <c r="L3717" s="29"/>
      <c r="M3717" s="29"/>
      <c r="N3717" s="29"/>
      <c r="P3717" s="4">
        <f t="shared" ref="P3717:T3732" si="234">LN(E3717/E3716)</f>
        <v>-2.5013354464852164E-3</v>
      </c>
      <c r="Q3717" s="4">
        <f t="shared" si="234"/>
        <v>2.2082288429182521E-3</v>
      </c>
      <c r="R3717" s="4">
        <f t="shared" si="234"/>
        <v>2.9823711471465503E-3</v>
      </c>
      <c r="S3717" s="4">
        <f t="shared" si="234"/>
        <v>-7.0807000201091987E-3</v>
      </c>
      <c r="T3717" s="4">
        <f t="shared" si="234"/>
        <v>-2.9211811217234457E-3</v>
      </c>
      <c r="U3717" s="35"/>
      <c r="V3717" s="35"/>
      <c r="W3717" s="35"/>
      <c r="X3717" s="35"/>
    </row>
    <row r="3718" spans="4:24" x14ac:dyDescent="0.3">
      <c r="D3718" s="23">
        <v>44978</v>
      </c>
      <c r="E3718" s="5">
        <v>391.89755200000002</v>
      </c>
      <c r="F3718" s="28">
        <v>69.034570000000002</v>
      </c>
      <c r="G3718" s="28">
        <v>170.62</v>
      </c>
      <c r="H3718" s="28">
        <v>291.6268</v>
      </c>
      <c r="I3718" s="28">
        <v>196.9966</v>
      </c>
      <c r="J3718" s="29"/>
      <c r="K3718" s="29"/>
      <c r="L3718" s="29"/>
      <c r="M3718" s="29"/>
      <c r="N3718" s="29"/>
      <c r="P3718" s="4">
        <f t="shared" si="234"/>
        <v>-2.0264866069904252E-2</v>
      </c>
      <c r="Q3718" s="4">
        <f t="shared" si="234"/>
        <v>-8.7226747099254497E-3</v>
      </c>
      <c r="R3718" s="4">
        <f t="shared" si="234"/>
        <v>-3.7440081174972082E-3</v>
      </c>
      <c r="S3718" s="4">
        <f t="shared" si="234"/>
        <v>-2.3959800815615453E-2</v>
      </c>
      <c r="T3718" s="4">
        <f t="shared" si="234"/>
        <v>-2.0941482643956066E-2</v>
      </c>
      <c r="U3718" s="35"/>
      <c r="V3718" s="35"/>
      <c r="W3718" s="35"/>
      <c r="X3718" s="35"/>
    </row>
    <row r="3719" spans="4:24" x14ac:dyDescent="0.3">
      <c r="D3719" s="23">
        <v>44979</v>
      </c>
      <c r="E3719" s="5">
        <v>391.35745200000002</v>
      </c>
      <c r="F3719" s="28">
        <v>69.188159999999996</v>
      </c>
      <c r="G3719" s="28">
        <v>169.66</v>
      </c>
      <c r="H3719" s="28">
        <v>291.84500000000003</v>
      </c>
      <c r="I3719" s="28">
        <v>196.82990000000001</v>
      </c>
      <c r="J3719" s="29"/>
      <c r="K3719" s="29"/>
      <c r="L3719" s="29"/>
      <c r="M3719" s="29"/>
      <c r="N3719" s="29"/>
      <c r="P3719" s="4">
        <f t="shared" si="234"/>
        <v>-1.3791168466105559E-3</v>
      </c>
      <c r="Q3719" s="4">
        <f t="shared" si="234"/>
        <v>2.2223560945925968E-3</v>
      </c>
      <c r="R3719" s="4">
        <f t="shared" si="234"/>
        <v>-5.6424271009600834E-3</v>
      </c>
      <c r="S3719" s="4">
        <f t="shared" si="234"/>
        <v>7.479367817670821E-4</v>
      </c>
      <c r="T3719" s="4">
        <f t="shared" si="234"/>
        <v>-8.4656573367091967E-4</v>
      </c>
      <c r="U3719" s="35"/>
      <c r="V3719" s="35"/>
      <c r="W3719" s="35"/>
      <c r="X3719" s="35"/>
    </row>
    <row r="3720" spans="4:24" x14ac:dyDescent="0.3">
      <c r="D3720" s="23">
        <v>44980</v>
      </c>
      <c r="E3720" s="5">
        <v>393.43923999999998</v>
      </c>
      <c r="F3720" s="28">
        <v>69.43777</v>
      </c>
      <c r="G3720" s="28">
        <v>169.57</v>
      </c>
      <c r="H3720" s="28">
        <v>294.39400000000001</v>
      </c>
      <c r="I3720" s="28">
        <v>197.8794</v>
      </c>
      <c r="J3720" s="29"/>
      <c r="K3720" s="29"/>
      <c r="L3720" s="29"/>
      <c r="M3720" s="29"/>
      <c r="N3720" s="29"/>
      <c r="P3720" s="4">
        <f t="shared" si="234"/>
        <v>5.3053049384580823E-3</v>
      </c>
      <c r="Q3720" s="4">
        <f t="shared" si="234"/>
        <v>3.6012060623780875E-3</v>
      </c>
      <c r="R3720" s="4">
        <f t="shared" si="234"/>
        <v>-5.3061346055265296E-4</v>
      </c>
      <c r="S3720" s="4">
        <f t="shared" si="234"/>
        <v>8.6961667976119417E-3</v>
      </c>
      <c r="T3720" s="4">
        <f t="shared" si="234"/>
        <v>5.3178502420870083E-3</v>
      </c>
      <c r="U3720" s="35"/>
      <c r="V3720" s="35"/>
      <c r="W3720" s="35"/>
      <c r="X3720" s="35"/>
    </row>
    <row r="3721" spans="4:24" x14ac:dyDescent="0.3">
      <c r="D3721" s="23">
        <v>44981</v>
      </c>
      <c r="E3721" s="5">
        <v>389.23635899999999</v>
      </c>
      <c r="F3721" s="28">
        <v>69.053759999999997</v>
      </c>
      <c r="G3721" s="28">
        <v>168.35</v>
      </c>
      <c r="H3721" s="28">
        <v>289.46460000000002</v>
      </c>
      <c r="I3721" s="28">
        <v>195.67240000000001</v>
      </c>
      <c r="J3721" s="29"/>
      <c r="K3721" s="29"/>
      <c r="L3721" s="29"/>
      <c r="M3721" s="29"/>
      <c r="N3721" s="29"/>
      <c r="P3721" s="4">
        <f t="shared" si="234"/>
        <v>-1.0739881002423166E-2</v>
      </c>
      <c r="Q3721" s="4">
        <f t="shared" si="234"/>
        <v>-5.5456241136396705E-3</v>
      </c>
      <c r="R3721" s="4">
        <f t="shared" si="234"/>
        <v>-7.2206753119526124E-3</v>
      </c>
      <c r="S3721" s="4">
        <f t="shared" si="234"/>
        <v>-1.6885996468734222E-2</v>
      </c>
      <c r="T3721" s="4">
        <f t="shared" si="234"/>
        <v>-1.1215921950294567E-2</v>
      </c>
      <c r="U3721" s="35"/>
      <c r="V3721" s="35"/>
      <c r="W3721" s="35"/>
      <c r="X3721" s="35"/>
    </row>
    <row r="3722" spans="4:24" x14ac:dyDescent="0.3">
      <c r="D3722" s="23">
        <v>44984</v>
      </c>
      <c r="E3722" s="5">
        <v>390.56204200000002</v>
      </c>
      <c r="F3722" s="28">
        <v>69.168970000000002</v>
      </c>
      <c r="G3722" s="28">
        <v>169.01</v>
      </c>
      <c r="H3722" s="28">
        <v>291.53750000000002</v>
      </c>
      <c r="I3722" s="28">
        <v>196.36879999999999</v>
      </c>
      <c r="J3722" s="29"/>
      <c r="K3722" s="29"/>
      <c r="L3722" s="29"/>
      <c r="M3722" s="29"/>
      <c r="N3722" s="29"/>
      <c r="P3722" s="4">
        <f t="shared" si="234"/>
        <v>3.4000692369370879E-3</v>
      </c>
      <c r="Q3722" s="4">
        <f t="shared" si="234"/>
        <v>1.6670199855014869E-3</v>
      </c>
      <c r="R3722" s="4">
        <f t="shared" si="234"/>
        <v>3.9127391630532048E-3</v>
      </c>
      <c r="S3722" s="4">
        <f t="shared" si="234"/>
        <v>7.1356327129417441E-3</v>
      </c>
      <c r="T3722" s="4">
        <f t="shared" si="234"/>
        <v>3.5526915664698868E-3</v>
      </c>
      <c r="U3722" s="35"/>
      <c r="V3722" s="35"/>
      <c r="W3722" s="35"/>
      <c r="X3722" s="35"/>
    </row>
    <row r="3723" spans="4:24" x14ac:dyDescent="0.3">
      <c r="D3723" s="23">
        <v>44985</v>
      </c>
      <c r="E3723" s="5">
        <v>389.118561</v>
      </c>
      <c r="F3723" s="28">
        <v>69.188159999999996</v>
      </c>
      <c r="G3723" s="28">
        <v>169.78</v>
      </c>
      <c r="H3723" s="28">
        <v>291.16059999999999</v>
      </c>
      <c r="I3723" s="28">
        <v>195.71170000000001</v>
      </c>
      <c r="J3723" s="29"/>
      <c r="K3723" s="29"/>
      <c r="L3723" s="29"/>
      <c r="M3723" s="29"/>
      <c r="N3723" s="29"/>
      <c r="P3723" s="4">
        <f t="shared" si="234"/>
        <v>-3.7027537780699869E-3</v>
      </c>
      <c r="Q3723" s="4">
        <f t="shared" si="234"/>
        <v>2.7739806576004074E-4</v>
      </c>
      <c r="R3723" s="4">
        <f t="shared" si="234"/>
        <v>4.5455965396851193E-3</v>
      </c>
      <c r="S3723" s="4">
        <f t="shared" si="234"/>
        <v>-1.2936374859015955E-3</v>
      </c>
      <c r="T3723" s="4">
        <f t="shared" si="234"/>
        <v>-3.3518658296446719E-3</v>
      </c>
      <c r="U3723" s="35"/>
      <c r="V3723" s="35"/>
      <c r="W3723" s="35"/>
      <c r="X3723" s="35"/>
    </row>
    <row r="3724" spans="4:24" x14ac:dyDescent="0.3">
      <c r="D3724" s="23">
        <v>44986</v>
      </c>
      <c r="E3724" s="5">
        <v>387.62591600000002</v>
      </c>
      <c r="F3724" s="28">
        <v>68.778270000000006</v>
      </c>
      <c r="G3724" s="28">
        <v>170.76</v>
      </c>
      <c r="H3724" s="28">
        <v>288.81990000000002</v>
      </c>
      <c r="I3724" s="28">
        <v>196.1824</v>
      </c>
      <c r="J3724" s="29"/>
      <c r="K3724" s="29"/>
      <c r="L3724" s="29"/>
      <c r="M3724" s="29"/>
      <c r="N3724" s="29"/>
      <c r="P3724" s="4">
        <f t="shared" si="234"/>
        <v>-3.8433407164205932E-3</v>
      </c>
      <c r="Q3724" s="4">
        <f t="shared" si="234"/>
        <v>-5.9418976916201065E-3</v>
      </c>
      <c r="R3724" s="4">
        <f t="shared" si="234"/>
        <v>5.7555805799395926E-3</v>
      </c>
      <c r="S3724" s="4">
        <f t="shared" si="234"/>
        <v>-8.0716945086116119E-3</v>
      </c>
      <c r="T3724" s="4">
        <f t="shared" si="234"/>
        <v>2.4021807235513142E-3</v>
      </c>
      <c r="U3724" s="35"/>
      <c r="V3724" s="35"/>
      <c r="W3724" s="35"/>
      <c r="X3724" s="35"/>
    </row>
    <row r="3725" spans="4:24" x14ac:dyDescent="0.3">
      <c r="D3725" s="23">
        <v>44987</v>
      </c>
      <c r="E3725" s="5">
        <v>390.64056399999998</v>
      </c>
      <c r="F3725" s="28">
        <v>68.633930000000007</v>
      </c>
      <c r="G3725" s="28">
        <v>170.66</v>
      </c>
      <c r="H3725" s="28">
        <v>291.21019999999999</v>
      </c>
      <c r="I3725" s="28">
        <v>196.48650000000001</v>
      </c>
      <c r="J3725" s="29"/>
      <c r="K3725" s="29"/>
      <c r="L3725" s="29"/>
      <c r="M3725" s="29"/>
      <c r="N3725" s="29"/>
      <c r="P3725" s="4">
        <f t="shared" si="234"/>
        <v>7.7471230104255778E-3</v>
      </c>
      <c r="Q3725" s="4">
        <f t="shared" si="234"/>
        <v>-2.1008331587303829E-3</v>
      </c>
      <c r="R3725" s="4">
        <f t="shared" si="234"/>
        <v>-5.8578878132246729E-4</v>
      </c>
      <c r="S3725" s="4">
        <f t="shared" si="234"/>
        <v>8.2420327196617797E-3</v>
      </c>
      <c r="T3725" s="4">
        <f t="shared" si="234"/>
        <v>1.5488879348276173E-3</v>
      </c>
      <c r="U3725" s="35"/>
      <c r="V3725" s="35"/>
      <c r="W3725" s="35"/>
      <c r="X3725" s="35"/>
    </row>
    <row r="3726" spans="4:24" x14ac:dyDescent="0.3">
      <c r="D3726" s="23">
        <v>44988</v>
      </c>
      <c r="E3726" s="5">
        <v>396.90557899999999</v>
      </c>
      <c r="F3726" s="28">
        <v>69.163139999999999</v>
      </c>
      <c r="G3726" s="28">
        <v>172.49</v>
      </c>
      <c r="H3726" s="28">
        <v>297.23059999999998</v>
      </c>
      <c r="I3726" s="28">
        <v>199.68430000000001</v>
      </c>
      <c r="J3726" s="29"/>
      <c r="K3726" s="29"/>
      <c r="L3726" s="29"/>
      <c r="M3726" s="29"/>
      <c r="N3726" s="29"/>
      <c r="P3726" s="4">
        <f t="shared" si="234"/>
        <v>1.5910552590697555E-2</v>
      </c>
      <c r="Q3726" s="4">
        <f t="shared" si="234"/>
        <v>7.6810428825069737E-3</v>
      </c>
      <c r="R3726" s="4">
        <f t="shared" si="234"/>
        <v>1.0665990668098778E-2</v>
      </c>
      <c r="S3726" s="4">
        <f t="shared" si="234"/>
        <v>2.0462925330920975E-2</v>
      </c>
      <c r="T3726" s="4">
        <f t="shared" si="234"/>
        <v>1.6143892745198739E-2</v>
      </c>
      <c r="U3726" s="35"/>
      <c r="V3726" s="35"/>
      <c r="W3726" s="35"/>
      <c r="X3726" s="35"/>
    </row>
    <row r="3727" spans="4:24" x14ac:dyDescent="0.3">
      <c r="D3727" s="23">
        <v>44991</v>
      </c>
      <c r="E3727" s="5">
        <v>397.18057299999998</v>
      </c>
      <c r="F3727" s="28">
        <v>68.999560000000002</v>
      </c>
      <c r="G3727" s="28">
        <v>171.62</v>
      </c>
      <c r="H3727" s="28">
        <v>297.56779999999998</v>
      </c>
      <c r="I3727" s="28">
        <v>199.4195</v>
      </c>
      <c r="J3727" s="29"/>
      <c r="K3727" s="29"/>
      <c r="L3727" s="29"/>
      <c r="M3727" s="29"/>
      <c r="N3727" s="29"/>
      <c r="P3727" s="4">
        <f t="shared" si="234"/>
        <v>6.9260497818868011E-4</v>
      </c>
      <c r="Q3727" s="4">
        <f t="shared" si="234"/>
        <v>-2.3679339855730004E-3</v>
      </c>
      <c r="R3727" s="4">
        <f t="shared" si="234"/>
        <v>-5.0565333975626505E-3</v>
      </c>
      <c r="S3727" s="4">
        <f t="shared" si="234"/>
        <v>1.1338296677480531E-3</v>
      </c>
      <c r="T3727" s="4">
        <f t="shared" si="234"/>
        <v>-1.3269732779104839E-3</v>
      </c>
      <c r="U3727" s="35"/>
      <c r="V3727" s="35"/>
      <c r="W3727" s="35"/>
      <c r="X3727" s="35"/>
    </row>
    <row r="3728" spans="4:24" x14ac:dyDescent="0.3">
      <c r="D3728" s="23">
        <v>44992</v>
      </c>
      <c r="E3728" s="5">
        <v>391.092285</v>
      </c>
      <c r="F3728" s="28">
        <v>68.92259</v>
      </c>
      <c r="G3728" s="28">
        <v>168.62</v>
      </c>
      <c r="H3728" s="28">
        <v>293.91789999999997</v>
      </c>
      <c r="I3728" s="28">
        <v>196.44730000000001</v>
      </c>
      <c r="J3728" s="29"/>
      <c r="K3728" s="29"/>
      <c r="L3728" s="29"/>
      <c r="M3728" s="29"/>
      <c r="N3728" s="29"/>
      <c r="P3728" s="4">
        <f t="shared" si="234"/>
        <v>-1.5447465951589225E-2</v>
      </c>
      <c r="Q3728" s="4">
        <f t="shared" si="234"/>
        <v>-1.116137009037703E-3</v>
      </c>
      <c r="R3728" s="4">
        <f t="shared" si="234"/>
        <v>-1.763506788444532E-2</v>
      </c>
      <c r="S3728" s="4">
        <f t="shared" si="234"/>
        <v>-1.2341621540294837E-2</v>
      </c>
      <c r="T3728" s="4">
        <f t="shared" si="234"/>
        <v>-1.5016444171602519E-2</v>
      </c>
      <c r="U3728" s="35"/>
      <c r="V3728" s="35"/>
      <c r="W3728" s="35"/>
      <c r="X3728" s="35"/>
    </row>
    <row r="3729" spans="4:24" x14ac:dyDescent="0.3">
      <c r="D3729" s="23">
        <v>44993</v>
      </c>
      <c r="E3729" s="5">
        <v>391.730591</v>
      </c>
      <c r="F3729" s="28">
        <v>68.864869999999996</v>
      </c>
      <c r="G3729" s="28">
        <v>168.54</v>
      </c>
      <c r="H3729" s="28">
        <v>295.38589999999999</v>
      </c>
      <c r="I3729" s="28">
        <v>196.70230000000001</v>
      </c>
      <c r="J3729" s="29"/>
      <c r="K3729" s="29"/>
      <c r="L3729" s="29"/>
      <c r="M3729" s="29"/>
      <c r="N3729" s="29"/>
      <c r="P3729" s="4">
        <f t="shared" si="234"/>
        <v>1.6307805022847371E-3</v>
      </c>
      <c r="Q3729" s="4">
        <f t="shared" si="234"/>
        <v>-8.3781214018004006E-4</v>
      </c>
      <c r="R3729" s="4">
        <f t="shared" si="234"/>
        <v>-4.745521503223958E-4</v>
      </c>
      <c r="S3729" s="4">
        <f t="shared" si="234"/>
        <v>4.9821604291276512E-3</v>
      </c>
      <c r="T3729" s="4">
        <f t="shared" si="234"/>
        <v>1.2972163052377586E-3</v>
      </c>
      <c r="U3729" s="35"/>
      <c r="V3729" s="35"/>
      <c r="W3729" s="35"/>
      <c r="X3729" s="35"/>
    </row>
    <row r="3730" spans="4:24" x14ac:dyDescent="0.3">
      <c r="D3730" s="23">
        <v>44994</v>
      </c>
      <c r="E3730" s="5">
        <v>384.50323500000002</v>
      </c>
      <c r="F3730" s="28">
        <v>69.095789999999994</v>
      </c>
      <c r="G3730" s="28">
        <v>170.2</v>
      </c>
      <c r="H3730" s="28">
        <v>290.26799999999997</v>
      </c>
      <c r="I3730" s="28">
        <v>192.81790000000001</v>
      </c>
      <c r="J3730" s="29"/>
      <c r="K3730" s="29"/>
      <c r="L3730" s="29"/>
      <c r="M3730" s="29"/>
      <c r="N3730" s="29"/>
      <c r="P3730" s="4">
        <f t="shared" si="234"/>
        <v>-1.8622133222140388E-2</v>
      </c>
      <c r="Q3730" s="4">
        <f t="shared" si="234"/>
        <v>3.347624107510801E-3</v>
      </c>
      <c r="R3730" s="4">
        <f t="shared" si="234"/>
        <v>9.8011057950665031E-3</v>
      </c>
      <c r="S3730" s="4">
        <f t="shared" si="234"/>
        <v>-1.747800291011754E-2</v>
      </c>
      <c r="T3730" s="4">
        <f t="shared" si="234"/>
        <v>-1.9945198069537758E-2</v>
      </c>
      <c r="U3730" s="35"/>
      <c r="V3730" s="35"/>
      <c r="W3730" s="35"/>
      <c r="X3730" s="35"/>
    </row>
    <row r="3731" spans="4:24" x14ac:dyDescent="0.3">
      <c r="D3731" s="23">
        <v>44995</v>
      </c>
      <c r="E3731" s="5">
        <v>378.95507800000001</v>
      </c>
      <c r="F3731" s="28">
        <v>69.923289999999994</v>
      </c>
      <c r="G3731" s="28">
        <v>173.87</v>
      </c>
      <c r="H3731" s="28">
        <v>286.19159999999999</v>
      </c>
      <c r="I3731" s="28">
        <v>189.5711</v>
      </c>
      <c r="J3731" s="29"/>
      <c r="K3731" s="29"/>
      <c r="L3731" s="29"/>
      <c r="M3731" s="29"/>
      <c r="N3731" s="29"/>
      <c r="P3731" s="4">
        <f t="shared" si="234"/>
        <v>-1.4534532081385002E-2</v>
      </c>
      <c r="Q3731" s="4">
        <f t="shared" si="234"/>
        <v>1.1904981292403177E-2</v>
      </c>
      <c r="R3731" s="4">
        <f t="shared" si="234"/>
        <v>2.1333677400424703E-2</v>
      </c>
      <c r="S3731" s="4">
        <f t="shared" si="234"/>
        <v>-1.4143117572188895E-2</v>
      </c>
      <c r="T3731" s="4">
        <f t="shared" si="234"/>
        <v>-1.6982068147978899E-2</v>
      </c>
      <c r="U3731" s="35"/>
      <c r="V3731" s="35"/>
      <c r="W3731" s="35"/>
      <c r="X3731" s="35"/>
    </row>
    <row r="3732" spans="4:24" x14ac:dyDescent="0.3">
      <c r="D3732" s="23">
        <v>44998</v>
      </c>
      <c r="E3732" s="5">
        <v>378.41497800000002</v>
      </c>
      <c r="F3732" s="28">
        <v>70.481380000000001</v>
      </c>
      <c r="G3732" s="28">
        <v>177.86</v>
      </c>
      <c r="H3732" s="28">
        <v>288.3141</v>
      </c>
      <c r="I3732" s="28">
        <v>188.78639999999999</v>
      </c>
      <c r="J3732" s="29"/>
      <c r="K3732" s="29"/>
      <c r="L3732" s="29"/>
      <c r="M3732" s="29"/>
      <c r="N3732" s="29"/>
      <c r="P3732" s="4">
        <f t="shared" si="234"/>
        <v>-1.4262515061875258E-3</v>
      </c>
      <c r="Q3732" s="4">
        <f t="shared" si="234"/>
        <v>7.9497774429099204E-3</v>
      </c>
      <c r="R3732" s="4">
        <f t="shared" si="234"/>
        <v>2.2688830431795662E-2</v>
      </c>
      <c r="S3732" s="4">
        <f t="shared" si="234"/>
        <v>7.3889942497606161E-3</v>
      </c>
      <c r="T3732" s="4">
        <f t="shared" si="234"/>
        <v>-4.1479348240067576E-3</v>
      </c>
      <c r="U3732" s="35"/>
      <c r="V3732" s="35"/>
      <c r="W3732" s="35"/>
      <c r="X3732" s="35"/>
    </row>
    <row r="3733" spans="4:24" x14ac:dyDescent="0.3">
      <c r="D3733" s="23">
        <v>44999</v>
      </c>
      <c r="E3733" s="5">
        <v>384.67016599999999</v>
      </c>
      <c r="F3733" s="28">
        <v>70.038749999999993</v>
      </c>
      <c r="G3733" s="28">
        <v>176.83</v>
      </c>
      <c r="H3733" s="28">
        <v>294.93950000000001</v>
      </c>
      <c r="I3733" s="28">
        <v>192.15090000000001</v>
      </c>
      <c r="J3733" s="29"/>
      <c r="K3733" s="29"/>
      <c r="L3733" s="29"/>
      <c r="M3733" s="29"/>
      <c r="N3733" s="29"/>
      <c r="P3733" s="4">
        <f t="shared" ref="P3733:T3748" si="235">LN(E3733/E3732)</f>
        <v>1.6394836565493405E-2</v>
      </c>
      <c r="Q3733" s="4">
        <f t="shared" si="235"/>
        <v>-6.2999011451500692E-3</v>
      </c>
      <c r="R3733" s="4">
        <f t="shared" si="235"/>
        <v>-5.8079049046080846E-3</v>
      </c>
      <c r="S3733" s="4">
        <f t="shared" si="235"/>
        <v>2.2719739724738473E-2</v>
      </c>
      <c r="T3733" s="4">
        <f t="shared" si="235"/>
        <v>1.7664783622103976E-2</v>
      </c>
      <c r="U3733" s="35"/>
      <c r="V3733" s="35"/>
      <c r="W3733" s="35"/>
      <c r="X3733" s="35"/>
    </row>
    <row r="3734" spans="4:24" x14ac:dyDescent="0.3">
      <c r="D3734" s="23">
        <v>45000</v>
      </c>
      <c r="E3734" s="5">
        <v>382.264343</v>
      </c>
      <c r="F3734" s="28">
        <v>70.760390000000001</v>
      </c>
      <c r="G3734" s="28">
        <v>178.21</v>
      </c>
      <c r="H3734" s="28">
        <v>296.48680000000002</v>
      </c>
      <c r="I3734" s="28">
        <v>190.66980000000001</v>
      </c>
      <c r="J3734" s="29"/>
      <c r="K3734" s="29"/>
      <c r="L3734" s="29"/>
      <c r="M3734" s="29"/>
      <c r="N3734" s="29"/>
      <c r="P3734" s="4">
        <f t="shared" si="235"/>
        <v>-6.2738887432983595E-3</v>
      </c>
      <c r="Q3734" s="4">
        <f t="shared" si="235"/>
        <v>1.0250720551074573E-2</v>
      </c>
      <c r="R3734" s="4">
        <f t="shared" si="235"/>
        <v>7.773811118121904E-3</v>
      </c>
      <c r="S3734" s="4">
        <f t="shared" si="235"/>
        <v>5.2324474925402745E-3</v>
      </c>
      <c r="T3734" s="4">
        <f t="shared" si="235"/>
        <v>-7.7378646975409518E-3</v>
      </c>
      <c r="U3734" s="35"/>
      <c r="V3734" s="35"/>
      <c r="W3734" s="35"/>
      <c r="X3734" s="35"/>
    </row>
    <row r="3735" spans="4:24" x14ac:dyDescent="0.3">
      <c r="D3735" s="23">
        <v>45001</v>
      </c>
      <c r="E3735" s="5">
        <v>388.97122200000001</v>
      </c>
      <c r="F3735" s="28">
        <v>70.423630000000003</v>
      </c>
      <c r="G3735" s="28">
        <v>178.57</v>
      </c>
      <c r="H3735" s="28">
        <v>304.30239999999998</v>
      </c>
      <c r="I3735" s="28">
        <v>193.96559999999999</v>
      </c>
      <c r="J3735" s="29"/>
      <c r="K3735" s="29"/>
      <c r="L3735" s="29"/>
      <c r="M3735" s="29"/>
      <c r="N3735" s="29"/>
      <c r="P3735" s="4">
        <f t="shared" si="235"/>
        <v>1.73929947784007E-2</v>
      </c>
      <c r="Q3735" s="4">
        <f t="shared" si="235"/>
        <v>-4.7705206107796329E-3</v>
      </c>
      <c r="R3735" s="4">
        <f t="shared" si="235"/>
        <v>2.0180510240252565E-3</v>
      </c>
      <c r="S3735" s="4">
        <f t="shared" si="235"/>
        <v>2.6019245771642351E-2</v>
      </c>
      <c r="T3735" s="4">
        <f t="shared" si="235"/>
        <v>1.7137687609630133E-2</v>
      </c>
      <c r="U3735" s="35"/>
      <c r="V3735" s="35"/>
      <c r="W3735" s="35"/>
      <c r="X3735" s="35"/>
    </row>
    <row r="3736" spans="4:24" x14ac:dyDescent="0.3">
      <c r="D3736" s="23">
        <v>45002</v>
      </c>
      <c r="E3736" s="5">
        <v>384.42309599999999</v>
      </c>
      <c r="F3736" s="28">
        <v>70.933599999999998</v>
      </c>
      <c r="G3736" s="28">
        <v>183.77</v>
      </c>
      <c r="H3736" s="28">
        <v>302.86419999999998</v>
      </c>
      <c r="I3736" s="28">
        <v>191.46430000000001</v>
      </c>
      <c r="J3736" s="29"/>
      <c r="K3736" s="29"/>
      <c r="L3736" s="29"/>
      <c r="M3736" s="29"/>
      <c r="N3736" s="29"/>
      <c r="P3736" s="4">
        <f t="shared" si="235"/>
        <v>-1.176160290955611E-2</v>
      </c>
      <c r="Q3736" s="4">
        <f t="shared" si="235"/>
        <v>7.2153679367250962E-3</v>
      </c>
      <c r="R3736" s="4">
        <f t="shared" si="235"/>
        <v>2.8704294498299792E-2</v>
      </c>
      <c r="S3736" s="4">
        <f t="shared" si="235"/>
        <v>-4.7374235994350868E-3</v>
      </c>
      <c r="T3736" s="4">
        <f t="shared" si="235"/>
        <v>-1.2979455487446051E-2</v>
      </c>
      <c r="U3736" s="35"/>
      <c r="V3736" s="35"/>
      <c r="W3736" s="35"/>
      <c r="X3736" s="35"/>
    </row>
    <row r="3737" spans="4:24" x14ac:dyDescent="0.3">
      <c r="D3737" s="23">
        <v>45005</v>
      </c>
      <c r="E3737" s="5">
        <v>388.11956800000002</v>
      </c>
      <c r="F3737" s="28">
        <v>70.625699999999995</v>
      </c>
      <c r="G3737" s="28">
        <v>183.84</v>
      </c>
      <c r="H3737" s="28">
        <v>303.93900000000002</v>
      </c>
      <c r="I3737" s="28">
        <v>193.1318</v>
      </c>
      <c r="J3737" s="29"/>
      <c r="K3737" s="29"/>
      <c r="L3737" s="29"/>
      <c r="M3737" s="29"/>
      <c r="N3737" s="29"/>
      <c r="P3737" s="4">
        <f t="shared" si="235"/>
        <v>9.5696985608327029E-3</v>
      </c>
      <c r="Q3737" s="4">
        <f t="shared" si="235"/>
        <v>-4.3501272688981881E-3</v>
      </c>
      <c r="R3737" s="4">
        <f t="shared" si="235"/>
        <v>3.8083839311253703E-4</v>
      </c>
      <c r="S3737" s="4">
        <f t="shared" si="235"/>
        <v>3.5425031509435517E-3</v>
      </c>
      <c r="T3737" s="4">
        <f t="shared" si="235"/>
        <v>8.6714891228504183E-3</v>
      </c>
      <c r="U3737" s="35"/>
      <c r="V3737" s="35"/>
      <c r="W3737" s="35"/>
      <c r="X3737" s="35"/>
    </row>
    <row r="3738" spans="4:24" x14ac:dyDescent="0.3">
      <c r="D3738" s="23">
        <v>45006</v>
      </c>
      <c r="E3738" s="5">
        <v>393.21575899999999</v>
      </c>
      <c r="F3738" s="28">
        <v>70.433260000000004</v>
      </c>
      <c r="G3738" s="28">
        <v>180.37</v>
      </c>
      <c r="H3738" s="28">
        <v>308.27999999999997</v>
      </c>
      <c r="I3738" s="28">
        <v>195.88820000000001</v>
      </c>
      <c r="J3738" s="29"/>
      <c r="K3738" s="29"/>
      <c r="L3738" s="29"/>
      <c r="M3738" s="29"/>
      <c r="N3738" s="29"/>
      <c r="P3738" s="4">
        <f t="shared" si="235"/>
        <v>1.3045009211499007E-2</v>
      </c>
      <c r="Q3738" s="4">
        <f t="shared" si="235"/>
        <v>-2.728506142238418E-3</v>
      </c>
      <c r="R3738" s="4">
        <f t="shared" si="235"/>
        <v>-1.9055517418337647E-2</v>
      </c>
      <c r="S3738" s="4">
        <f t="shared" si="235"/>
        <v>1.4181437532796286E-2</v>
      </c>
      <c r="T3738" s="4">
        <f t="shared" si="235"/>
        <v>1.4171230934498461E-2</v>
      </c>
      <c r="U3738" s="35"/>
      <c r="V3738" s="35"/>
      <c r="W3738" s="35"/>
      <c r="X3738" s="35"/>
    </row>
    <row r="3739" spans="4:24" x14ac:dyDescent="0.3">
      <c r="D3739" s="23">
        <v>45007</v>
      </c>
      <c r="E3739" s="5">
        <v>386.51284800000002</v>
      </c>
      <c r="F3739" s="28">
        <v>71.058700000000002</v>
      </c>
      <c r="G3739" s="28">
        <v>183.44</v>
      </c>
      <c r="H3739" s="28">
        <v>304.08800000000002</v>
      </c>
      <c r="I3739" s="28">
        <v>192.38630000000001</v>
      </c>
      <c r="J3739" s="29"/>
      <c r="K3739" s="29"/>
      <c r="L3739" s="29"/>
      <c r="M3739" s="29"/>
      <c r="N3739" s="29"/>
      <c r="P3739" s="4">
        <f t="shared" si="235"/>
        <v>-1.7193356920566123E-2</v>
      </c>
      <c r="Q3739" s="4">
        <f t="shared" si="235"/>
        <v>8.8407012467644937E-3</v>
      </c>
      <c r="R3739" s="4">
        <f t="shared" si="235"/>
        <v>1.6877341867541105E-2</v>
      </c>
      <c r="S3739" s="4">
        <f t="shared" si="235"/>
        <v>-1.3691327708783341E-2</v>
      </c>
      <c r="T3739" s="4">
        <f t="shared" si="235"/>
        <v>-1.8038758447479902E-2</v>
      </c>
      <c r="U3739" s="35"/>
      <c r="V3739" s="35"/>
      <c r="W3739" s="35"/>
      <c r="X3739" s="35"/>
    </row>
    <row r="3740" spans="4:24" x14ac:dyDescent="0.3">
      <c r="D3740" s="23">
        <v>45008</v>
      </c>
      <c r="E3740" s="5">
        <v>387.55773900000003</v>
      </c>
      <c r="F3740" s="28">
        <v>71.222269999999995</v>
      </c>
      <c r="G3740" s="28">
        <v>185.74</v>
      </c>
      <c r="H3740" s="28">
        <v>307.69389999999999</v>
      </c>
      <c r="I3740" s="28">
        <v>192.73689999999999</v>
      </c>
      <c r="J3740" s="29"/>
      <c r="K3740" s="29"/>
      <c r="L3740" s="29"/>
      <c r="M3740" s="29"/>
      <c r="N3740" s="29"/>
      <c r="P3740" s="4">
        <f t="shared" si="235"/>
        <v>2.6997321748004539E-3</v>
      </c>
      <c r="Q3740" s="4">
        <f t="shared" si="235"/>
        <v>2.2992543846215513E-3</v>
      </c>
      <c r="R3740" s="4">
        <f t="shared" si="235"/>
        <v>1.2460207798213271E-2</v>
      </c>
      <c r="S3740" s="4">
        <f t="shared" si="235"/>
        <v>1.1788324426091545E-2</v>
      </c>
      <c r="T3740" s="4">
        <f t="shared" si="235"/>
        <v>1.8207165751297156E-3</v>
      </c>
      <c r="U3740" s="35"/>
      <c r="V3740" s="35"/>
      <c r="W3740" s="35"/>
      <c r="X3740" s="35"/>
    </row>
    <row r="3741" spans="4:24" x14ac:dyDescent="0.3">
      <c r="D3741" s="23">
        <v>45009</v>
      </c>
      <c r="E3741" s="5">
        <v>390.10086100000001</v>
      </c>
      <c r="F3741" s="28">
        <v>71.366590000000002</v>
      </c>
      <c r="G3741" s="28">
        <v>183.65</v>
      </c>
      <c r="H3741" s="28">
        <v>308.82639999999998</v>
      </c>
      <c r="I3741" s="28">
        <v>193.94829999999999</v>
      </c>
      <c r="J3741" s="29"/>
      <c r="K3741" s="29"/>
      <c r="L3741" s="29"/>
      <c r="M3741" s="29"/>
      <c r="N3741" s="29"/>
      <c r="P3741" s="4">
        <f t="shared" si="235"/>
        <v>6.5404820721577514E-3</v>
      </c>
      <c r="Q3741" s="4">
        <f t="shared" si="235"/>
        <v>2.0242822515292437E-3</v>
      </c>
      <c r="R3741" s="4">
        <f t="shared" si="235"/>
        <v>-1.131607408218599E-2</v>
      </c>
      <c r="S3741" s="4">
        <f t="shared" si="235"/>
        <v>3.6738490972475025E-3</v>
      </c>
      <c r="T3741" s="4">
        <f t="shared" si="235"/>
        <v>6.2655822516306976E-3</v>
      </c>
      <c r="U3741" s="35"/>
      <c r="V3741" s="35"/>
      <c r="W3741" s="35"/>
      <c r="X3741" s="35"/>
    </row>
    <row r="3742" spans="4:24" x14ac:dyDescent="0.3">
      <c r="D3742" s="23">
        <v>45012</v>
      </c>
      <c r="E3742" s="5">
        <v>390.83032200000002</v>
      </c>
      <c r="F3742" s="28">
        <v>70.625699999999995</v>
      </c>
      <c r="G3742" s="28">
        <v>181.95</v>
      </c>
      <c r="H3742" s="28">
        <v>306.71050000000002</v>
      </c>
      <c r="I3742" s="28">
        <v>194.44069999999999</v>
      </c>
      <c r="J3742" s="29"/>
      <c r="K3742" s="29"/>
      <c r="L3742" s="29"/>
      <c r="M3742" s="29"/>
      <c r="N3742" s="29"/>
      <c r="P3742" s="4">
        <f t="shared" si="235"/>
        <v>1.8681830820377152E-3</v>
      </c>
      <c r="Q3742" s="4">
        <f t="shared" si="235"/>
        <v>-1.0435731740676897E-2</v>
      </c>
      <c r="R3742" s="4">
        <f t="shared" si="235"/>
        <v>-9.2998482075076216E-3</v>
      </c>
      <c r="S3742" s="4">
        <f t="shared" si="235"/>
        <v>-6.8750007809656984E-3</v>
      </c>
      <c r="T3742" s="4">
        <f t="shared" si="235"/>
        <v>2.5356035511560804E-3</v>
      </c>
      <c r="U3742" s="35"/>
      <c r="V3742" s="35"/>
      <c r="W3742" s="35"/>
      <c r="X3742" s="35"/>
    </row>
    <row r="3743" spans="4:24" x14ac:dyDescent="0.3">
      <c r="D3743" s="23">
        <v>45013</v>
      </c>
      <c r="E3743" s="5">
        <v>389.953033</v>
      </c>
      <c r="F3743" s="28">
        <v>70.500609999999995</v>
      </c>
      <c r="G3743" s="28">
        <v>183.44</v>
      </c>
      <c r="H3743" s="28">
        <v>305.08139999999997</v>
      </c>
      <c r="I3743" s="28">
        <v>194.16499999999999</v>
      </c>
      <c r="J3743" s="29"/>
      <c r="K3743" s="29"/>
      <c r="L3743" s="29"/>
      <c r="M3743" s="29"/>
      <c r="N3743" s="29"/>
      <c r="P3743" s="4">
        <f t="shared" si="235"/>
        <v>-2.2472030520852638E-3</v>
      </c>
      <c r="Q3743" s="4">
        <f t="shared" si="235"/>
        <v>-1.7727386588511545E-3</v>
      </c>
      <c r="R3743" s="4">
        <f t="shared" si="235"/>
        <v>8.1557144914801271E-3</v>
      </c>
      <c r="S3743" s="4">
        <f t="shared" si="235"/>
        <v>-5.3256796976011156E-3</v>
      </c>
      <c r="T3743" s="4">
        <f t="shared" si="235"/>
        <v>-1.4189192091433689E-3</v>
      </c>
      <c r="U3743" s="35"/>
      <c r="V3743" s="35"/>
      <c r="W3743" s="35"/>
      <c r="X3743" s="35"/>
    </row>
    <row r="3744" spans="4:24" x14ac:dyDescent="0.3">
      <c r="D3744" s="23">
        <v>45014</v>
      </c>
      <c r="E3744" s="5">
        <v>395.62097199999999</v>
      </c>
      <c r="F3744" s="28">
        <v>70.577579999999998</v>
      </c>
      <c r="G3744" s="28">
        <v>182.53</v>
      </c>
      <c r="H3744" s="28">
        <v>310.64420000000001</v>
      </c>
      <c r="I3744" s="28">
        <v>196.96199999999999</v>
      </c>
      <c r="J3744" s="29"/>
      <c r="K3744" s="29"/>
      <c r="L3744" s="29"/>
      <c r="M3744" s="29"/>
      <c r="N3744" s="29"/>
      <c r="P3744" s="4">
        <f t="shared" si="235"/>
        <v>1.4430307821495127E-2</v>
      </c>
      <c r="Q3744" s="4">
        <f t="shared" si="235"/>
        <v>1.0911680627177687E-3</v>
      </c>
      <c r="R3744" s="4">
        <f t="shared" si="235"/>
        <v>-4.9730954749561043E-3</v>
      </c>
      <c r="S3744" s="4">
        <f t="shared" si="235"/>
        <v>1.8069579560090407E-2</v>
      </c>
      <c r="T3744" s="4">
        <f t="shared" si="235"/>
        <v>1.4302503686729806E-2</v>
      </c>
      <c r="U3744" s="35"/>
      <c r="V3744" s="35"/>
      <c r="W3744" s="35"/>
      <c r="X3744" s="35"/>
    </row>
    <row r="3745" spans="4:24" x14ac:dyDescent="0.3">
      <c r="D3745" s="23">
        <v>45015</v>
      </c>
      <c r="E3745" s="5">
        <v>397.93743899999998</v>
      </c>
      <c r="F3745" s="28">
        <v>70.673810000000003</v>
      </c>
      <c r="G3745" s="28">
        <v>184.18</v>
      </c>
      <c r="H3745" s="28">
        <v>313.58460000000002</v>
      </c>
      <c r="I3745" s="28">
        <v>198.0256</v>
      </c>
      <c r="J3745" s="29"/>
      <c r="K3745" s="29"/>
      <c r="L3745" s="29"/>
      <c r="M3745" s="29"/>
      <c r="N3745" s="29"/>
      <c r="P3745" s="4">
        <f t="shared" si="235"/>
        <v>5.8381929988281468E-3</v>
      </c>
      <c r="Q3745" s="4">
        <f t="shared" si="235"/>
        <v>1.3625354750506256E-3</v>
      </c>
      <c r="R3745" s="4">
        <f t="shared" si="235"/>
        <v>8.998997218528126E-3</v>
      </c>
      <c r="S3745" s="4">
        <f t="shared" si="235"/>
        <v>9.4209743217289477E-3</v>
      </c>
      <c r="T3745" s="4">
        <f t="shared" si="235"/>
        <v>5.3854985355692745E-3</v>
      </c>
      <c r="U3745" s="35"/>
      <c r="V3745" s="35"/>
      <c r="W3745" s="35"/>
      <c r="X3745" s="35"/>
    </row>
    <row r="3746" spans="4:24" x14ac:dyDescent="0.3">
      <c r="D3746" s="23">
        <v>45016</v>
      </c>
      <c r="E3746" s="5">
        <v>403.54617300000001</v>
      </c>
      <c r="F3746" s="28">
        <v>71.039450000000002</v>
      </c>
      <c r="G3746" s="28">
        <v>183.22</v>
      </c>
      <c r="H3746" s="28">
        <v>318.79969999999997</v>
      </c>
      <c r="I3746" s="28">
        <v>201.00970000000001</v>
      </c>
      <c r="J3746" s="29"/>
      <c r="K3746" s="29"/>
      <c r="L3746" s="29"/>
      <c r="M3746" s="29"/>
      <c r="N3746" s="29"/>
      <c r="P3746" s="4">
        <f t="shared" si="235"/>
        <v>1.3996107903187227E-2</v>
      </c>
      <c r="Q3746" s="4">
        <f t="shared" si="235"/>
        <v>5.160290735998903E-3</v>
      </c>
      <c r="R3746" s="4">
        <f t="shared" si="235"/>
        <v>-5.2259237061583978E-3</v>
      </c>
      <c r="S3746" s="4">
        <f t="shared" si="235"/>
        <v>1.6493825759158438E-2</v>
      </c>
      <c r="T3746" s="4">
        <f t="shared" si="235"/>
        <v>1.4956850334911702E-2</v>
      </c>
      <c r="U3746" s="35"/>
      <c r="V3746" s="35"/>
      <c r="W3746" s="35"/>
      <c r="X3746" s="35"/>
    </row>
    <row r="3747" spans="4:24" x14ac:dyDescent="0.3">
      <c r="D3747" s="23">
        <v>45019</v>
      </c>
      <c r="E3747" s="5">
        <v>405.08392300000003</v>
      </c>
      <c r="F3747" s="28">
        <v>71.341350000000006</v>
      </c>
      <c r="G3747" s="28">
        <v>184.54</v>
      </c>
      <c r="H3747" s="28">
        <v>318.0249</v>
      </c>
      <c r="I3747" s="28">
        <v>201.54159999999999</v>
      </c>
      <c r="J3747" s="29"/>
      <c r="K3747" s="29"/>
      <c r="L3747" s="29"/>
      <c r="M3747" s="29"/>
      <c r="N3747" s="29"/>
      <c r="P3747" s="4">
        <f t="shared" si="235"/>
        <v>3.8033505339379126E-3</v>
      </c>
      <c r="Q3747" s="4">
        <f t="shared" si="235"/>
        <v>4.2407466799685035E-3</v>
      </c>
      <c r="R3747" s="4">
        <f t="shared" si="235"/>
        <v>7.178625563347198E-3</v>
      </c>
      <c r="S3747" s="4">
        <f t="shared" si="235"/>
        <v>-2.4333242852223572E-3</v>
      </c>
      <c r="T3747" s="4">
        <f t="shared" si="235"/>
        <v>2.6426460903097573E-3</v>
      </c>
      <c r="U3747" s="35"/>
      <c r="V3747" s="35"/>
      <c r="W3747" s="35"/>
      <c r="X3747" s="35"/>
    </row>
    <row r="3748" spans="4:24" x14ac:dyDescent="0.3">
      <c r="D3748" s="23">
        <v>45020</v>
      </c>
      <c r="E3748" s="5">
        <v>402.83648699999998</v>
      </c>
      <c r="F3748" s="28">
        <v>71.630750000000006</v>
      </c>
      <c r="G3748" s="28">
        <v>187.98</v>
      </c>
      <c r="H3748" s="28">
        <v>316.95209999999997</v>
      </c>
      <c r="I3748" s="28">
        <v>200.19229999999999</v>
      </c>
      <c r="J3748" s="29"/>
      <c r="K3748" s="29"/>
      <c r="L3748" s="29"/>
      <c r="M3748" s="29"/>
      <c r="N3748" s="29"/>
      <c r="P3748" s="4">
        <f t="shared" si="235"/>
        <v>-5.563522765889257E-3</v>
      </c>
      <c r="Q3748" s="4">
        <f t="shared" si="235"/>
        <v>4.0483478280145205E-3</v>
      </c>
      <c r="R3748" s="4">
        <f t="shared" si="235"/>
        <v>1.8469332041745546E-2</v>
      </c>
      <c r="S3748" s="4">
        <f t="shared" si="235"/>
        <v>-3.3790232425772435E-3</v>
      </c>
      <c r="T3748" s="4">
        <f t="shared" si="235"/>
        <v>-6.7174070884446152E-3</v>
      </c>
      <c r="U3748" s="35"/>
      <c r="V3748" s="35"/>
      <c r="W3748" s="35"/>
      <c r="X3748" s="35"/>
    </row>
    <row r="3749" spans="4:24" x14ac:dyDescent="0.3">
      <c r="D3749" s="23">
        <v>45021</v>
      </c>
      <c r="E3749" s="5">
        <v>401.781769</v>
      </c>
      <c r="F3749" s="28">
        <v>71.823660000000004</v>
      </c>
      <c r="G3749" s="28">
        <v>187.83</v>
      </c>
      <c r="H3749" s="28">
        <v>313.82299999999998</v>
      </c>
      <c r="I3749" s="28">
        <v>199.46350000000001</v>
      </c>
      <c r="J3749" s="29"/>
      <c r="K3749" s="29"/>
      <c r="L3749" s="29"/>
      <c r="M3749" s="29"/>
      <c r="N3749" s="29"/>
      <c r="P3749" s="4">
        <f t="shared" ref="P3749:T3764" si="236">LN(E3749/E3748)</f>
        <v>-2.6216621266906179E-3</v>
      </c>
      <c r="Q3749" s="4">
        <f t="shared" si="236"/>
        <v>2.6894971898436411E-3</v>
      </c>
      <c r="R3749" s="4">
        <f t="shared" si="236"/>
        <v>-7.9827576682648684E-4</v>
      </c>
      <c r="S3749" s="4">
        <f t="shared" si="236"/>
        <v>-9.921525653565735E-3</v>
      </c>
      <c r="T3749" s="4">
        <f t="shared" si="236"/>
        <v>-3.6471424053058248E-3</v>
      </c>
      <c r="U3749" s="35"/>
      <c r="V3749" s="35"/>
      <c r="W3749" s="35"/>
      <c r="X3749" s="35"/>
    </row>
    <row r="3750" spans="4:24" x14ac:dyDescent="0.3">
      <c r="D3750" s="23">
        <v>45022</v>
      </c>
      <c r="E3750" s="5">
        <v>403.34903000000003</v>
      </c>
      <c r="F3750" s="28">
        <v>71.804379999999995</v>
      </c>
      <c r="G3750" s="28">
        <v>186.49</v>
      </c>
      <c r="H3750" s="28">
        <v>315.93880000000001</v>
      </c>
      <c r="I3750" s="28">
        <v>200.1234</v>
      </c>
      <c r="J3750" s="29"/>
      <c r="K3750" s="29"/>
      <c r="L3750" s="29"/>
      <c r="M3750" s="29"/>
      <c r="N3750" s="29"/>
      <c r="P3750" s="4">
        <f t="shared" si="236"/>
        <v>3.8931884894144323E-3</v>
      </c>
      <c r="Q3750" s="4">
        <f t="shared" si="236"/>
        <v>-2.6847125555444143E-4</v>
      </c>
      <c r="R3750" s="4">
        <f t="shared" si="236"/>
        <v>-7.159680081973839E-3</v>
      </c>
      <c r="S3750" s="4">
        <f t="shared" si="236"/>
        <v>6.7193912388146121E-3</v>
      </c>
      <c r="T3750" s="4">
        <f t="shared" si="236"/>
        <v>3.3029140841066324E-3</v>
      </c>
      <c r="U3750" s="35"/>
      <c r="V3750" s="35"/>
      <c r="W3750" s="35"/>
      <c r="X3750" s="35"/>
    </row>
    <row r="3751" spans="4:24" x14ac:dyDescent="0.3">
      <c r="D3751" s="23">
        <v>45026</v>
      </c>
      <c r="E3751" s="5">
        <v>403.76299999999998</v>
      </c>
      <c r="F3751" s="28">
        <v>71.322069999999997</v>
      </c>
      <c r="G3751" s="28">
        <v>185.11</v>
      </c>
      <c r="H3751" s="28">
        <v>315.76</v>
      </c>
      <c r="I3751" s="28">
        <v>200.57640000000001</v>
      </c>
      <c r="J3751" s="29"/>
      <c r="K3751" s="29"/>
      <c r="L3751" s="29"/>
      <c r="M3751" s="29"/>
      <c r="N3751" s="29"/>
      <c r="P3751" s="4">
        <f t="shared" si="236"/>
        <v>1.0258056401435834E-3</v>
      </c>
      <c r="Q3751" s="4">
        <f t="shared" si="236"/>
        <v>-6.739660288694071E-3</v>
      </c>
      <c r="R3751" s="4">
        <f t="shared" si="236"/>
        <v>-7.4273753717612329E-3</v>
      </c>
      <c r="S3751" s="4">
        <f t="shared" si="236"/>
        <v>-5.6609258961667886E-4</v>
      </c>
      <c r="T3751" s="4">
        <f t="shared" si="236"/>
        <v>2.261045266258103E-3</v>
      </c>
      <c r="U3751" s="35"/>
      <c r="V3751" s="35"/>
      <c r="W3751" s="35"/>
      <c r="X3751" s="35"/>
    </row>
    <row r="3752" spans="4:24" x14ac:dyDescent="0.3">
      <c r="D3752" s="23">
        <v>45027</v>
      </c>
      <c r="E3752" s="5">
        <v>403.87146000000001</v>
      </c>
      <c r="F3752" s="28">
        <v>71.351010000000002</v>
      </c>
      <c r="G3752" s="28">
        <v>186.28</v>
      </c>
      <c r="H3752" s="28">
        <v>313.73360000000002</v>
      </c>
      <c r="I3752" s="28">
        <v>200.78319999999999</v>
      </c>
      <c r="J3752" s="29"/>
      <c r="K3752" s="29"/>
      <c r="L3752" s="29"/>
      <c r="M3752" s="29"/>
      <c r="N3752" s="29"/>
      <c r="P3752" s="4">
        <f t="shared" si="236"/>
        <v>2.6858685710874885E-4</v>
      </c>
      <c r="Q3752" s="4">
        <f t="shared" si="236"/>
        <v>4.0568270337909155E-4</v>
      </c>
      <c r="R3752" s="4">
        <f t="shared" si="236"/>
        <v>6.3006751425827437E-3</v>
      </c>
      <c r="S3752" s="4">
        <f t="shared" si="236"/>
        <v>-6.438213191104593E-3</v>
      </c>
      <c r="T3752" s="4">
        <f t="shared" si="236"/>
        <v>1.0304974307354365E-3</v>
      </c>
      <c r="U3752" s="35"/>
      <c r="V3752" s="35"/>
      <c r="W3752" s="35"/>
      <c r="X3752" s="35"/>
    </row>
    <row r="3753" spans="4:24" x14ac:dyDescent="0.3">
      <c r="D3753" s="23">
        <v>45028</v>
      </c>
      <c r="E3753" s="5">
        <v>402.22531099999998</v>
      </c>
      <c r="F3753" s="28">
        <v>71.428190000000001</v>
      </c>
      <c r="G3753" s="28">
        <v>187.19</v>
      </c>
      <c r="H3753" s="28">
        <v>310.96210000000002</v>
      </c>
      <c r="I3753" s="28">
        <v>199.93620000000001</v>
      </c>
      <c r="J3753" s="29"/>
      <c r="K3753" s="29"/>
      <c r="L3753" s="29"/>
      <c r="M3753" s="29"/>
      <c r="N3753" s="29"/>
      <c r="P3753" s="4">
        <f t="shared" si="236"/>
        <v>-4.0842522821610844E-3</v>
      </c>
      <c r="Q3753" s="4">
        <f t="shared" si="236"/>
        <v>1.0811099588360594E-3</v>
      </c>
      <c r="R3753" s="4">
        <f t="shared" si="236"/>
        <v>4.8732256990613679E-3</v>
      </c>
      <c r="S3753" s="4">
        <f t="shared" si="236"/>
        <v>-8.8731783621579779E-3</v>
      </c>
      <c r="T3753" s="4">
        <f t="shared" si="236"/>
        <v>-4.2274033220754507E-3</v>
      </c>
      <c r="U3753" s="35"/>
      <c r="V3753" s="35"/>
      <c r="W3753" s="35"/>
      <c r="X3753" s="35"/>
    </row>
    <row r="3754" spans="4:24" x14ac:dyDescent="0.3">
      <c r="D3754" s="23">
        <v>45029</v>
      </c>
      <c r="E3754" s="5">
        <v>407.56793199999998</v>
      </c>
      <c r="F3754" s="28">
        <v>71.389589999999998</v>
      </c>
      <c r="G3754" s="28">
        <v>189.72</v>
      </c>
      <c r="H3754" s="28">
        <v>317.0514</v>
      </c>
      <c r="I3754" s="28">
        <v>202.53630000000001</v>
      </c>
      <c r="J3754" s="29"/>
      <c r="K3754" s="29"/>
      <c r="L3754" s="29"/>
      <c r="M3754" s="29"/>
      <c r="N3754" s="29"/>
      <c r="P3754" s="4">
        <f t="shared" si="236"/>
        <v>1.3195216345899393E-2</v>
      </c>
      <c r="Q3754" s="4">
        <f t="shared" si="236"/>
        <v>-5.4054895601777576E-4</v>
      </c>
      <c r="R3754" s="4">
        <f t="shared" si="236"/>
        <v>1.34251571961433E-2</v>
      </c>
      <c r="S3754" s="4">
        <f t="shared" si="236"/>
        <v>1.9392866042263993E-2</v>
      </c>
      <c r="T3754" s="4">
        <f t="shared" si="236"/>
        <v>1.2920814084118467E-2</v>
      </c>
      <c r="U3754" s="35"/>
      <c r="V3754" s="35"/>
      <c r="W3754" s="35"/>
      <c r="X3754" s="35"/>
    </row>
    <row r="3755" spans="4:24" x14ac:dyDescent="0.3">
      <c r="D3755" s="23">
        <v>45030</v>
      </c>
      <c r="E3755" s="5">
        <v>406.57235700000001</v>
      </c>
      <c r="F3755" s="28">
        <v>71.071280000000002</v>
      </c>
      <c r="G3755" s="28">
        <v>186.36</v>
      </c>
      <c r="H3755" s="28">
        <v>316.4554</v>
      </c>
      <c r="I3755" s="28">
        <v>201.97489999999999</v>
      </c>
      <c r="J3755" s="29"/>
      <c r="K3755" s="29"/>
      <c r="L3755" s="29"/>
      <c r="M3755" s="29"/>
      <c r="N3755" s="29"/>
      <c r="P3755" s="4">
        <f t="shared" si="236"/>
        <v>-2.4457099340341295E-3</v>
      </c>
      <c r="Q3755" s="4">
        <f t="shared" si="236"/>
        <v>-4.4687433077148916E-3</v>
      </c>
      <c r="R3755" s="4">
        <f t="shared" si="236"/>
        <v>-1.7869014060784824E-2</v>
      </c>
      <c r="S3755" s="4">
        <f t="shared" si="236"/>
        <v>-1.881590460714858E-3</v>
      </c>
      <c r="T3755" s="4">
        <f t="shared" si="236"/>
        <v>-2.7756974859633621E-3</v>
      </c>
      <c r="U3755" s="35"/>
      <c r="V3755" s="35"/>
      <c r="W3755" s="35"/>
      <c r="X3755" s="35"/>
    </row>
    <row r="3756" spans="4:24" x14ac:dyDescent="0.3">
      <c r="D3756" s="23">
        <v>45033</v>
      </c>
      <c r="E3756" s="5">
        <v>408.03125</v>
      </c>
      <c r="F3756" s="28">
        <v>70.685429999999997</v>
      </c>
      <c r="G3756" s="28">
        <v>185.53</v>
      </c>
      <c r="H3756" s="28">
        <v>316.72359999999998</v>
      </c>
      <c r="I3756" s="28">
        <v>202.7825</v>
      </c>
      <c r="J3756" s="29"/>
      <c r="K3756" s="29"/>
      <c r="L3756" s="29"/>
      <c r="M3756" s="29"/>
      <c r="N3756" s="29"/>
      <c r="P3756" s="4">
        <f t="shared" si="236"/>
        <v>3.5818514605670359E-3</v>
      </c>
      <c r="Q3756" s="4">
        <f t="shared" si="236"/>
        <v>-5.44384746095679E-3</v>
      </c>
      <c r="R3756" s="4">
        <f t="shared" si="236"/>
        <v>-4.4636929098097605E-3</v>
      </c>
      <c r="S3756" s="4">
        <f t="shared" si="236"/>
        <v>8.4715385709219378E-4</v>
      </c>
      <c r="T3756" s="4">
        <f t="shared" si="236"/>
        <v>3.9905438255832086E-3</v>
      </c>
      <c r="U3756" s="35"/>
      <c r="V3756" s="35"/>
      <c r="W3756" s="35"/>
      <c r="X3756" s="35"/>
    </row>
    <row r="3757" spans="4:24" x14ac:dyDescent="0.3">
      <c r="D3757" s="23">
        <v>45034</v>
      </c>
      <c r="E3757" s="5">
        <v>408.297394</v>
      </c>
      <c r="F3757" s="28">
        <v>70.791539999999998</v>
      </c>
      <c r="G3757" s="28">
        <v>186.25</v>
      </c>
      <c r="H3757" s="28">
        <v>316.74340000000001</v>
      </c>
      <c r="I3757" s="28">
        <v>202.881</v>
      </c>
      <c r="J3757" s="29"/>
      <c r="K3757" s="29"/>
      <c r="L3757" s="29"/>
      <c r="M3757" s="29"/>
      <c r="N3757" s="29"/>
      <c r="P3757" s="4">
        <f t="shared" si="236"/>
        <v>6.5205113500765247E-4</v>
      </c>
      <c r="Q3757" s="4">
        <f t="shared" si="236"/>
        <v>1.5000324066380365E-3</v>
      </c>
      <c r="R3757" s="4">
        <f t="shared" si="236"/>
        <v>3.8732632208825801E-3</v>
      </c>
      <c r="S3757" s="4">
        <f t="shared" si="236"/>
        <v>6.2513122251058753E-5</v>
      </c>
      <c r="T3757" s="4">
        <f t="shared" si="236"/>
        <v>4.8562417834387416E-4</v>
      </c>
      <c r="U3757" s="35"/>
      <c r="V3757" s="35"/>
      <c r="W3757" s="35"/>
      <c r="X3757" s="35"/>
    </row>
    <row r="3758" spans="4:24" x14ac:dyDescent="0.3">
      <c r="D3758" s="23">
        <v>45035</v>
      </c>
      <c r="E3758" s="5">
        <v>408.22839399999998</v>
      </c>
      <c r="F3758" s="28">
        <v>70.695070000000001</v>
      </c>
      <c r="G3758" s="28">
        <v>185.36</v>
      </c>
      <c r="H3758" s="28">
        <v>316.59449999999998</v>
      </c>
      <c r="I3758" s="28">
        <v>202.9795</v>
      </c>
      <c r="J3758" s="29"/>
      <c r="K3758" s="29"/>
      <c r="L3758" s="29"/>
      <c r="M3758" s="29"/>
      <c r="N3758" s="29"/>
      <c r="P3758" s="4">
        <f t="shared" si="236"/>
        <v>-1.6900874700668449E-4</v>
      </c>
      <c r="Q3758" s="4">
        <f t="shared" si="236"/>
        <v>-1.3636628222195646E-3</v>
      </c>
      <c r="R3758" s="4">
        <f t="shared" si="236"/>
        <v>-4.7899771355480398E-3</v>
      </c>
      <c r="S3758" s="4">
        <f t="shared" si="236"/>
        <v>-4.7020714453830758E-4</v>
      </c>
      <c r="T3758" s="4">
        <f t="shared" si="236"/>
        <v>4.8538846196615598E-4</v>
      </c>
      <c r="U3758" s="35"/>
      <c r="V3758" s="35"/>
      <c r="W3758" s="35"/>
      <c r="X3758" s="35"/>
    </row>
    <row r="3759" spans="4:24" x14ac:dyDescent="0.3">
      <c r="D3759" s="23">
        <v>45036</v>
      </c>
      <c r="E3759" s="5">
        <v>406.00064099999997</v>
      </c>
      <c r="F3759" s="28">
        <v>71.003749999999997</v>
      </c>
      <c r="G3759" s="28">
        <v>186.09</v>
      </c>
      <c r="H3759" s="28">
        <v>314.18060000000003</v>
      </c>
      <c r="I3759" s="28">
        <v>201.71889999999999</v>
      </c>
      <c r="J3759" s="29"/>
      <c r="K3759" s="29"/>
      <c r="L3759" s="29"/>
      <c r="M3759" s="29"/>
      <c r="N3759" s="29"/>
      <c r="P3759" s="4">
        <f t="shared" si="236"/>
        <v>-5.4720685780927196E-3</v>
      </c>
      <c r="Q3759" s="4">
        <f t="shared" si="236"/>
        <v>4.3568533356107934E-3</v>
      </c>
      <c r="R3759" s="4">
        <f t="shared" si="236"/>
        <v>3.9305475290150101E-3</v>
      </c>
      <c r="S3759" s="4">
        <f t="shared" si="236"/>
        <v>-7.6537954144389551E-3</v>
      </c>
      <c r="T3759" s="4">
        <f t="shared" si="236"/>
        <v>-6.2298446304168706E-3</v>
      </c>
      <c r="U3759" s="35"/>
      <c r="V3759" s="35"/>
      <c r="W3759" s="35"/>
      <c r="X3759" s="35"/>
    </row>
    <row r="3760" spans="4:24" x14ac:dyDescent="0.3">
      <c r="D3760" s="23">
        <v>45037</v>
      </c>
      <c r="E3760" s="5">
        <v>406.31607100000002</v>
      </c>
      <c r="F3760" s="28">
        <v>70.878349999999998</v>
      </c>
      <c r="G3760" s="28">
        <v>184.25</v>
      </c>
      <c r="H3760" s="28">
        <v>314.50839999999999</v>
      </c>
      <c r="I3760" s="28">
        <v>201.89609999999999</v>
      </c>
      <c r="J3760" s="29"/>
      <c r="K3760" s="29"/>
      <c r="L3760" s="29"/>
      <c r="M3760" s="29"/>
      <c r="N3760" s="29"/>
      <c r="P3760" s="4">
        <f t="shared" si="236"/>
        <v>7.7661830956881922E-4</v>
      </c>
      <c r="Q3760" s="4">
        <f t="shared" si="236"/>
        <v>-1.767665303128304E-3</v>
      </c>
      <c r="R3760" s="4">
        <f t="shared" si="236"/>
        <v>-9.9368965836898575E-3</v>
      </c>
      <c r="S3760" s="4">
        <f t="shared" si="236"/>
        <v>1.0428050425735857E-3</v>
      </c>
      <c r="T3760" s="4">
        <f t="shared" si="236"/>
        <v>8.7806454856772609E-4</v>
      </c>
      <c r="U3760" s="35"/>
      <c r="V3760" s="35"/>
      <c r="W3760" s="35"/>
      <c r="X3760" s="35"/>
    </row>
    <row r="3761" spans="4:24" x14ac:dyDescent="0.3">
      <c r="D3761" s="23">
        <v>45040</v>
      </c>
      <c r="E3761" s="5">
        <v>406.73992900000002</v>
      </c>
      <c r="F3761" s="28">
        <v>71.158090000000001</v>
      </c>
      <c r="G3761" s="28">
        <v>184.81</v>
      </c>
      <c r="H3761" s="28">
        <v>313.8528</v>
      </c>
      <c r="I3761" s="28">
        <v>201.97489999999999</v>
      </c>
      <c r="J3761" s="29"/>
      <c r="K3761" s="29"/>
      <c r="L3761" s="29"/>
      <c r="M3761" s="29"/>
      <c r="N3761" s="29"/>
      <c r="P3761" s="4">
        <f t="shared" si="236"/>
        <v>1.0426293844387588E-3</v>
      </c>
      <c r="Q3761" s="4">
        <f t="shared" si="236"/>
        <v>3.9389942707120382E-3</v>
      </c>
      <c r="R3761" s="4">
        <f t="shared" si="236"/>
        <v>3.0347392282189518E-3</v>
      </c>
      <c r="S3761" s="4">
        <f t="shared" si="236"/>
        <v>-2.0866986627770916E-3</v>
      </c>
      <c r="T3761" s="4">
        <f t="shared" si="236"/>
        <v>3.9022361595630667E-4</v>
      </c>
      <c r="U3761" s="35"/>
      <c r="V3761" s="35"/>
      <c r="W3761" s="35"/>
      <c r="X3761" s="35"/>
    </row>
    <row r="3762" spans="4:24" x14ac:dyDescent="0.3">
      <c r="D3762" s="23">
        <v>45041</v>
      </c>
      <c r="E3762" s="5">
        <v>400.28344700000002</v>
      </c>
      <c r="F3762" s="28">
        <v>71.621089999999995</v>
      </c>
      <c r="G3762" s="28">
        <v>185.75</v>
      </c>
      <c r="H3762" s="28">
        <v>307.9323</v>
      </c>
      <c r="I3762" s="28">
        <v>198.60669999999999</v>
      </c>
      <c r="J3762" s="29"/>
      <c r="K3762" s="29"/>
      <c r="L3762" s="29"/>
      <c r="M3762" s="29"/>
      <c r="N3762" s="29"/>
      <c r="P3762" s="4">
        <f t="shared" si="236"/>
        <v>-1.6001072455081387E-2</v>
      </c>
      <c r="Q3762" s="4">
        <f t="shared" si="236"/>
        <v>6.4855621514417223E-3</v>
      </c>
      <c r="R3762" s="4">
        <f t="shared" si="236"/>
        <v>5.0734133002035596E-3</v>
      </c>
      <c r="S3762" s="4">
        <f t="shared" si="236"/>
        <v>-1.9044132564973719E-2</v>
      </c>
      <c r="T3762" s="4">
        <f t="shared" si="236"/>
        <v>-1.6816945059776225E-2</v>
      </c>
      <c r="U3762" s="35"/>
      <c r="V3762" s="35"/>
      <c r="W3762" s="35"/>
      <c r="X3762" s="35"/>
    </row>
    <row r="3763" spans="4:24" x14ac:dyDescent="0.3">
      <c r="D3763" s="23">
        <v>45042</v>
      </c>
      <c r="E3763" s="5">
        <v>398.58798200000001</v>
      </c>
      <c r="F3763" s="28">
        <v>71.370289999999997</v>
      </c>
      <c r="G3763" s="28">
        <v>184.74</v>
      </c>
      <c r="H3763" s="28">
        <v>309.79989999999998</v>
      </c>
      <c r="I3763" s="28">
        <v>197.7105</v>
      </c>
      <c r="J3763" s="29"/>
      <c r="K3763" s="29"/>
      <c r="L3763" s="29"/>
      <c r="M3763" s="29"/>
      <c r="N3763" s="29"/>
      <c r="P3763" s="4">
        <f t="shared" si="236"/>
        <v>-4.2446568598323809E-3</v>
      </c>
      <c r="Q3763" s="4">
        <f t="shared" si="236"/>
        <v>-3.5079073603332006E-3</v>
      </c>
      <c r="R3763" s="4">
        <f t="shared" si="236"/>
        <v>-5.4522524334045157E-3</v>
      </c>
      <c r="S3763" s="4">
        <f t="shared" si="236"/>
        <v>6.0466515757530903E-3</v>
      </c>
      <c r="T3763" s="4">
        <f t="shared" si="236"/>
        <v>-4.5226476549485879E-3</v>
      </c>
      <c r="U3763" s="35"/>
      <c r="V3763" s="35"/>
      <c r="W3763" s="35"/>
      <c r="X3763" s="35"/>
    </row>
    <row r="3764" spans="4:24" x14ac:dyDescent="0.3">
      <c r="D3764" s="23">
        <v>45043</v>
      </c>
      <c r="E3764" s="5">
        <v>406.52310199999999</v>
      </c>
      <c r="F3764" s="28">
        <v>71.061639999999997</v>
      </c>
      <c r="G3764" s="28">
        <v>184.75</v>
      </c>
      <c r="H3764" s="28">
        <v>318.22359999999998</v>
      </c>
      <c r="I3764" s="28">
        <v>201.42339999999999</v>
      </c>
      <c r="J3764" s="29"/>
      <c r="K3764" s="29"/>
      <c r="L3764" s="29"/>
      <c r="M3764" s="29"/>
      <c r="N3764" s="29"/>
      <c r="P3764" s="4">
        <f t="shared" si="236"/>
        <v>1.9712502064018096E-2</v>
      </c>
      <c r="Q3764" s="4">
        <f t="shared" si="236"/>
        <v>-4.3340068919953635E-3</v>
      </c>
      <c r="R3764" s="4">
        <f t="shared" si="236"/>
        <v>5.4128663847152909E-5</v>
      </c>
      <c r="S3764" s="4">
        <f t="shared" si="236"/>
        <v>2.6827675150062541E-2</v>
      </c>
      <c r="T3764" s="4">
        <f t="shared" si="236"/>
        <v>1.8605320688314934E-2</v>
      </c>
      <c r="U3764" s="35"/>
      <c r="V3764" s="35"/>
      <c r="W3764" s="35"/>
      <c r="X3764" s="35"/>
    </row>
    <row r="3765" spans="4:24" x14ac:dyDescent="0.3">
      <c r="D3765" s="23">
        <v>45044</v>
      </c>
      <c r="E3765" s="5">
        <v>409.99282799999997</v>
      </c>
      <c r="F3765" s="28">
        <v>71.45711</v>
      </c>
      <c r="G3765" s="28">
        <v>184.8</v>
      </c>
      <c r="H3765" s="28">
        <v>320.41890000000001</v>
      </c>
      <c r="I3765" s="28">
        <v>203.1764</v>
      </c>
      <c r="J3765" s="29"/>
      <c r="K3765" s="29"/>
      <c r="L3765" s="29"/>
      <c r="M3765" s="29"/>
      <c r="N3765" s="29"/>
      <c r="P3765" s="4">
        <f t="shared" ref="P3765:T3780" si="237">LN(E3765/E3764)</f>
        <v>8.4989080010956179E-3</v>
      </c>
      <c r="Q3765" s="4">
        <f t="shared" si="237"/>
        <v>5.5497401573686026E-3</v>
      </c>
      <c r="R3765" s="4">
        <f t="shared" si="237"/>
        <v>2.7059937927278077E-4</v>
      </c>
      <c r="S3765" s="4">
        <f t="shared" si="237"/>
        <v>6.8749218745977536E-3</v>
      </c>
      <c r="T3765" s="4">
        <f t="shared" si="237"/>
        <v>8.6654069986113278E-3</v>
      </c>
      <c r="U3765" s="35"/>
      <c r="V3765" s="35"/>
      <c r="W3765" s="35"/>
      <c r="X3765" s="35"/>
    </row>
    <row r="3766" spans="4:24" x14ac:dyDescent="0.3">
      <c r="D3766" s="23">
        <v>45047</v>
      </c>
      <c r="E3766" s="5">
        <v>409.57879600000001</v>
      </c>
      <c r="F3766" s="28">
        <v>70.722239999999999</v>
      </c>
      <c r="G3766" s="28">
        <v>183.97</v>
      </c>
      <c r="H3766" s="28">
        <v>320.0514</v>
      </c>
      <c r="I3766" s="28">
        <v>203.078</v>
      </c>
      <c r="J3766" s="29"/>
      <c r="K3766" s="29"/>
      <c r="L3766" s="29"/>
      <c r="M3766" s="29"/>
      <c r="N3766" s="29"/>
      <c r="P3766" s="4">
        <f t="shared" si="237"/>
        <v>-1.0103620552421133E-3</v>
      </c>
      <c r="Q3766" s="4">
        <f t="shared" si="237"/>
        <v>-1.033731753611046E-2</v>
      </c>
      <c r="R3766" s="4">
        <f t="shared" si="237"/>
        <v>-4.5014583698919069E-3</v>
      </c>
      <c r="S3766" s="4">
        <f t="shared" si="237"/>
        <v>-1.1475943235222943E-3</v>
      </c>
      <c r="T3766" s="4">
        <f t="shared" si="237"/>
        <v>-4.8442553200294042E-4</v>
      </c>
      <c r="U3766" s="35"/>
      <c r="V3766" s="35"/>
      <c r="W3766" s="35"/>
      <c r="X3766" s="35"/>
    </row>
    <row r="3767" spans="4:24" x14ac:dyDescent="0.3">
      <c r="D3767" s="23">
        <v>45048</v>
      </c>
      <c r="E3767" s="5">
        <v>404.97549400000003</v>
      </c>
      <c r="F3767" s="28">
        <v>71.418430000000001</v>
      </c>
      <c r="G3767" s="28">
        <v>187.52</v>
      </c>
      <c r="H3767" s="28">
        <v>317.26</v>
      </c>
      <c r="I3767" s="28">
        <v>200.59610000000001</v>
      </c>
      <c r="J3767" s="29"/>
      <c r="K3767" s="29"/>
      <c r="L3767" s="29"/>
      <c r="M3767" s="29"/>
      <c r="N3767" s="29"/>
      <c r="P3767" s="4">
        <f t="shared" si="237"/>
        <v>-1.1302748173343577E-2</v>
      </c>
      <c r="Q3767" s="4">
        <f t="shared" si="237"/>
        <v>9.7958672508485674E-3</v>
      </c>
      <c r="R3767" s="4">
        <f t="shared" si="237"/>
        <v>1.9112805550955975E-2</v>
      </c>
      <c r="S3767" s="4">
        <f t="shared" si="237"/>
        <v>-8.7599809146490255E-3</v>
      </c>
      <c r="T3767" s="4">
        <f t="shared" si="237"/>
        <v>-1.2296708031198866E-2</v>
      </c>
      <c r="U3767" s="35"/>
      <c r="V3767" s="35"/>
      <c r="W3767" s="35"/>
      <c r="X3767" s="35"/>
    </row>
    <row r="3768" spans="4:24" x14ac:dyDescent="0.3">
      <c r="D3768" s="23">
        <v>45049</v>
      </c>
      <c r="E3768" s="5">
        <v>402.19574</v>
      </c>
      <c r="F3768" s="28">
        <v>71.718190000000007</v>
      </c>
      <c r="G3768" s="28">
        <v>189.11</v>
      </c>
      <c r="H3768" s="28">
        <v>315.18380000000002</v>
      </c>
      <c r="I3768" s="28">
        <v>199.42410000000001</v>
      </c>
      <c r="J3768" s="29"/>
      <c r="K3768" s="29"/>
      <c r="L3768" s="29"/>
      <c r="M3768" s="29"/>
      <c r="N3768" s="29"/>
      <c r="P3768" s="4">
        <f t="shared" si="237"/>
        <v>-6.8876710967837327E-3</v>
      </c>
      <c r="Q3768" s="4">
        <f t="shared" si="237"/>
        <v>4.1884520988030496E-3</v>
      </c>
      <c r="R3768" s="4">
        <f t="shared" si="237"/>
        <v>8.4433499505337881E-3</v>
      </c>
      <c r="S3768" s="4">
        <f t="shared" si="237"/>
        <v>-6.5656662564878929E-3</v>
      </c>
      <c r="T3768" s="4">
        <f t="shared" si="237"/>
        <v>-5.8597208516610946E-3</v>
      </c>
      <c r="U3768" s="35"/>
      <c r="V3768" s="35"/>
      <c r="W3768" s="35"/>
      <c r="X3768" s="35"/>
    </row>
    <row r="3769" spans="4:24" x14ac:dyDescent="0.3">
      <c r="D3769" s="23">
        <v>45050</v>
      </c>
      <c r="E3769" s="5">
        <v>399.347015</v>
      </c>
      <c r="F3769" s="28">
        <v>71.621480000000005</v>
      </c>
      <c r="G3769" s="28">
        <v>190.44</v>
      </c>
      <c r="H3769" s="28">
        <v>314.07130000000001</v>
      </c>
      <c r="I3769" s="28">
        <v>197.93700000000001</v>
      </c>
      <c r="J3769" s="29"/>
      <c r="K3769" s="29"/>
      <c r="L3769" s="29"/>
      <c r="M3769" s="29"/>
      <c r="N3769" s="29"/>
      <c r="P3769" s="4">
        <f t="shared" si="237"/>
        <v>-7.1081348478960462E-3</v>
      </c>
      <c r="Q3769" s="4">
        <f t="shared" si="237"/>
        <v>-1.3493824099692299E-3</v>
      </c>
      <c r="R3769" s="4">
        <f t="shared" si="237"/>
        <v>7.0083279871363492E-3</v>
      </c>
      <c r="S3769" s="4">
        <f t="shared" si="237"/>
        <v>-3.5359305283786066E-3</v>
      </c>
      <c r="T3769" s="4">
        <f t="shared" si="237"/>
        <v>-7.484914566428527E-3</v>
      </c>
      <c r="U3769" s="35"/>
      <c r="V3769" s="35"/>
      <c r="W3769" s="35"/>
      <c r="X3769" s="35"/>
    </row>
    <row r="3770" spans="4:24" x14ac:dyDescent="0.3">
      <c r="D3770" s="23">
        <v>45051</v>
      </c>
      <c r="E3770" s="5">
        <v>406.73992900000002</v>
      </c>
      <c r="F3770" s="28">
        <v>71.360429999999994</v>
      </c>
      <c r="G3770" s="28">
        <v>187.46</v>
      </c>
      <c r="H3770" s="28">
        <v>320.74669999999998</v>
      </c>
      <c r="I3770" s="28">
        <v>201.5908</v>
      </c>
      <c r="J3770" s="29"/>
      <c r="K3770" s="29"/>
      <c r="L3770" s="29"/>
      <c r="M3770" s="29"/>
      <c r="N3770" s="29"/>
      <c r="P3770" s="4">
        <f t="shared" si="237"/>
        <v>1.834323542306562E-2</v>
      </c>
      <c r="Q3770" s="4">
        <f t="shared" si="237"/>
        <v>-3.6515149372457279E-3</v>
      </c>
      <c r="R3770" s="4">
        <f t="shared" si="237"/>
        <v>-1.5771695007978176E-2</v>
      </c>
      <c r="S3770" s="4">
        <f t="shared" si="237"/>
        <v>2.1031684860783387E-2</v>
      </c>
      <c r="T3770" s="4">
        <f t="shared" si="237"/>
        <v>1.8291101989495309E-2</v>
      </c>
      <c r="U3770" s="35"/>
      <c r="V3770" s="35"/>
      <c r="W3770" s="35"/>
      <c r="X3770" s="35"/>
    </row>
    <row r="3771" spans="4:24" x14ac:dyDescent="0.3">
      <c r="D3771" s="23">
        <v>45054</v>
      </c>
      <c r="E3771" s="5">
        <v>406.84835800000002</v>
      </c>
      <c r="F3771" s="28">
        <v>71.021969999999996</v>
      </c>
      <c r="G3771" s="28">
        <v>187.69</v>
      </c>
      <c r="H3771" s="28">
        <v>321.54140000000001</v>
      </c>
      <c r="I3771" s="28">
        <v>201.8075</v>
      </c>
      <c r="J3771" s="29"/>
      <c r="K3771" s="29"/>
      <c r="L3771" s="29"/>
      <c r="M3771" s="29"/>
      <c r="N3771" s="29"/>
      <c r="P3771" s="4">
        <f t="shared" si="237"/>
        <v>2.6654513683274178E-4</v>
      </c>
      <c r="Q3771" s="4">
        <f t="shared" si="237"/>
        <v>-4.7542482429553997E-3</v>
      </c>
      <c r="R3771" s="4">
        <f t="shared" si="237"/>
        <v>1.2261763498186576E-3</v>
      </c>
      <c r="S3771" s="4">
        <f t="shared" si="237"/>
        <v>2.4745917152620661E-3</v>
      </c>
      <c r="T3771" s="4">
        <f t="shared" si="237"/>
        <v>1.074372504020434E-3</v>
      </c>
      <c r="U3771" s="35"/>
      <c r="V3771" s="35"/>
      <c r="W3771" s="35"/>
      <c r="X3771" s="35"/>
    </row>
    <row r="3772" spans="4:24" x14ac:dyDescent="0.3">
      <c r="D3772" s="23">
        <v>45055</v>
      </c>
      <c r="E3772" s="5">
        <v>405.06420900000001</v>
      </c>
      <c r="F3772" s="28">
        <v>70.944630000000004</v>
      </c>
      <c r="G3772" s="28">
        <v>189.02</v>
      </c>
      <c r="H3772" s="28">
        <v>319.505</v>
      </c>
      <c r="I3772" s="28">
        <v>200.9802</v>
      </c>
      <c r="J3772" s="29"/>
      <c r="K3772" s="29"/>
      <c r="L3772" s="29"/>
      <c r="M3772" s="29"/>
      <c r="N3772" s="29"/>
      <c r="P3772" s="4">
        <f t="shared" si="237"/>
        <v>-4.3949359680357679E-3</v>
      </c>
      <c r="Q3772" s="4">
        <f t="shared" si="237"/>
        <v>-1.0895521573525762E-3</v>
      </c>
      <c r="R3772" s="4">
        <f t="shared" si="237"/>
        <v>7.0611638987516292E-3</v>
      </c>
      <c r="S3772" s="4">
        <f t="shared" si="237"/>
        <v>-6.3533836240806723E-3</v>
      </c>
      <c r="T3772" s="4">
        <f t="shared" si="237"/>
        <v>-4.1078769950840836E-3</v>
      </c>
      <c r="U3772" s="35"/>
      <c r="V3772" s="35"/>
      <c r="W3772" s="35"/>
      <c r="X3772" s="35"/>
    </row>
    <row r="3773" spans="4:24" x14ac:dyDescent="0.3">
      <c r="D3773" s="23">
        <v>45056</v>
      </c>
      <c r="E3773" s="5">
        <v>406.956818</v>
      </c>
      <c r="F3773" s="28">
        <v>71.379750000000001</v>
      </c>
      <c r="G3773" s="28">
        <v>188.75</v>
      </c>
      <c r="H3773" s="28">
        <v>322.98180000000002</v>
      </c>
      <c r="I3773" s="28">
        <v>201.86660000000001</v>
      </c>
      <c r="J3773" s="29"/>
      <c r="K3773" s="29"/>
      <c r="L3773" s="29"/>
      <c r="M3773" s="29"/>
      <c r="N3773" s="29"/>
      <c r="P3773" s="4">
        <f t="shared" si="237"/>
        <v>4.6614862526511659E-3</v>
      </c>
      <c r="Q3773" s="4">
        <f t="shared" si="237"/>
        <v>6.1145020362171273E-3</v>
      </c>
      <c r="R3773" s="4">
        <f t="shared" si="237"/>
        <v>-1.4294414377760366E-3</v>
      </c>
      <c r="S3773" s="4">
        <f t="shared" si="237"/>
        <v>1.0823051738485632E-2</v>
      </c>
      <c r="T3773" s="4">
        <f t="shared" si="237"/>
        <v>4.4006874598735753E-3</v>
      </c>
      <c r="U3773" s="35"/>
      <c r="V3773" s="35"/>
      <c r="W3773" s="35"/>
      <c r="X3773" s="35"/>
    </row>
    <row r="3774" spans="4:24" x14ac:dyDescent="0.3">
      <c r="D3774" s="23">
        <v>45057</v>
      </c>
      <c r="E3774" s="5">
        <v>406.24707000000001</v>
      </c>
      <c r="F3774" s="28">
        <v>71.611819999999994</v>
      </c>
      <c r="G3774" s="28">
        <v>187.13</v>
      </c>
      <c r="H3774" s="28">
        <v>324.03480000000002</v>
      </c>
      <c r="I3774" s="28">
        <v>201.60069999999999</v>
      </c>
      <c r="J3774" s="29"/>
      <c r="K3774" s="29"/>
      <c r="L3774" s="29"/>
      <c r="M3774" s="29"/>
      <c r="N3774" s="29"/>
      <c r="P3774" s="4">
        <f t="shared" si="237"/>
        <v>-1.7455602234298746E-3</v>
      </c>
      <c r="Q3774" s="4">
        <f t="shared" si="237"/>
        <v>3.2459284663901534E-3</v>
      </c>
      <c r="R3774" s="4">
        <f t="shared" si="237"/>
        <v>-8.6198256394369645E-3</v>
      </c>
      <c r="S3774" s="4">
        <f t="shared" si="237"/>
        <v>3.2549425460813206E-3</v>
      </c>
      <c r="T3774" s="4">
        <f t="shared" si="237"/>
        <v>-1.3180747906764681E-3</v>
      </c>
      <c r="U3774" s="35"/>
      <c r="V3774" s="35"/>
      <c r="W3774" s="35"/>
      <c r="X3774" s="35"/>
    </row>
    <row r="3775" spans="4:24" x14ac:dyDescent="0.3">
      <c r="D3775" s="23">
        <v>45058</v>
      </c>
      <c r="E3775" s="5">
        <v>405.71478300000001</v>
      </c>
      <c r="F3775" s="28">
        <v>71.234710000000007</v>
      </c>
      <c r="G3775" s="28">
        <v>186.81</v>
      </c>
      <c r="H3775" s="28">
        <v>322.8725</v>
      </c>
      <c r="I3775" s="28">
        <v>201.12790000000001</v>
      </c>
      <c r="J3775" s="29"/>
      <c r="K3775" s="29"/>
      <c r="L3775" s="29"/>
      <c r="M3775" s="29"/>
      <c r="N3775" s="29"/>
      <c r="P3775" s="4">
        <f t="shared" si="237"/>
        <v>-1.3111135068334624E-3</v>
      </c>
      <c r="Q3775" s="4">
        <f t="shared" si="237"/>
        <v>-5.2799445122415061E-3</v>
      </c>
      <c r="R3775" s="4">
        <f t="shared" si="237"/>
        <v>-1.7115049372268484E-3</v>
      </c>
      <c r="S3775" s="4">
        <f t="shared" si="237"/>
        <v>-3.5934089805185628E-3</v>
      </c>
      <c r="T3775" s="4">
        <f t="shared" si="237"/>
        <v>-2.3479843110886627E-3</v>
      </c>
      <c r="U3775" s="35"/>
      <c r="V3775" s="35"/>
      <c r="W3775" s="35"/>
      <c r="X3775" s="35"/>
    </row>
    <row r="3776" spans="4:24" x14ac:dyDescent="0.3">
      <c r="D3776" s="23">
        <v>45061</v>
      </c>
      <c r="E3776" s="5">
        <v>407.114532</v>
      </c>
      <c r="F3776" s="28">
        <v>71.051000000000002</v>
      </c>
      <c r="G3776" s="28">
        <v>187.21</v>
      </c>
      <c r="H3776" s="28">
        <v>324.62090000000001</v>
      </c>
      <c r="I3776" s="28">
        <v>201.98480000000001</v>
      </c>
      <c r="J3776" s="29"/>
      <c r="K3776" s="29"/>
      <c r="L3776" s="29"/>
      <c r="M3776" s="29"/>
      <c r="N3776" s="29"/>
      <c r="P3776" s="4">
        <f t="shared" si="237"/>
        <v>3.4441434575132007E-3</v>
      </c>
      <c r="Q3776" s="4">
        <f t="shared" si="237"/>
        <v>-2.5822705889913238E-3</v>
      </c>
      <c r="R3776" s="4">
        <f t="shared" si="237"/>
        <v>2.1389238677067854E-3</v>
      </c>
      <c r="S3776" s="4">
        <f t="shared" si="237"/>
        <v>5.4005314940547564E-3</v>
      </c>
      <c r="T3776" s="4">
        <f t="shared" si="237"/>
        <v>4.251422942896323E-3</v>
      </c>
      <c r="U3776" s="35"/>
      <c r="V3776" s="35"/>
      <c r="W3776" s="35"/>
      <c r="X3776" s="35"/>
    </row>
    <row r="3777" spans="4:24" x14ac:dyDescent="0.3">
      <c r="D3777" s="23">
        <v>45062</v>
      </c>
      <c r="E3777" s="5">
        <v>404.39389</v>
      </c>
      <c r="F3777" s="28">
        <v>70.876949999999994</v>
      </c>
      <c r="G3777" s="28">
        <v>184.87</v>
      </c>
      <c r="H3777" s="28">
        <v>324.98840000000001</v>
      </c>
      <c r="I3777" s="28">
        <v>200.4188</v>
      </c>
      <c r="J3777" s="29"/>
      <c r="K3777" s="29"/>
      <c r="L3777" s="29"/>
      <c r="M3777" s="29"/>
      <c r="N3777" s="29"/>
      <c r="P3777" s="4">
        <f t="shared" si="237"/>
        <v>-6.7051730319137963E-3</v>
      </c>
      <c r="Q3777" s="4">
        <f t="shared" si="237"/>
        <v>-2.4526541424715062E-3</v>
      </c>
      <c r="R3777" s="4">
        <f t="shared" si="237"/>
        <v>-1.2578106055822828E-2</v>
      </c>
      <c r="S3777" s="4">
        <f t="shared" si="237"/>
        <v>1.1314494395492111E-3</v>
      </c>
      <c r="T3777" s="4">
        <f t="shared" si="237"/>
        <v>-7.7832698593617734E-3</v>
      </c>
      <c r="U3777" s="35"/>
      <c r="V3777" s="35"/>
      <c r="W3777" s="35"/>
      <c r="X3777" s="35"/>
    </row>
    <row r="3778" spans="4:24" x14ac:dyDescent="0.3">
      <c r="D3778" s="23">
        <v>45063</v>
      </c>
      <c r="E3778" s="5">
        <v>409.30282599999998</v>
      </c>
      <c r="F3778" s="28">
        <v>70.751239999999996</v>
      </c>
      <c r="G3778" s="28">
        <v>184.23</v>
      </c>
      <c r="H3778" s="28">
        <v>328.9221</v>
      </c>
      <c r="I3778" s="28">
        <v>203.0189</v>
      </c>
      <c r="J3778" s="29"/>
      <c r="K3778" s="29"/>
      <c r="L3778" s="29"/>
      <c r="M3778" s="29"/>
      <c r="N3778" s="29"/>
      <c r="P3778" s="4">
        <f t="shared" si="237"/>
        <v>1.2065909716557594E-2</v>
      </c>
      <c r="Q3778" s="4">
        <f t="shared" si="237"/>
        <v>-1.7752120254209442E-3</v>
      </c>
      <c r="R3778" s="4">
        <f t="shared" si="237"/>
        <v>-3.4678983549366392E-3</v>
      </c>
      <c r="S3778" s="4">
        <f t="shared" si="237"/>
        <v>1.203145522844707E-2</v>
      </c>
      <c r="T3778" s="4">
        <f t="shared" si="237"/>
        <v>1.2889900970352627E-2</v>
      </c>
      <c r="U3778" s="35"/>
      <c r="V3778" s="35"/>
      <c r="W3778" s="35"/>
      <c r="X3778" s="35"/>
    </row>
    <row r="3779" spans="4:24" x14ac:dyDescent="0.3">
      <c r="D3779" s="23">
        <v>45064</v>
      </c>
      <c r="E3779" s="5">
        <v>413.24575800000002</v>
      </c>
      <c r="F3779" s="28">
        <v>70.461150000000004</v>
      </c>
      <c r="G3779" s="28">
        <v>181.84</v>
      </c>
      <c r="H3779" s="28">
        <v>335.03129999999999</v>
      </c>
      <c r="I3779" s="28">
        <v>205.0378</v>
      </c>
      <c r="J3779" s="29"/>
      <c r="K3779" s="29"/>
      <c r="L3779" s="29"/>
      <c r="M3779" s="29"/>
      <c r="N3779" s="29"/>
      <c r="P3779" s="4">
        <f t="shared" si="237"/>
        <v>9.5871837301020127E-3</v>
      </c>
      <c r="Q3779" s="4">
        <f t="shared" si="237"/>
        <v>-4.108568774566672E-3</v>
      </c>
      <c r="R3779" s="4">
        <f t="shared" si="237"/>
        <v>-1.3057797465129669E-2</v>
      </c>
      <c r="S3779" s="4">
        <f t="shared" si="237"/>
        <v>1.840301568280496E-2</v>
      </c>
      <c r="T3779" s="4">
        <f t="shared" si="237"/>
        <v>9.895274228312826E-3</v>
      </c>
      <c r="U3779" s="35"/>
      <c r="V3779" s="35"/>
      <c r="W3779" s="35"/>
      <c r="X3779" s="35"/>
    </row>
    <row r="3780" spans="4:24" x14ac:dyDescent="0.3">
      <c r="D3780" s="23">
        <v>45065</v>
      </c>
      <c r="E3780" s="5">
        <v>412.64443999999997</v>
      </c>
      <c r="F3780" s="28">
        <v>70.267750000000007</v>
      </c>
      <c r="G3780" s="28">
        <v>183.64</v>
      </c>
      <c r="H3780" s="28">
        <v>334.27629999999999</v>
      </c>
      <c r="I3780" s="28">
        <v>204.5454</v>
      </c>
      <c r="J3780" s="29"/>
      <c r="K3780" s="29"/>
      <c r="L3780" s="29"/>
      <c r="M3780" s="29"/>
      <c r="N3780" s="29"/>
      <c r="P3780" s="4">
        <f t="shared" si="237"/>
        <v>-1.4561696160351469E-3</v>
      </c>
      <c r="Q3780" s="4">
        <f t="shared" si="237"/>
        <v>-2.7485487594042643E-3</v>
      </c>
      <c r="R3780" s="4">
        <f t="shared" si="237"/>
        <v>9.8501398367333744E-3</v>
      </c>
      <c r="S3780" s="4">
        <f t="shared" si="237"/>
        <v>-2.256063789607958E-3</v>
      </c>
      <c r="T3780" s="4">
        <f t="shared" si="237"/>
        <v>-2.4043966511259922E-3</v>
      </c>
      <c r="U3780" s="35"/>
      <c r="V3780" s="35"/>
      <c r="W3780" s="35"/>
      <c r="X3780" s="35"/>
    </row>
    <row r="3781" spans="4:24" x14ac:dyDescent="0.3">
      <c r="D3781" s="23">
        <v>45068</v>
      </c>
      <c r="E3781" s="5">
        <v>412.81204200000002</v>
      </c>
      <c r="F3781" s="28">
        <v>70.248429999999999</v>
      </c>
      <c r="G3781" s="28">
        <v>183.21</v>
      </c>
      <c r="H3781" s="28">
        <v>335.39879999999999</v>
      </c>
      <c r="I3781" s="28">
        <v>204.8999</v>
      </c>
      <c r="J3781" s="29"/>
      <c r="K3781" s="29"/>
      <c r="L3781" s="29"/>
      <c r="M3781" s="29"/>
      <c r="N3781" s="29"/>
      <c r="P3781" s="4">
        <f t="shared" ref="P3781:T3796" si="238">LN(E3781/E3780)</f>
        <v>4.0608319386411558E-4</v>
      </c>
      <c r="Q3781" s="4">
        <f t="shared" si="238"/>
        <v>-2.7498612788582835E-4</v>
      </c>
      <c r="R3781" s="4">
        <f t="shared" si="238"/>
        <v>-2.3442834778680849E-3</v>
      </c>
      <c r="S3781" s="4">
        <f t="shared" si="238"/>
        <v>3.3523750584730006E-3</v>
      </c>
      <c r="T3781" s="4">
        <f t="shared" si="238"/>
        <v>1.7316114683941111E-3</v>
      </c>
      <c r="U3781" s="35"/>
      <c r="V3781" s="35"/>
      <c r="W3781" s="35"/>
      <c r="X3781" s="35"/>
    </row>
    <row r="3782" spans="4:24" x14ac:dyDescent="0.3">
      <c r="D3782" s="23">
        <v>45069</v>
      </c>
      <c r="E3782" s="5">
        <v>408.17910799999999</v>
      </c>
      <c r="F3782" s="28">
        <v>70.296769999999995</v>
      </c>
      <c r="G3782" s="28">
        <v>183.43</v>
      </c>
      <c r="H3782" s="28">
        <v>331.1472</v>
      </c>
      <c r="I3782" s="28">
        <v>202.73320000000001</v>
      </c>
      <c r="J3782" s="29"/>
      <c r="K3782" s="29"/>
      <c r="L3782" s="29"/>
      <c r="M3782" s="29"/>
      <c r="N3782" s="29"/>
      <c r="P3782" s="4">
        <f t="shared" si="238"/>
        <v>-1.1286316981266382E-2</v>
      </c>
      <c r="Q3782" s="4">
        <f t="shared" si="238"/>
        <v>6.878926054563288E-4</v>
      </c>
      <c r="R3782" s="4">
        <f t="shared" si="238"/>
        <v>1.2000874231062157E-3</v>
      </c>
      <c r="S3782" s="4">
        <f t="shared" si="238"/>
        <v>-1.2757282052692345E-2</v>
      </c>
      <c r="T3782" s="4">
        <f t="shared" si="238"/>
        <v>-1.0630738305244108E-2</v>
      </c>
      <c r="U3782" s="35"/>
      <c r="V3782" s="35"/>
      <c r="W3782" s="35"/>
      <c r="X3782" s="35"/>
    </row>
    <row r="3783" spans="4:24" x14ac:dyDescent="0.3">
      <c r="D3783" s="23">
        <v>45070</v>
      </c>
      <c r="E3783" s="5">
        <v>405.22195399999998</v>
      </c>
      <c r="F3783" s="28">
        <v>70.103390000000005</v>
      </c>
      <c r="G3783" s="28">
        <v>181.95</v>
      </c>
      <c r="H3783" s="28">
        <v>329.44850000000002</v>
      </c>
      <c r="I3783" s="28">
        <v>201.16730000000001</v>
      </c>
      <c r="J3783" s="29"/>
      <c r="K3783" s="29"/>
      <c r="L3783" s="29"/>
      <c r="M3783" s="29"/>
      <c r="N3783" s="29"/>
      <c r="P3783" s="4">
        <f t="shared" si="238"/>
        <v>-7.2711167138944264E-3</v>
      </c>
      <c r="Q3783" s="4">
        <f t="shared" si="238"/>
        <v>-2.7546994574158155E-3</v>
      </c>
      <c r="R3783" s="4">
        <f t="shared" si="238"/>
        <v>-8.1011992680905913E-3</v>
      </c>
      <c r="S3783" s="4">
        <f t="shared" si="238"/>
        <v>-5.142945205970916E-3</v>
      </c>
      <c r="T3783" s="4">
        <f t="shared" si="238"/>
        <v>-7.7539287304483288E-3</v>
      </c>
      <c r="U3783" s="35"/>
      <c r="V3783" s="35"/>
      <c r="W3783" s="35"/>
      <c r="X3783" s="35"/>
    </row>
    <row r="3784" spans="4:24" x14ac:dyDescent="0.3">
      <c r="D3784" s="23">
        <v>45071</v>
      </c>
      <c r="E3784" s="5">
        <v>408.73107900000002</v>
      </c>
      <c r="F3784" s="28">
        <v>69.842320000000001</v>
      </c>
      <c r="G3784" s="28">
        <v>180.2</v>
      </c>
      <c r="H3784" s="28">
        <v>337.46499999999997</v>
      </c>
      <c r="I3784" s="28">
        <v>202.53630000000001</v>
      </c>
      <c r="J3784" s="29"/>
      <c r="K3784" s="29"/>
      <c r="L3784" s="29"/>
      <c r="M3784" s="29"/>
      <c r="N3784" s="29"/>
      <c r="P3784" s="4">
        <f t="shared" si="238"/>
        <v>8.6224796734556564E-3</v>
      </c>
      <c r="Q3784" s="4">
        <f t="shared" si="238"/>
        <v>-3.7310225922989318E-3</v>
      </c>
      <c r="R3784" s="4">
        <f t="shared" si="238"/>
        <v>-9.6645788839313049E-3</v>
      </c>
      <c r="S3784" s="4">
        <f t="shared" si="238"/>
        <v>2.404175692476631E-2</v>
      </c>
      <c r="T3784" s="4">
        <f t="shared" si="238"/>
        <v>6.7822295747372576E-3</v>
      </c>
      <c r="U3784" s="35"/>
      <c r="V3784" s="35"/>
      <c r="W3784" s="35"/>
      <c r="X3784" s="35"/>
    </row>
    <row r="3785" spans="4:24" x14ac:dyDescent="0.3">
      <c r="D3785" s="23">
        <v>45072</v>
      </c>
      <c r="E3785" s="5">
        <v>414.02444500000001</v>
      </c>
      <c r="F3785" s="28">
        <v>69.929339999999996</v>
      </c>
      <c r="G3785" s="28">
        <v>180.92</v>
      </c>
      <c r="H3785" s="28">
        <v>346.08730000000003</v>
      </c>
      <c r="I3785" s="28">
        <v>205.20519999999999</v>
      </c>
      <c r="J3785" s="29"/>
      <c r="K3785" s="29"/>
      <c r="L3785" s="29"/>
      <c r="M3785" s="29"/>
      <c r="N3785" s="29"/>
      <c r="P3785" s="4">
        <f t="shared" si="238"/>
        <v>1.2867586744098519E-2</v>
      </c>
      <c r="Q3785" s="4">
        <f t="shared" si="238"/>
        <v>1.2451738963879008E-3</v>
      </c>
      <c r="R3785" s="4">
        <f t="shared" si="238"/>
        <v>3.9875994354049565E-3</v>
      </c>
      <c r="S3785" s="4">
        <f t="shared" si="238"/>
        <v>2.5229254139818278E-2</v>
      </c>
      <c r="T3785" s="4">
        <f t="shared" si="238"/>
        <v>1.3091324365305749E-2</v>
      </c>
      <c r="U3785" s="35"/>
      <c r="V3785" s="35"/>
      <c r="W3785" s="35"/>
      <c r="X3785" s="35"/>
    </row>
    <row r="3786" spans="4:24" x14ac:dyDescent="0.3">
      <c r="D3786" s="23">
        <v>45076</v>
      </c>
      <c r="E3786" s="5">
        <v>414.18218999999999</v>
      </c>
      <c r="F3786" s="28">
        <v>70.39349</v>
      </c>
      <c r="G3786" s="28">
        <v>182.04</v>
      </c>
      <c r="H3786" s="28">
        <v>347.65690000000001</v>
      </c>
      <c r="I3786" s="28">
        <v>205.27420000000001</v>
      </c>
      <c r="J3786" s="29"/>
      <c r="K3786" s="29"/>
      <c r="L3786" s="29"/>
      <c r="M3786" s="29"/>
      <c r="N3786" s="29"/>
      <c r="P3786" s="4">
        <f t="shared" si="238"/>
        <v>3.8093150970113844E-4</v>
      </c>
      <c r="Q3786" s="4">
        <f t="shared" si="238"/>
        <v>6.6154836355274017E-3</v>
      </c>
      <c r="R3786" s="4">
        <f t="shared" si="238"/>
        <v>6.1714985387988511E-3</v>
      </c>
      <c r="S3786" s="4">
        <f t="shared" si="238"/>
        <v>4.5250185247898813E-3</v>
      </c>
      <c r="T3786" s="4">
        <f t="shared" si="238"/>
        <v>3.3619227006226473E-4</v>
      </c>
      <c r="U3786" s="35"/>
      <c r="V3786" s="35"/>
      <c r="W3786" s="35"/>
      <c r="X3786" s="35"/>
    </row>
    <row r="3787" spans="4:24" x14ac:dyDescent="0.3">
      <c r="D3787" s="23">
        <v>45077</v>
      </c>
      <c r="E3787" s="5">
        <v>411.88543700000002</v>
      </c>
      <c r="F3787" s="28">
        <v>70.625529999999998</v>
      </c>
      <c r="G3787" s="28">
        <v>182.32</v>
      </c>
      <c r="H3787" s="28">
        <v>345.68009999999998</v>
      </c>
      <c r="I3787" s="28">
        <v>204.04310000000001</v>
      </c>
      <c r="J3787" s="29"/>
      <c r="K3787" s="29"/>
      <c r="L3787" s="29"/>
      <c r="M3787" s="29"/>
      <c r="N3787" s="29"/>
      <c r="P3787" s="4">
        <f t="shared" si="238"/>
        <v>-5.560704337438039E-3</v>
      </c>
      <c r="Q3787" s="4">
        <f t="shared" si="238"/>
        <v>3.2909065658992174E-3</v>
      </c>
      <c r="R3787" s="4">
        <f t="shared" si="238"/>
        <v>1.5369417889876387E-3</v>
      </c>
      <c r="S3787" s="4">
        <f t="shared" si="238"/>
        <v>-5.7022929873643512E-3</v>
      </c>
      <c r="T3787" s="4">
        <f t="shared" si="238"/>
        <v>-6.0154003374958938E-3</v>
      </c>
      <c r="U3787" s="35"/>
      <c r="V3787" s="35"/>
      <c r="W3787" s="35"/>
      <c r="X3787" s="35"/>
    </row>
    <row r="3788" spans="4:24" x14ac:dyDescent="0.3">
      <c r="D3788" s="23">
        <v>45078</v>
      </c>
      <c r="E3788" s="5">
        <v>415.798767</v>
      </c>
      <c r="F3788" s="28">
        <v>70.816519999999997</v>
      </c>
      <c r="G3788" s="28">
        <v>183.76</v>
      </c>
      <c r="H3788" s="28">
        <v>349.67340000000002</v>
      </c>
      <c r="I3788" s="28">
        <v>206.08179999999999</v>
      </c>
      <c r="J3788" s="29"/>
      <c r="K3788" s="29"/>
      <c r="L3788" s="29"/>
      <c r="M3788" s="29"/>
      <c r="N3788" s="29"/>
      <c r="P3788" s="4">
        <f t="shared" si="238"/>
        <v>9.4561649033933753E-3</v>
      </c>
      <c r="Q3788" s="4">
        <f t="shared" si="238"/>
        <v>2.7006129517932157E-3</v>
      </c>
      <c r="R3788" s="4">
        <f t="shared" si="238"/>
        <v>7.867173443413986E-3</v>
      </c>
      <c r="S3788" s="4">
        <f t="shared" si="238"/>
        <v>1.1485795068960875E-2</v>
      </c>
      <c r="T3788" s="4">
        <f t="shared" si="238"/>
        <v>9.9419313111888848E-3</v>
      </c>
      <c r="U3788" s="35"/>
      <c r="V3788" s="35"/>
      <c r="W3788" s="35"/>
      <c r="X3788" s="35"/>
    </row>
    <row r="3789" spans="4:24" x14ac:dyDescent="0.3">
      <c r="D3789" s="23">
        <v>45079</v>
      </c>
      <c r="E3789" s="5">
        <v>421.81170700000001</v>
      </c>
      <c r="F3789" s="28">
        <v>70.419060000000002</v>
      </c>
      <c r="G3789" s="28">
        <v>181.05</v>
      </c>
      <c r="H3789" s="28">
        <v>352.29590000000002</v>
      </c>
      <c r="I3789" s="28">
        <v>209.48939999999999</v>
      </c>
      <c r="J3789" s="29"/>
      <c r="K3789" s="29"/>
      <c r="L3789" s="29"/>
      <c r="M3789" s="29"/>
      <c r="N3789" s="29"/>
      <c r="P3789" s="4">
        <f t="shared" si="238"/>
        <v>1.4357612468088032E-2</v>
      </c>
      <c r="Q3789" s="4">
        <f t="shared" si="238"/>
        <v>-5.6283416577495929E-3</v>
      </c>
      <c r="R3789" s="4">
        <f t="shared" si="238"/>
        <v>-1.4857322169192451E-2</v>
      </c>
      <c r="S3789" s="4">
        <f t="shared" si="238"/>
        <v>7.471871493301847E-3</v>
      </c>
      <c r="T3789" s="4">
        <f t="shared" si="238"/>
        <v>1.6399964073533949E-2</v>
      </c>
      <c r="U3789" s="35"/>
      <c r="V3789" s="35"/>
      <c r="W3789" s="35"/>
      <c r="X3789" s="35"/>
    </row>
    <row r="3790" spans="4:24" x14ac:dyDescent="0.3">
      <c r="D3790" s="23">
        <v>45082</v>
      </c>
      <c r="E3790" s="5">
        <v>421.00341800000001</v>
      </c>
      <c r="F3790" s="28">
        <v>70.428730000000002</v>
      </c>
      <c r="G3790" s="28">
        <v>182.14</v>
      </c>
      <c r="H3790" s="28">
        <v>352.54430000000002</v>
      </c>
      <c r="I3790" s="28">
        <v>208.93790000000001</v>
      </c>
      <c r="J3790" s="29"/>
      <c r="K3790" s="29"/>
      <c r="L3790" s="29"/>
      <c r="M3790" s="29"/>
      <c r="N3790" s="29"/>
      <c r="P3790" s="4">
        <f t="shared" si="238"/>
        <v>-1.9180701053684666E-3</v>
      </c>
      <c r="Q3790" s="4">
        <f t="shared" si="238"/>
        <v>1.3731134887086738E-4</v>
      </c>
      <c r="R3790" s="4">
        <f t="shared" si="238"/>
        <v>6.0023859280222448E-3</v>
      </c>
      <c r="S3790" s="4">
        <f t="shared" si="238"/>
        <v>7.0484064411705828E-4</v>
      </c>
      <c r="T3790" s="4">
        <f t="shared" si="238"/>
        <v>-2.6360627968416797E-3</v>
      </c>
      <c r="U3790" s="35"/>
      <c r="V3790" s="35"/>
      <c r="W3790" s="35"/>
      <c r="X3790" s="35"/>
    </row>
    <row r="3791" spans="4:24" x14ac:dyDescent="0.3">
      <c r="D3791" s="23">
        <v>45083</v>
      </c>
      <c r="E3791" s="5">
        <v>421.92010499999998</v>
      </c>
      <c r="F3791" s="28">
        <v>70.525689999999997</v>
      </c>
      <c r="G3791" s="28">
        <v>182.34</v>
      </c>
      <c r="H3791" s="28">
        <v>352.4846</v>
      </c>
      <c r="I3791" s="28">
        <v>209.89320000000001</v>
      </c>
      <c r="J3791" s="29"/>
      <c r="K3791" s="29"/>
      <c r="L3791" s="29"/>
      <c r="M3791" s="29"/>
      <c r="N3791" s="29"/>
      <c r="P3791" s="4">
        <f t="shared" si="238"/>
        <v>2.1750190530191549E-3</v>
      </c>
      <c r="Q3791" s="4">
        <f t="shared" si="238"/>
        <v>1.3757640986813834E-3</v>
      </c>
      <c r="R3791" s="4">
        <f t="shared" si="238"/>
        <v>1.0974540170842428E-3</v>
      </c>
      <c r="S3791" s="4">
        <f t="shared" si="238"/>
        <v>-1.6935476018844564E-4</v>
      </c>
      <c r="T3791" s="4">
        <f t="shared" si="238"/>
        <v>4.5617512959996434E-3</v>
      </c>
      <c r="U3791" s="35"/>
      <c r="V3791" s="35"/>
      <c r="W3791" s="35"/>
      <c r="X3791" s="35"/>
    </row>
    <row r="3792" spans="4:24" x14ac:dyDescent="0.3">
      <c r="D3792" s="23">
        <v>45084</v>
      </c>
      <c r="E3792" s="5">
        <v>420.46121199999999</v>
      </c>
      <c r="F3792" s="28">
        <v>70.128209999999996</v>
      </c>
      <c r="G3792" s="28">
        <v>180.15</v>
      </c>
      <c r="H3792" s="28">
        <v>346.50459999999998</v>
      </c>
      <c r="I3792" s="28">
        <v>209.4795</v>
      </c>
      <c r="J3792" s="29"/>
      <c r="K3792" s="29"/>
      <c r="L3792" s="29"/>
      <c r="M3792" s="29"/>
      <c r="N3792" s="29"/>
      <c r="P3792" s="4">
        <f t="shared" si="238"/>
        <v>-3.4637388772647778E-3</v>
      </c>
      <c r="Q3792" s="4">
        <f t="shared" si="238"/>
        <v>-5.6519024085535082E-3</v>
      </c>
      <c r="R3792" s="4">
        <f t="shared" si="238"/>
        <v>-1.2083238962654489E-2</v>
      </c>
      <c r="S3792" s="4">
        <f t="shared" si="238"/>
        <v>-1.711083919960164E-2</v>
      </c>
      <c r="T3792" s="4">
        <f t="shared" si="238"/>
        <v>-1.9729473768544327E-3</v>
      </c>
      <c r="U3792" s="35"/>
      <c r="V3792" s="35"/>
      <c r="W3792" s="35"/>
      <c r="X3792" s="35"/>
    </row>
    <row r="3793" spans="4:24" x14ac:dyDescent="0.3">
      <c r="D3793" s="23">
        <v>45085</v>
      </c>
      <c r="E3793" s="5">
        <v>423.00442500000003</v>
      </c>
      <c r="F3793" s="28">
        <v>70.477199999999996</v>
      </c>
      <c r="G3793" s="28">
        <v>182.53</v>
      </c>
      <c r="H3793" s="28">
        <v>350.80579999999998</v>
      </c>
      <c r="I3793" s="28">
        <v>210.46440000000001</v>
      </c>
      <c r="J3793" s="29"/>
      <c r="K3793" s="29"/>
      <c r="L3793" s="29"/>
      <c r="M3793" s="29"/>
      <c r="N3793" s="29"/>
      <c r="P3793" s="4">
        <f t="shared" si="238"/>
        <v>6.0304073944457528E-3</v>
      </c>
      <c r="Q3793" s="4">
        <f t="shared" si="238"/>
        <v>4.9641150602016629E-3</v>
      </c>
      <c r="R3793" s="4">
        <f t="shared" si="238"/>
        <v>1.3124705880590469E-2</v>
      </c>
      <c r="S3793" s="4">
        <f t="shared" si="238"/>
        <v>1.2336699843635746E-2</v>
      </c>
      <c r="T3793" s="4">
        <f t="shared" si="238"/>
        <v>4.6906351339703212E-3</v>
      </c>
      <c r="U3793" s="35"/>
      <c r="V3793" s="35"/>
      <c r="W3793" s="35"/>
      <c r="X3793" s="35"/>
    </row>
    <row r="3794" spans="4:24" x14ac:dyDescent="0.3">
      <c r="D3794" s="23">
        <v>45086</v>
      </c>
      <c r="E3794" s="5">
        <v>423.763397</v>
      </c>
      <c r="F3794" s="28">
        <v>70.331800000000001</v>
      </c>
      <c r="G3794" s="28">
        <v>182.04</v>
      </c>
      <c r="H3794" s="28">
        <v>352.14690000000002</v>
      </c>
      <c r="I3794" s="28">
        <v>210.6909</v>
      </c>
      <c r="J3794" s="29"/>
      <c r="K3794" s="29"/>
      <c r="L3794" s="29"/>
      <c r="M3794" s="29"/>
      <c r="N3794" s="29"/>
      <c r="P3794" s="4">
        <f t="shared" si="238"/>
        <v>1.792633549668827E-3</v>
      </c>
      <c r="Q3794" s="4">
        <f t="shared" si="238"/>
        <v>-2.0652096340244759E-3</v>
      </c>
      <c r="R3794" s="4">
        <f t="shared" si="238"/>
        <v>-2.6880999262516698E-3</v>
      </c>
      <c r="S3794" s="4">
        <f t="shared" si="238"/>
        <v>3.8156240870482385E-3</v>
      </c>
      <c r="T3794" s="4">
        <f t="shared" si="238"/>
        <v>1.0756128289839836E-3</v>
      </c>
      <c r="U3794" s="35"/>
      <c r="V3794" s="35"/>
      <c r="W3794" s="35"/>
      <c r="X3794" s="35"/>
    </row>
    <row r="3795" spans="4:24" x14ac:dyDescent="0.3">
      <c r="D3795" s="23">
        <v>45089</v>
      </c>
      <c r="E3795" s="5">
        <v>427.60775799999999</v>
      </c>
      <c r="F3795" s="28">
        <v>70.477199999999996</v>
      </c>
      <c r="G3795" s="28">
        <v>181.88</v>
      </c>
      <c r="H3795" s="28">
        <v>358.09710000000001</v>
      </c>
      <c r="I3795" s="28">
        <v>212.58179999999999</v>
      </c>
      <c r="J3795" s="29"/>
      <c r="K3795" s="29"/>
      <c r="L3795" s="29"/>
      <c r="M3795" s="29"/>
      <c r="N3795" s="29"/>
      <c r="P3795" s="4">
        <f t="shared" si="238"/>
        <v>9.0310485765822627E-3</v>
      </c>
      <c r="Q3795" s="4">
        <f t="shared" si="238"/>
        <v>2.0652096340245014E-3</v>
      </c>
      <c r="R3795" s="4">
        <f t="shared" si="238"/>
        <v>-8.7931419163135441E-4</v>
      </c>
      <c r="S3795" s="4">
        <f t="shared" si="238"/>
        <v>1.6755760589233108E-2</v>
      </c>
      <c r="T3795" s="4">
        <f t="shared" si="238"/>
        <v>8.9347249614103348E-3</v>
      </c>
      <c r="U3795" s="35"/>
      <c r="V3795" s="35"/>
      <c r="W3795" s="35"/>
      <c r="X3795" s="35"/>
    </row>
    <row r="3796" spans="4:24" x14ac:dyDescent="0.3">
      <c r="D3796" s="23">
        <v>45090</v>
      </c>
      <c r="E3796" s="5">
        <v>430.426941</v>
      </c>
      <c r="F3796" s="28">
        <v>70.167010000000005</v>
      </c>
      <c r="G3796" s="28">
        <v>180.54</v>
      </c>
      <c r="H3796" s="28">
        <v>360.84870000000001</v>
      </c>
      <c r="I3796" s="28">
        <v>214.14779999999999</v>
      </c>
      <c r="J3796" s="29"/>
      <c r="K3796" s="29"/>
      <c r="L3796" s="29"/>
      <c r="M3796" s="29"/>
      <c r="N3796" s="29"/>
      <c r="P3796" s="4">
        <f t="shared" si="238"/>
        <v>6.5712800380751035E-3</v>
      </c>
      <c r="Q3796" s="4">
        <f t="shared" si="238"/>
        <v>-4.4109957024756966E-3</v>
      </c>
      <c r="R3796" s="4">
        <f t="shared" si="238"/>
        <v>-7.3947690868009655E-3</v>
      </c>
      <c r="S3796" s="4">
        <f t="shared" si="238"/>
        <v>7.6545782318019253E-3</v>
      </c>
      <c r="T3796" s="4">
        <f t="shared" si="238"/>
        <v>7.3395753655056527E-3</v>
      </c>
      <c r="U3796" s="35"/>
      <c r="V3796" s="35"/>
      <c r="W3796" s="35"/>
      <c r="X3796" s="35"/>
    </row>
    <row r="3797" spans="4:24" x14ac:dyDescent="0.3">
      <c r="D3797" s="23">
        <v>45091</v>
      </c>
      <c r="E3797" s="5">
        <v>430.93951399999997</v>
      </c>
      <c r="F3797" s="28">
        <v>70.225170000000006</v>
      </c>
      <c r="G3797" s="28">
        <v>180.64</v>
      </c>
      <c r="H3797" s="28">
        <v>363.47120000000001</v>
      </c>
      <c r="I3797" s="28">
        <v>214.14779999999999</v>
      </c>
      <c r="J3797" s="29"/>
      <c r="K3797" s="29"/>
      <c r="L3797" s="29"/>
      <c r="M3797" s="29"/>
      <c r="N3797" s="29"/>
      <c r="P3797" s="4">
        <f t="shared" ref="P3797:T3812" si="239">LN(E3797/E3796)</f>
        <v>1.1901393594484636E-3</v>
      </c>
      <c r="Q3797" s="4">
        <f t="shared" si="239"/>
        <v>8.2853622370000865E-4</v>
      </c>
      <c r="R3797" s="4">
        <f t="shared" si="239"/>
        <v>5.5374053134306378E-4</v>
      </c>
      <c r="S3797" s="4">
        <f t="shared" si="239"/>
        <v>7.2413072167606448E-3</v>
      </c>
      <c r="T3797" s="4">
        <f t="shared" si="239"/>
        <v>0</v>
      </c>
      <c r="U3797" s="35"/>
      <c r="V3797" s="35"/>
      <c r="W3797" s="35"/>
      <c r="X3797" s="35"/>
    </row>
    <row r="3798" spans="4:24" x14ac:dyDescent="0.3">
      <c r="D3798" s="23">
        <v>45092</v>
      </c>
      <c r="E3798" s="5">
        <v>436.28213499999998</v>
      </c>
      <c r="F3798" s="28">
        <v>70.6614</v>
      </c>
      <c r="G3798" s="28">
        <v>181.91</v>
      </c>
      <c r="H3798" s="28">
        <v>367.8023</v>
      </c>
      <c r="I3798" s="28">
        <v>216.7576</v>
      </c>
      <c r="J3798" s="29"/>
      <c r="K3798" s="29"/>
      <c r="L3798" s="29"/>
      <c r="M3798" s="29"/>
      <c r="N3798" s="29"/>
      <c r="P3798" s="4">
        <f t="shared" si="239"/>
        <v>1.2321391186605904E-2</v>
      </c>
      <c r="Q3798" s="4">
        <f t="shared" si="239"/>
        <v>6.1926611469498459E-3</v>
      </c>
      <c r="R3798" s="4">
        <f t="shared" si="239"/>
        <v>7.0059588727728953E-3</v>
      </c>
      <c r="S3798" s="4">
        <f t="shared" si="239"/>
        <v>1.1845501425661521E-2</v>
      </c>
      <c r="T3798" s="4">
        <f t="shared" si="239"/>
        <v>1.2113247647481975E-2</v>
      </c>
      <c r="U3798" s="35"/>
      <c r="V3798" s="35"/>
      <c r="W3798" s="35"/>
      <c r="X3798" s="35"/>
    </row>
    <row r="3799" spans="4:24" x14ac:dyDescent="0.3">
      <c r="D3799" s="23">
        <v>45093</v>
      </c>
      <c r="E3799" s="5">
        <v>434.79608200000001</v>
      </c>
      <c r="F3799" s="28">
        <v>70.506290000000007</v>
      </c>
      <c r="G3799" s="28">
        <v>181.63</v>
      </c>
      <c r="H3799" s="28">
        <v>365.48770000000002</v>
      </c>
      <c r="I3799" s="28">
        <v>215.9402</v>
      </c>
      <c r="J3799" s="29"/>
      <c r="K3799" s="29"/>
      <c r="L3799" s="29"/>
      <c r="M3799" s="29"/>
      <c r="N3799" s="29"/>
      <c r="P3799" s="4">
        <f t="shared" si="239"/>
        <v>-3.4119885279541374E-3</v>
      </c>
      <c r="Q3799" s="4">
        <f t="shared" si="239"/>
        <v>-2.1975292281198352E-3</v>
      </c>
      <c r="R3799" s="4">
        <f t="shared" si="239"/>
        <v>-1.5404085127726859E-3</v>
      </c>
      <c r="S3799" s="4">
        <f t="shared" si="239"/>
        <v>-6.3129394564601371E-3</v>
      </c>
      <c r="T3799" s="4">
        <f t="shared" si="239"/>
        <v>-3.7781609813183387E-3</v>
      </c>
      <c r="U3799" s="35"/>
      <c r="V3799" s="35"/>
      <c r="W3799" s="35"/>
      <c r="X3799" s="35"/>
    </row>
    <row r="3800" spans="4:24" x14ac:dyDescent="0.3">
      <c r="D3800" s="23">
        <v>45097</v>
      </c>
      <c r="E3800" s="5">
        <v>432.54025300000001</v>
      </c>
      <c r="F3800" s="28">
        <v>70.603250000000003</v>
      </c>
      <c r="G3800" s="28">
        <v>179.75</v>
      </c>
      <c r="H3800" s="28">
        <v>364.96449999999999</v>
      </c>
      <c r="I3800" s="28">
        <v>214.8766</v>
      </c>
      <c r="J3800" s="29"/>
      <c r="K3800" s="29"/>
      <c r="L3800" s="29"/>
      <c r="M3800" s="29"/>
      <c r="N3800" s="29"/>
      <c r="P3800" s="4">
        <f t="shared" si="239"/>
        <v>-5.2017516055232619E-3</v>
      </c>
      <c r="Q3800" s="4">
        <f t="shared" si="239"/>
        <v>1.3742517374746544E-3</v>
      </c>
      <c r="R3800" s="4">
        <f t="shared" si="239"/>
        <v>-1.0404654160196029E-2</v>
      </c>
      <c r="S3800" s="4">
        <f t="shared" si="239"/>
        <v>-1.4325375143626052E-3</v>
      </c>
      <c r="T3800" s="4">
        <f t="shared" si="239"/>
        <v>-4.9376076368287478E-3</v>
      </c>
      <c r="U3800" s="35"/>
      <c r="V3800" s="35"/>
      <c r="W3800" s="35"/>
      <c r="X3800" s="35"/>
    </row>
    <row r="3801" spans="4:24" x14ac:dyDescent="0.3">
      <c r="D3801" s="23">
        <v>45098</v>
      </c>
      <c r="E3801" s="5">
        <v>430.32406600000002</v>
      </c>
      <c r="F3801" s="28">
        <v>70.719579999999993</v>
      </c>
      <c r="G3801" s="28">
        <v>179.49</v>
      </c>
      <c r="H3801" s="28">
        <v>359.99090000000001</v>
      </c>
      <c r="I3801" s="28">
        <v>213.69470000000001</v>
      </c>
      <c r="J3801" s="29"/>
      <c r="K3801" s="29"/>
      <c r="L3801" s="29"/>
      <c r="M3801" s="29"/>
      <c r="N3801" s="29"/>
      <c r="P3801" s="4">
        <f t="shared" si="239"/>
        <v>-5.1368258587237946E-3</v>
      </c>
      <c r="Q3801" s="4">
        <f t="shared" si="239"/>
        <v>1.6463019637264385E-3</v>
      </c>
      <c r="R3801" s="4">
        <f t="shared" si="239"/>
        <v>-1.4475005311058904E-3</v>
      </c>
      <c r="S3801" s="4">
        <f t="shared" si="239"/>
        <v>-1.3721335225542215E-2</v>
      </c>
      <c r="T3801" s="4">
        <f t="shared" si="239"/>
        <v>-5.5155489704564065E-3</v>
      </c>
      <c r="U3801" s="35"/>
      <c r="V3801" s="35"/>
      <c r="W3801" s="35"/>
      <c r="X3801" s="35"/>
    </row>
    <row r="3802" spans="4:24" x14ac:dyDescent="0.3">
      <c r="D3802" s="23">
        <v>45099</v>
      </c>
      <c r="E3802" s="5">
        <v>431.877411</v>
      </c>
      <c r="F3802" s="28">
        <v>70.380279999999999</v>
      </c>
      <c r="G3802" s="28">
        <v>177.71</v>
      </c>
      <c r="H3802" s="28">
        <v>364.23840000000001</v>
      </c>
      <c r="I3802" s="28">
        <v>214.26589999999999</v>
      </c>
      <c r="J3802" s="29"/>
      <c r="K3802" s="29"/>
      <c r="L3802" s="29"/>
      <c r="M3802" s="29"/>
      <c r="N3802" s="29"/>
      <c r="P3802" s="4">
        <f t="shared" si="239"/>
        <v>3.6032104375663065E-3</v>
      </c>
      <c r="Q3802" s="4">
        <f t="shared" si="239"/>
        <v>-4.8093691092446697E-3</v>
      </c>
      <c r="R3802" s="4">
        <f t="shared" si="239"/>
        <v>-9.9664878726551873E-3</v>
      </c>
      <c r="S3802" s="4">
        <f t="shared" si="239"/>
        <v>1.1729844955884659E-2</v>
      </c>
      <c r="T3802" s="4">
        <f t="shared" si="239"/>
        <v>2.6694061985362096E-3</v>
      </c>
      <c r="U3802" s="35"/>
      <c r="V3802" s="35"/>
      <c r="W3802" s="35"/>
      <c r="X3802" s="35"/>
    </row>
    <row r="3803" spans="4:24" x14ac:dyDescent="0.3">
      <c r="D3803" s="23">
        <v>45100</v>
      </c>
      <c r="E3803" s="5">
        <v>428.61239599999999</v>
      </c>
      <c r="F3803" s="28">
        <v>70.583849999999998</v>
      </c>
      <c r="G3803" s="28">
        <v>178.2</v>
      </c>
      <c r="H3803" s="28">
        <v>360.6275</v>
      </c>
      <c r="I3803" s="28">
        <v>212.49340000000001</v>
      </c>
      <c r="J3803" s="29"/>
      <c r="K3803" s="29"/>
      <c r="L3803" s="29"/>
      <c r="M3803" s="29"/>
      <c r="N3803" s="29"/>
      <c r="P3803" s="4">
        <f t="shared" si="239"/>
        <v>-7.5887724471120528E-3</v>
      </c>
      <c r="Q3803" s="4">
        <f t="shared" si="239"/>
        <v>2.8882545015572552E-3</v>
      </c>
      <c r="R3803" s="4">
        <f t="shared" si="239"/>
        <v>2.7535068393138799E-3</v>
      </c>
      <c r="S3803" s="4">
        <f t="shared" si="239"/>
        <v>-9.9630286614270178E-3</v>
      </c>
      <c r="T3803" s="4">
        <f t="shared" si="239"/>
        <v>-8.3068380344087384E-3</v>
      </c>
      <c r="U3803" s="35"/>
      <c r="V3803" s="35"/>
      <c r="W3803" s="35"/>
      <c r="X3803" s="35"/>
    </row>
    <row r="3804" spans="4:24" x14ac:dyDescent="0.3">
      <c r="D3804" s="23">
        <v>45103</v>
      </c>
      <c r="E3804" s="5">
        <v>426.86120599999998</v>
      </c>
      <c r="F3804" s="28">
        <v>70.671099999999996</v>
      </c>
      <c r="G3804" s="28">
        <v>178.51</v>
      </c>
      <c r="H3804" s="28">
        <v>355.79309999999998</v>
      </c>
      <c r="I3804" s="28">
        <v>211.75190000000001</v>
      </c>
      <c r="J3804" s="29"/>
      <c r="K3804" s="29"/>
      <c r="L3804" s="29"/>
      <c r="M3804" s="29"/>
      <c r="N3804" s="29"/>
      <c r="P3804" s="4">
        <f t="shared" si="239"/>
        <v>-4.0940887993785435E-3</v>
      </c>
      <c r="Q3804" s="4">
        <f t="shared" si="239"/>
        <v>1.2353550951104736E-3</v>
      </c>
      <c r="R3804" s="4">
        <f t="shared" si="239"/>
        <v>1.7381070227518024E-3</v>
      </c>
      <c r="S3804" s="4">
        <f t="shared" si="239"/>
        <v>-1.3496187521026756E-2</v>
      </c>
      <c r="T3804" s="4">
        <f t="shared" si="239"/>
        <v>-3.4956227213623621E-3</v>
      </c>
      <c r="U3804" s="35"/>
      <c r="V3804" s="35"/>
      <c r="W3804" s="35"/>
      <c r="X3804" s="35"/>
    </row>
    <row r="3805" spans="4:24" x14ac:dyDescent="0.3">
      <c r="D3805" s="23">
        <v>45104</v>
      </c>
      <c r="E3805" s="5">
        <v>431.54101600000001</v>
      </c>
      <c r="F3805" s="28">
        <v>70.535399999999996</v>
      </c>
      <c r="G3805" s="28">
        <v>177.69</v>
      </c>
      <c r="H3805" s="28">
        <v>361.91070000000002</v>
      </c>
      <c r="I3805" s="28">
        <v>214.3322</v>
      </c>
      <c r="J3805" s="29"/>
      <c r="K3805" s="29"/>
      <c r="L3805" s="29"/>
      <c r="M3805" s="29"/>
      <c r="N3805" s="29"/>
      <c r="P3805" s="4">
        <f t="shared" si="239"/>
        <v>1.0903644573550638E-2</v>
      </c>
      <c r="Q3805" s="4">
        <f t="shared" si="239"/>
        <v>-1.9220084312591976E-3</v>
      </c>
      <c r="R3805" s="4">
        <f t="shared" si="239"/>
        <v>-4.604163102477252E-3</v>
      </c>
      <c r="S3805" s="4">
        <f t="shared" si="239"/>
        <v>1.7048114184807953E-2</v>
      </c>
      <c r="T3805" s="4">
        <f t="shared" si="239"/>
        <v>1.211184150444386E-2</v>
      </c>
      <c r="U3805" s="35"/>
      <c r="V3805" s="35"/>
      <c r="W3805" s="35"/>
      <c r="X3805" s="35"/>
    </row>
    <row r="3806" spans="4:24" x14ac:dyDescent="0.3">
      <c r="D3806" s="23">
        <v>45105</v>
      </c>
      <c r="E3806" s="5">
        <v>431.75869799999998</v>
      </c>
      <c r="F3806" s="28">
        <v>70.758340000000004</v>
      </c>
      <c r="G3806" s="28">
        <v>177.28</v>
      </c>
      <c r="H3806" s="28">
        <v>362.61700000000002</v>
      </c>
      <c r="I3806" s="28">
        <v>214.51009999999999</v>
      </c>
      <c r="J3806" s="29"/>
      <c r="K3806" s="29"/>
      <c r="L3806" s="29"/>
      <c r="M3806" s="29"/>
      <c r="N3806" s="29"/>
      <c r="P3806" s="4">
        <f t="shared" si="239"/>
        <v>5.0430227436252053E-4</v>
      </c>
      <c r="Q3806" s="4">
        <f t="shared" si="239"/>
        <v>3.1556979808306626E-3</v>
      </c>
      <c r="R3806" s="4">
        <f t="shared" si="239"/>
        <v>-2.3100553980644886E-3</v>
      </c>
      <c r="S3806" s="4">
        <f t="shared" si="239"/>
        <v>1.9496845289321565E-3</v>
      </c>
      <c r="T3806" s="4">
        <f t="shared" si="239"/>
        <v>8.2967566494698917E-4</v>
      </c>
      <c r="U3806" s="35"/>
      <c r="V3806" s="35"/>
      <c r="W3806" s="35"/>
      <c r="X3806" s="35"/>
    </row>
    <row r="3807" spans="4:24" x14ac:dyDescent="0.3">
      <c r="D3807" s="23">
        <v>45106</v>
      </c>
      <c r="E3807" s="5">
        <v>433.46038800000002</v>
      </c>
      <c r="F3807" s="28">
        <v>70.225170000000006</v>
      </c>
      <c r="G3807" s="28">
        <v>177.09</v>
      </c>
      <c r="H3807" s="28">
        <v>361.89080000000001</v>
      </c>
      <c r="I3807" s="28">
        <v>215.53829999999999</v>
      </c>
      <c r="J3807" s="29"/>
      <c r="K3807" s="29"/>
      <c r="L3807" s="29"/>
      <c r="M3807" s="29"/>
      <c r="N3807" s="29"/>
      <c r="P3807" s="4">
        <f t="shared" si="239"/>
        <v>3.9335521411814874E-3</v>
      </c>
      <c r="Q3807" s="4">
        <f t="shared" si="239"/>
        <v>-7.5636156570255443E-3</v>
      </c>
      <c r="R3807" s="4">
        <f t="shared" si="239"/>
        <v>-1.0723256382113141E-3</v>
      </c>
      <c r="S3807" s="4">
        <f t="shared" si="239"/>
        <v>-2.0046719806161577E-3</v>
      </c>
      <c r="T3807" s="4">
        <f t="shared" si="239"/>
        <v>4.7817964638313341E-3</v>
      </c>
      <c r="U3807" s="35"/>
      <c r="V3807" s="35"/>
      <c r="W3807" s="35"/>
      <c r="X3807" s="35"/>
    </row>
    <row r="3808" spans="4:24" x14ac:dyDescent="0.3">
      <c r="D3808" s="23">
        <v>45107</v>
      </c>
      <c r="E3808" s="5">
        <v>438.57553100000001</v>
      </c>
      <c r="F3808" s="28">
        <v>70.467529999999996</v>
      </c>
      <c r="G3808" s="28">
        <v>178.27</v>
      </c>
      <c r="H3808" s="28">
        <v>367.47129999999999</v>
      </c>
      <c r="I3808" s="28">
        <v>217.77260000000001</v>
      </c>
      <c r="J3808" s="29"/>
      <c r="K3808" s="29"/>
      <c r="L3808" s="29"/>
      <c r="M3808" s="29"/>
      <c r="N3808" s="29"/>
      <c r="P3808" s="4">
        <f t="shared" si="239"/>
        <v>1.1731630671022137E-2</v>
      </c>
      <c r="Q3808" s="4">
        <f t="shared" si="239"/>
        <v>3.4452425709116372E-3</v>
      </c>
      <c r="R3808" s="4">
        <f t="shared" si="239"/>
        <v>6.6411770430625482E-3</v>
      </c>
      <c r="S3808" s="4">
        <f t="shared" si="239"/>
        <v>1.5302711505759832E-2</v>
      </c>
      <c r="T3808" s="4">
        <f t="shared" si="239"/>
        <v>1.0312779125030902E-2</v>
      </c>
      <c r="U3808" s="35"/>
      <c r="V3808" s="35"/>
      <c r="W3808" s="35"/>
      <c r="X3808" s="35"/>
    </row>
    <row r="3809" spans="4:24" x14ac:dyDescent="0.3">
      <c r="D3809" s="23">
        <v>45110</v>
      </c>
      <c r="E3809" s="5">
        <v>439.08013899999997</v>
      </c>
      <c r="F3809" s="28">
        <v>70.267300000000006</v>
      </c>
      <c r="G3809" s="28">
        <v>178.47</v>
      </c>
      <c r="H3809" s="28">
        <v>368.33659999999998</v>
      </c>
      <c r="I3809" s="28">
        <v>218.42500000000001</v>
      </c>
      <c r="J3809" s="29"/>
      <c r="K3809" s="29"/>
      <c r="L3809" s="29"/>
      <c r="M3809" s="29"/>
      <c r="N3809" s="29"/>
      <c r="P3809" s="4">
        <f t="shared" si="239"/>
        <v>1.1498998362358889E-3</v>
      </c>
      <c r="Q3809" s="4">
        <f t="shared" si="239"/>
        <v>-2.8454951073950659E-3</v>
      </c>
      <c r="R3809" s="4">
        <f t="shared" si="239"/>
        <v>1.121264904153845E-3</v>
      </c>
      <c r="S3809" s="4">
        <f t="shared" si="239"/>
        <v>2.3519736574923573E-3</v>
      </c>
      <c r="T3809" s="4">
        <f t="shared" si="239"/>
        <v>2.9913070886607458E-3</v>
      </c>
      <c r="U3809" s="35"/>
      <c r="V3809" s="35"/>
      <c r="W3809" s="35"/>
      <c r="X3809" s="35"/>
    </row>
    <row r="3810" spans="4:24" x14ac:dyDescent="0.3">
      <c r="D3810" s="23">
        <v>45112</v>
      </c>
      <c r="E3810" s="5">
        <v>438.42712399999999</v>
      </c>
      <c r="F3810" s="28">
        <v>69.975750000000005</v>
      </c>
      <c r="G3810" s="28">
        <v>177.84</v>
      </c>
      <c r="H3810" s="28">
        <v>368.32670000000002</v>
      </c>
      <c r="I3810" s="28">
        <v>217.7627</v>
      </c>
      <c r="J3810" s="29"/>
      <c r="K3810" s="29"/>
      <c r="L3810" s="29"/>
      <c r="M3810" s="29"/>
      <c r="N3810" s="29"/>
      <c r="P3810" s="4">
        <f t="shared" si="239"/>
        <v>-1.4883412322123099E-3</v>
      </c>
      <c r="Q3810" s="4">
        <f t="shared" si="239"/>
        <v>-4.1577877835200089E-3</v>
      </c>
      <c r="R3810" s="4">
        <f t="shared" si="239"/>
        <v>-3.5362502119827763E-3</v>
      </c>
      <c r="S3810" s="4">
        <f t="shared" si="239"/>
        <v>-2.6877950891669184E-5</v>
      </c>
      <c r="T3810" s="4">
        <f t="shared" si="239"/>
        <v>-3.0367683865244756E-3</v>
      </c>
      <c r="U3810" s="35"/>
      <c r="V3810" s="35"/>
      <c r="W3810" s="35"/>
      <c r="X3810" s="35"/>
    </row>
    <row r="3811" spans="4:24" x14ac:dyDescent="0.3">
      <c r="D3811" s="23">
        <v>45113</v>
      </c>
      <c r="E3811" s="5">
        <v>434.99395800000002</v>
      </c>
      <c r="F3811" s="28">
        <v>69.528689999999997</v>
      </c>
      <c r="G3811" s="28">
        <v>177.31</v>
      </c>
      <c r="H3811" s="28">
        <v>365.5215</v>
      </c>
      <c r="I3811" s="28">
        <v>215.82499999999999</v>
      </c>
      <c r="J3811" s="29"/>
      <c r="K3811" s="29"/>
      <c r="L3811" s="29"/>
      <c r="M3811" s="29"/>
      <c r="N3811" s="29"/>
      <c r="P3811" s="4">
        <f t="shared" si="239"/>
        <v>-7.8614628208158056E-3</v>
      </c>
      <c r="Q3811" s="4">
        <f t="shared" si="239"/>
        <v>-6.4092803124031353E-3</v>
      </c>
      <c r="R3811" s="4">
        <f t="shared" si="239"/>
        <v>-2.9846565870440228E-3</v>
      </c>
      <c r="S3811" s="4">
        <f t="shared" si="239"/>
        <v>-7.645215082595855E-3</v>
      </c>
      <c r="T3811" s="4">
        <f t="shared" si="239"/>
        <v>-8.9380436760476516E-3</v>
      </c>
      <c r="U3811" s="35"/>
      <c r="V3811" s="35"/>
      <c r="W3811" s="35"/>
      <c r="X3811" s="35"/>
    </row>
    <row r="3812" spans="4:24" x14ac:dyDescent="0.3">
      <c r="D3812" s="23">
        <v>45114</v>
      </c>
      <c r="E3812" s="5">
        <v>433.89572099999998</v>
      </c>
      <c r="F3812" s="28">
        <v>69.489789999999999</v>
      </c>
      <c r="G3812" s="28">
        <v>178.64</v>
      </c>
      <c r="H3812" s="28">
        <v>364.30799999999999</v>
      </c>
      <c r="I3812" s="28">
        <v>215.5581</v>
      </c>
      <c r="J3812" s="29"/>
      <c r="K3812" s="29"/>
      <c r="L3812" s="29"/>
      <c r="M3812" s="29"/>
      <c r="N3812" s="29"/>
      <c r="P3812" s="4">
        <f t="shared" si="239"/>
        <v>-2.5279103006618075E-3</v>
      </c>
      <c r="Q3812" s="4">
        <f t="shared" si="239"/>
        <v>-5.5963784117435693E-4</v>
      </c>
      <c r="R3812" s="4">
        <f t="shared" si="239"/>
        <v>7.472994463005274E-3</v>
      </c>
      <c r="S3812" s="4">
        <f t="shared" si="239"/>
        <v>-3.3254372926661965E-3</v>
      </c>
      <c r="T3812" s="4">
        <f t="shared" si="239"/>
        <v>-1.2374153463886694E-3</v>
      </c>
      <c r="U3812" s="35"/>
      <c r="V3812" s="35"/>
      <c r="W3812" s="35"/>
      <c r="X3812" s="35"/>
    </row>
    <row r="3813" spans="4:24" x14ac:dyDescent="0.3">
      <c r="D3813" s="23">
        <v>45117</v>
      </c>
      <c r="E3813" s="5">
        <v>434.99395800000002</v>
      </c>
      <c r="F3813" s="28">
        <v>69.732789999999994</v>
      </c>
      <c r="G3813" s="28">
        <v>178.78</v>
      </c>
      <c r="H3813" s="28">
        <v>364.4273</v>
      </c>
      <c r="I3813" s="28">
        <v>216.4973</v>
      </c>
      <c r="J3813" s="29"/>
      <c r="K3813" s="29"/>
      <c r="L3813" s="29"/>
      <c r="M3813" s="29"/>
      <c r="N3813" s="29"/>
      <c r="P3813" s="4">
        <f t="shared" ref="P3813:T3828" si="240">LN(E3813/E3812)</f>
        <v>2.5279103006617476E-3</v>
      </c>
      <c r="Q3813" s="4">
        <f t="shared" si="240"/>
        <v>3.4908166011923198E-3</v>
      </c>
      <c r="R3813" s="4">
        <f t="shared" si="240"/>
        <v>7.8339212780407738E-4</v>
      </c>
      <c r="S3813" s="4">
        <f t="shared" si="240"/>
        <v>3.2741655595873323E-4</v>
      </c>
      <c r="T3813" s="4">
        <f t="shared" si="240"/>
        <v>4.3475974579419716E-3</v>
      </c>
      <c r="U3813" s="35"/>
      <c r="V3813" s="35"/>
      <c r="W3813" s="35"/>
      <c r="X3813" s="35"/>
    </row>
    <row r="3814" spans="4:24" x14ac:dyDescent="0.3">
      <c r="D3814" s="23">
        <v>45118</v>
      </c>
      <c r="E3814" s="5">
        <v>437.76422100000002</v>
      </c>
      <c r="F3814" s="28">
        <v>69.878559999999993</v>
      </c>
      <c r="G3814" s="28">
        <v>179.45</v>
      </c>
      <c r="H3814" s="28">
        <v>366.2278</v>
      </c>
      <c r="I3814" s="28">
        <v>218.1977</v>
      </c>
      <c r="J3814" s="29"/>
      <c r="K3814" s="29"/>
      <c r="L3814" s="29"/>
      <c r="M3814" s="29"/>
      <c r="N3814" s="29"/>
      <c r="P3814" s="4">
        <f t="shared" si="240"/>
        <v>6.3483158803319577E-3</v>
      </c>
      <c r="Q3814" s="4">
        <f t="shared" si="240"/>
        <v>2.0882263937920284E-3</v>
      </c>
      <c r="R3814" s="4">
        <f t="shared" si="240"/>
        <v>3.7406179339097047E-3</v>
      </c>
      <c r="S3814" s="4">
        <f t="shared" si="240"/>
        <v>4.9284639071816771E-3</v>
      </c>
      <c r="T3814" s="4">
        <f t="shared" si="240"/>
        <v>7.8234563220087976E-3</v>
      </c>
      <c r="U3814" s="35"/>
      <c r="V3814" s="35"/>
      <c r="W3814" s="35"/>
      <c r="X3814" s="35"/>
    </row>
    <row r="3815" spans="4:24" x14ac:dyDescent="0.3">
      <c r="D3815" s="23">
        <v>45119</v>
      </c>
      <c r="E3815" s="5">
        <v>441.28643799999998</v>
      </c>
      <c r="F3815" s="28">
        <v>70.432540000000003</v>
      </c>
      <c r="G3815" s="28">
        <v>181.88</v>
      </c>
      <c r="H3815" s="28">
        <v>370.85329999999999</v>
      </c>
      <c r="I3815" s="28">
        <v>219.86840000000001</v>
      </c>
      <c r="J3815" s="29"/>
      <c r="K3815" s="29"/>
      <c r="L3815" s="29"/>
      <c r="M3815" s="29"/>
      <c r="N3815" s="29"/>
      <c r="P3815" s="4">
        <f t="shared" si="240"/>
        <v>8.0137266574912304E-3</v>
      </c>
      <c r="Q3815" s="4">
        <f t="shared" si="240"/>
        <v>7.8964939851219416E-3</v>
      </c>
      <c r="R3815" s="4">
        <f t="shared" si="240"/>
        <v>1.3450511363193543E-2</v>
      </c>
      <c r="S3815" s="4">
        <f t="shared" si="240"/>
        <v>1.2551022459765651E-2</v>
      </c>
      <c r="T3815" s="4">
        <f t="shared" si="240"/>
        <v>7.6276529969081302E-3</v>
      </c>
      <c r="U3815" s="35"/>
      <c r="V3815" s="35"/>
      <c r="W3815" s="35"/>
      <c r="X3815" s="35"/>
    </row>
    <row r="3816" spans="4:24" x14ac:dyDescent="0.3">
      <c r="D3816" s="23">
        <v>45120</v>
      </c>
      <c r="E3816" s="5">
        <v>444.78887900000001</v>
      </c>
      <c r="F3816" s="28">
        <v>70.86018</v>
      </c>
      <c r="G3816" s="28">
        <v>182.01</v>
      </c>
      <c r="H3816" s="28">
        <v>377.1499</v>
      </c>
      <c r="I3816" s="28">
        <v>221.727</v>
      </c>
      <c r="J3816" s="29"/>
      <c r="K3816" s="29"/>
      <c r="L3816" s="29"/>
      <c r="M3816" s="29"/>
      <c r="N3816" s="29"/>
      <c r="P3816" s="4">
        <f t="shared" si="240"/>
        <v>7.9055565007371872E-3</v>
      </c>
      <c r="Q3816" s="4">
        <f t="shared" si="240"/>
        <v>6.0532673700324771E-3</v>
      </c>
      <c r="R3816" s="4">
        <f t="shared" si="240"/>
        <v>7.145016655062433E-4</v>
      </c>
      <c r="S3816" s="4">
        <f t="shared" si="240"/>
        <v>1.6836154533662395E-2</v>
      </c>
      <c r="T3816" s="4">
        <f t="shared" si="240"/>
        <v>8.4177098524366393E-3</v>
      </c>
      <c r="U3816" s="35"/>
      <c r="V3816" s="35"/>
      <c r="W3816" s="35"/>
      <c r="X3816" s="35"/>
    </row>
    <row r="3817" spans="4:24" x14ac:dyDescent="0.3">
      <c r="D3817" s="23">
        <v>45121</v>
      </c>
      <c r="E3817" s="5">
        <v>444.51187099999999</v>
      </c>
      <c r="F3817" s="28">
        <v>70.529719999999998</v>
      </c>
      <c r="G3817" s="28">
        <v>181.43</v>
      </c>
      <c r="H3817" s="28">
        <v>377.07029999999997</v>
      </c>
      <c r="I3817" s="28">
        <v>221.4008</v>
      </c>
      <c r="J3817" s="29"/>
      <c r="K3817" s="29"/>
      <c r="L3817" s="29"/>
      <c r="M3817" s="29"/>
      <c r="N3817" s="29"/>
      <c r="P3817" s="4">
        <f t="shared" si="240"/>
        <v>-6.2297936656189993E-4</v>
      </c>
      <c r="Q3817" s="4">
        <f t="shared" si="240"/>
        <v>-4.6744583839131871E-3</v>
      </c>
      <c r="R3817" s="4">
        <f t="shared" si="240"/>
        <v>-3.1917262402442596E-3</v>
      </c>
      <c r="S3817" s="4">
        <f t="shared" si="240"/>
        <v>-2.1107894032950294E-4</v>
      </c>
      <c r="T3817" s="4">
        <f t="shared" si="240"/>
        <v>-1.4722617670178538E-3</v>
      </c>
      <c r="U3817" s="35"/>
      <c r="V3817" s="35"/>
      <c r="W3817" s="35"/>
      <c r="X3817" s="35"/>
    </row>
    <row r="3818" spans="4:24" x14ac:dyDescent="0.3">
      <c r="D3818" s="23">
        <v>45124</v>
      </c>
      <c r="E3818" s="5">
        <v>446.05526700000001</v>
      </c>
      <c r="F3818" s="28">
        <v>70.607470000000006</v>
      </c>
      <c r="G3818" s="28">
        <v>181.56</v>
      </c>
      <c r="H3818" s="28">
        <v>380.59160000000003</v>
      </c>
      <c r="I3818" s="28">
        <v>222.24109999999999</v>
      </c>
      <c r="J3818" s="29"/>
      <c r="K3818" s="29"/>
      <c r="L3818" s="29"/>
      <c r="M3818" s="29"/>
      <c r="N3818" s="29"/>
      <c r="P3818" s="4">
        <f t="shared" si="240"/>
        <v>3.4661003742927294E-3</v>
      </c>
      <c r="Q3818" s="4">
        <f t="shared" si="240"/>
        <v>1.101764997092242E-3</v>
      </c>
      <c r="R3818" s="4">
        <f t="shared" si="240"/>
        <v>7.1627320619310644E-4</v>
      </c>
      <c r="S3818" s="4">
        <f t="shared" si="240"/>
        <v>9.2952419905783443E-3</v>
      </c>
      <c r="T3818" s="4">
        <f t="shared" si="240"/>
        <v>3.7881949603406403E-3</v>
      </c>
      <c r="U3818" s="35"/>
      <c r="V3818" s="35"/>
      <c r="W3818" s="35"/>
      <c r="X3818" s="35"/>
    </row>
    <row r="3819" spans="4:24" x14ac:dyDescent="0.3">
      <c r="D3819" s="23">
        <v>45125</v>
      </c>
      <c r="E3819" s="5">
        <v>449.36975100000001</v>
      </c>
      <c r="F3819" s="28">
        <v>70.694950000000006</v>
      </c>
      <c r="G3819" s="28">
        <v>183.64</v>
      </c>
      <c r="H3819" s="28">
        <v>383.70510000000002</v>
      </c>
      <c r="I3819" s="28">
        <v>224.01070000000001</v>
      </c>
      <c r="J3819" s="29"/>
      <c r="K3819" s="29"/>
      <c r="L3819" s="29"/>
      <c r="M3819" s="29"/>
      <c r="N3819" s="29"/>
      <c r="P3819" s="4">
        <f t="shared" si="240"/>
        <v>7.4031863561571584E-3</v>
      </c>
      <c r="Q3819" s="4">
        <f t="shared" si="240"/>
        <v>1.2381955125256652E-3</v>
      </c>
      <c r="R3819" s="4">
        <f t="shared" si="240"/>
        <v>1.1391141792756271E-2</v>
      </c>
      <c r="S3819" s="4">
        <f t="shared" si="240"/>
        <v>8.147404595302804E-3</v>
      </c>
      <c r="T3819" s="4">
        <f t="shared" si="240"/>
        <v>7.9309899735189125E-3</v>
      </c>
      <c r="U3819" s="35"/>
      <c r="V3819" s="35"/>
      <c r="W3819" s="35"/>
      <c r="X3819" s="35"/>
    </row>
    <row r="3820" spans="4:24" x14ac:dyDescent="0.3">
      <c r="D3820" s="23">
        <v>45126</v>
      </c>
      <c r="E3820" s="5">
        <v>450.36901899999998</v>
      </c>
      <c r="F3820" s="28">
        <v>70.86018</v>
      </c>
      <c r="G3820" s="28">
        <v>183.67</v>
      </c>
      <c r="H3820" s="28">
        <v>383.61559999999997</v>
      </c>
      <c r="I3820" s="28">
        <v>224.59399999999999</v>
      </c>
      <c r="J3820" s="29"/>
      <c r="K3820" s="29"/>
      <c r="L3820" s="29"/>
      <c r="M3820" s="29"/>
      <c r="N3820" s="29"/>
      <c r="P3820" s="4">
        <f t="shared" si="240"/>
        <v>2.221241196171413E-3</v>
      </c>
      <c r="Q3820" s="4">
        <f t="shared" si="240"/>
        <v>2.3344978742953931E-3</v>
      </c>
      <c r="R3820" s="4">
        <f t="shared" si="240"/>
        <v>1.6334975942239704E-4</v>
      </c>
      <c r="S3820" s="4">
        <f t="shared" si="240"/>
        <v>-2.332792544392706E-4</v>
      </c>
      <c r="T3820" s="4">
        <f t="shared" si="240"/>
        <v>2.6005092176742419E-3</v>
      </c>
      <c r="U3820" s="35"/>
      <c r="V3820" s="35"/>
      <c r="W3820" s="35"/>
      <c r="X3820" s="35"/>
    </row>
    <row r="3821" spans="4:24" x14ac:dyDescent="0.3">
      <c r="D3821" s="23">
        <v>45127</v>
      </c>
      <c r="E3821" s="5">
        <v>447.38107300000001</v>
      </c>
      <c r="F3821" s="28">
        <v>70.529719999999998</v>
      </c>
      <c r="G3821" s="28">
        <v>182.74</v>
      </c>
      <c r="H3821" s="28">
        <v>374.77249999999998</v>
      </c>
      <c r="I3821" s="28">
        <v>222.9727</v>
      </c>
      <c r="J3821" s="29"/>
      <c r="K3821" s="29"/>
      <c r="L3821" s="29"/>
      <c r="M3821" s="29"/>
      <c r="N3821" s="29"/>
      <c r="P3821" s="4">
        <f t="shared" si="240"/>
        <v>-6.6565452000673705E-3</v>
      </c>
      <c r="Q3821" s="4">
        <f t="shared" si="240"/>
        <v>-4.6744583839131871E-3</v>
      </c>
      <c r="R3821" s="4">
        <f t="shared" si="240"/>
        <v>-5.0762915699689749E-3</v>
      </c>
      <c r="S3821" s="4">
        <f t="shared" si="240"/>
        <v>-2.3321834337162416E-2</v>
      </c>
      <c r="T3821" s="4">
        <f t="shared" si="240"/>
        <v>-7.244985347680648E-3</v>
      </c>
      <c r="U3821" s="35"/>
      <c r="V3821" s="35"/>
      <c r="W3821" s="35"/>
      <c r="X3821" s="35"/>
    </row>
    <row r="3822" spans="4:24" x14ac:dyDescent="0.3">
      <c r="D3822" s="23">
        <v>45128</v>
      </c>
      <c r="E3822" s="5">
        <v>447.38107300000001</v>
      </c>
      <c r="F3822" s="28">
        <v>70.578320000000005</v>
      </c>
      <c r="G3822" s="28">
        <v>182.18</v>
      </c>
      <c r="H3822" s="28">
        <v>373.64850000000001</v>
      </c>
      <c r="I3822" s="28">
        <v>222.9529</v>
      </c>
      <c r="J3822" s="29"/>
      <c r="K3822" s="29"/>
      <c r="L3822" s="29"/>
      <c r="M3822" s="29"/>
      <c r="N3822" s="29"/>
      <c r="P3822" s="4">
        <f t="shared" si="240"/>
        <v>0</v>
      </c>
      <c r="Q3822" s="4">
        <f t="shared" si="240"/>
        <v>6.8883391650393071E-4</v>
      </c>
      <c r="R3822" s="4">
        <f t="shared" si="240"/>
        <v>-3.0691682538107317E-3</v>
      </c>
      <c r="S3822" s="4">
        <f t="shared" si="240"/>
        <v>-3.0036592908473203E-3</v>
      </c>
      <c r="T3822" s="4">
        <f t="shared" si="240"/>
        <v>-8.880405167600668E-5</v>
      </c>
      <c r="U3822" s="35"/>
      <c r="V3822" s="35"/>
      <c r="W3822" s="35"/>
      <c r="X3822" s="35"/>
    </row>
    <row r="3823" spans="4:24" x14ac:dyDescent="0.3">
      <c r="D3823" s="23">
        <v>45131</v>
      </c>
      <c r="E3823" s="5">
        <v>449.379639</v>
      </c>
      <c r="F3823" s="28">
        <v>70.461690000000004</v>
      </c>
      <c r="G3823" s="28">
        <v>181.4</v>
      </c>
      <c r="H3823" s="28">
        <v>374.24529999999999</v>
      </c>
      <c r="I3823" s="28">
        <v>223.74379999999999</v>
      </c>
      <c r="J3823" s="29"/>
      <c r="K3823" s="29"/>
      <c r="L3823" s="29"/>
      <c r="M3823" s="29"/>
      <c r="N3823" s="29"/>
      <c r="P3823" s="4">
        <f t="shared" si="240"/>
        <v>4.4573079131288648E-3</v>
      </c>
      <c r="Q3823" s="4">
        <f t="shared" si="240"/>
        <v>-1.6538573215400319E-3</v>
      </c>
      <c r="R3823" s="4">
        <f t="shared" si="240"/>
        <v>-4.2906716356276029E-3</v>
      </c>
      <c r="S3823" s="4">
        <f t="shared" si="240"/>
        <v>1.5959488544319876E-3</v>
      </c>
      <c r="T3823" s="4">
        <f t="shared" si="240"/>
        <v>3.5411088841900522E-3</v>
      </c>
      <c r="U3823" s="35"/>
      <c r="V3823" s="35"/>
      <c r="W3823" s="35"/>
      <c r="X3823" s="35"/>
    </row>
    <row r="3824" spans="4:24" x14ac:dyDescent="0.3">
      <c r="D3824" s="23">
        <v>45132</v>
      </c>
      <c r="E3824" s="5">
        <v>450.60647599999999</v>
      </c>
      <c r="F3824" s="28">
        <v>70.383939999999996</v>
      </c>
      <c r="G3824" s="28">
        <v>182.41</v>
      </c>
      <c r="H3824" s="28">
        <v>376.78190000000001</v>
      </c>
      <c r="I3824" s="28">
        <v>224.3073</v>
      </c>
      <c r="J3824" s="29"/>
      <c r="K3824" s="29"/>
      <c r="L3824" s="29"/>
      <c r="M3824" s="29"/>
      <c r="N3824" s="29"/>
      <c r="P3824" s="4">
        <f t="shared" si="240"/>
        <v>2.7263481946508982E-3</v>
      </c>
      <c r="Q3824" s="4">
        <f t="shared" si="240"/>
        <v>-1.1040457257718527E-3</v>
      </c>
      <c r="R3824" s="4">
        <f t="shared" si="240"/>
        <v>5.5523630177868998E-3</v>
      </c>
      <c r="S3824" s="4">
        <f t="shared" si="240"/>
        <v>6.7550406843738748E-3</v>
      </c>
      <c r="T3824" s="4">
        <f t="shared" si="240"/>
        <v>2.5153394204463372E-3</v>
      </c>
      <c r="U3824" s="35"/>
      <c r="V3824" s="35"/>
      <c r="W3824" s="35"/>
      <c r="X3824" s="35"/>
    </row>
    <row r="3825" spans="4:24" x14ac:dyDescent="0.3">
      <c r="D3825" s="23">
        <v>45133</v>
      </c>
      <c r="E3825" s="5">
        <v>450.67575099999999</v>
      </c>
      <c r="F3825" s="28">
        <v>70.617199999999997</v>
      </c>
      <c r="G3825" s="28">
        <v>183.3</v>
      </c>
      <c r="H3825" s="28">
        <v>375.52850000000001</v>
      </c>
      <c r="I3825" s="28">
        <v>224.47540000000001</v>
      </c>
      <c r="J3825" s="29"/>
      <c r="K3825" s="29"/>
      <c r="L3825" s="29"/>
      <c r="M3825" s="29"/>
      <c r="N3825" s="29"/>
      <c r="P3825" s="4">
        <f t="shared" si="240"/>
        <v>1.5372543263611862E-4</v>
      </c>
      <c r="Q3825" s="4">
        <f t="shared" si="240"/>
        <v>3.3086287499784379E-3</v>
      </c>
      <c r="R3825" s="4">
        <f t="shared" si="240"/>
        <v>4.8672541468361454E-3</v>
      </c>
      <c r="S3825" s="4">
        <f t="shared" si="240"/>
        <v>-3.3321383294006163E-3</v>
      </c>
      <c r="T3825" s="4">
        <f t="shared" si="240"/>
        <v>7.491376466232276E-4</v>
      </c>
      <c r="U3825" s="35"/>
      <c r="V3825" s="35"/>
      <c r="W3825" s="35"/>
      <c r="X3825" s="35"/>
    </row>
    <row r="3826" spans="4:24" x14ac:dyDescent="0.3">
      <c r="D3826" s="23">
        <v>45134</v>
      </c>
      <c r="E3826" s="5">
        <v>447.68777499999999</v>
      </c>
      <c r="F3826" s="28">
        <v>70.014619999999994</v>
      </c>
      <c r="G3826" s="28">
        <v>180.42</v>
      </c>
      <c r="H3826" s="28">
        <v>374.63330000000002</v>
      </c>
      <c r="I3826" s="28">
        <v>222.74529999999999</v>
      </c>
      <c r="J3826" s="29"/>
      <c r="K3826" s="29"/>
      <c r="L3826" s="29"/>
      <c r="M3826" s="29"/>
      <c r="N3826" s="29"/>
      <c r="P3826" s="4">
        <f t="shared" si="240"/>
        <v>-6.6520666337716401E-3</v>
      </c>
      <c r="Q3826" s="4">
        <f t="shared" si="240"/>
        <v>-8.569663504909909E-3</v>
      </c>
      <c r="R3826" s="4">
        <f t="shared" si="240"/>
        <v>-1.5836688617166746E-2</v>
      </c>
      <c r="S3826" s="4">
        <f t="shared" si="240"/>
        <v>-2.3866862453987949E-3</v>
      </c>
      <c r="T3826" s="4">
        <f t="shared" si="240"/>
        <v>-7.737158100365963E-3</v>
      </c>
      <c r="U3826" s="35"/>
      <c r="V3826" s="35"/>
      <c r="W3826" s="35"/>
      <c r="X3826" s="35"/>
    </row>
    <row r="3827" spans="4:24" x14ac:dyDescent="0.3">
      <c r="D3827" s="23">
        <v>45135</v>
      </c>
      <c r="E3827" s="5">
        <v>452.07080100000002</v>
      </c>
      <c r="F3827" s="28">
        <v>70.257599999999996</v>
      </c>
      <c r="G3827" s="28">
        <v>181.86</v>
      </c>
      <c r="H3827" s="28">
        <v>381.45710000000003</v>
      </c>
      <c r="I3827" s="28">
        <v>225.0686</v>
      </c>
      <c r="J3827" s="29"/>
      <c r="K3827" s="29"/>
      <c r="L3827" s="29"/>
      <c r="M3827" s="29"/>
      <c r="N3827" s="29"/>
      <c r="P3827" s="4">
        <f t="shared" si="240"/>
        <v>9.7427483038492625E-3</v>
      </c>
      <c r="Q3827" s="4">
        <f t="shared" si="240"/>
        <v>3.4644100310555455E-3</v>
      </c>
      <c r="R3827" s="4">
        <f t="shared" si="240"/>
        <v>7.9496940692741266E-3</v>
      </c>
      <c r="S3827" s="4">
        <f t="shared" si="240"/>
        <v>1.8050712669319985E-2</v>
      </c>
      <c r="T3827" s="4">
        <f t="shared" si="240"/>
        <v>1.0376278383590575E-2</v>
      </c>
      <c r="U3827" s="35"/>
      <c r="V3827" s="35"/>
      <c r="W3827" s="35"/>
      <c r="X3827" s="35"/>
    </row>
    <row r="3828" spans="4:24" x14ac:dyDescent="0.3">
      <c r="D3828" s="23">
        <v>45138</v>
      </c>
      <c r="E3828" s="5">
        <v>452.93154900000002</v>
      </c>
      <c r="F3828" s="28">
        <v>70.383939999999996</v>
      </c>
      <c r="G3828" s="28">
        <v>182.35</v>
      </c>
      <c r="H3828" s="28">
        <v>381.65600000000001</v>
      </c>
      <c r="I3828" s="28">
        <v>225.75069999999999</v>
      </c>
      <c r="J3828" s="29"/>
      <c r="K3828" s="29"/>
      <c r="L3828" s="29"/>
      <c r="M3828" s="29"/>
      <c r="N3828" s="29"/>
      <c r="P3828" s="4">
        <f t="shared" si="240"/>
        <v>1.9022011590178998E-3</v>
      </c>
      <c r="Q3828" s="4">
        <f t="shared" si="240"/>
        <v>1.7966247238758288E-3</v>
      </c>
      <c r="R3828" s="4">
        <f t="shared" si="240"/>
        <v>2.6907569569222783E-3</v>
      </c>
      <c r="S3828" s="4">
        <f t="shared" si="240"/>
        <v>5.212857818952995E-4</v>
      </c>
      <c r="T3828" s="4">
        <f t="shared" si="240"/>
        <v>3.0260484433444344E-3</v>
      </c>
      <c r="U3828" s="35"/>
      <c r="V3828" s="35"/>
      <c r="W3828" s="35"/>
      <c r="X3828" s="35"/>
    </row>
    <row r="3829" spans="4:24" x14ac:dyDescent="0.3">
      <c r="D3829" s="23">
        <v>45139</v>
      </c>
      <c r="E3829" s="5">
        <v>451.635468</v>
      </c>
      <c r="F3829" s="28">
        <v>69.948340000000002</v>
      </c>
      <c r="G3829" s="28">
        <v>180.46</v>
      </c>
      <c r="H3829" s="28">
        <v>380.77069999999998</v>
      </c>
      <c r="I3829" s="28">
        <v>225.1378</v>
      </c>
      <c r="J3829" s="29"/>
      <c r="K3829" s="29"/>
      <c r="L3829" s="29"/>
      <c r="M3829" s="29"/>
      <c r="N3829" s="29"/>
      <c r="P3829" s="4">
        <f t="shared" ref="P3829:T3844" si="241">LN(E3829/E3828)</f>
        <v>-2.8656403839229126E-3</v>
      </c>
      <c r="Q3829" s="4">
        <f t="shared" si="241"/>
        <v>-6.2081425462284425E-3</v>
      </c>
      <c r="R3829" s="4">
        <f t="shared" si="241"/>
        <v>-1.0418770688334572E-2</v>
      </c>
      <c r="S3829" s="4">
        <f t="shared" si="241"/>
        <v>-2.3223226518222762E-3</v>
      </c>
      <c r="T3829" s="4">
        <f t="shared" si="241"/>
        <v>-2.718633886176994E-3</v>
      </c>
      <c r="U3829" s="35"/>
      <c r="V3829" s="35"/>
      <c r="W3829" s="35"/>
      <c r="X3829" s="35"/>
    </row>
    <row r="3830" spans="4:24" x14ac:dyDescent="0.3">
      <c r="D3830" s="23">
        <v>45140</v>
      </c>
      <c r="E3830" s="5">
        <v>445.352844</v>
      </c>
      <c r="F3830" s="28">
        <v>69.724220000000003</v>
      </c>
      <c r="G3830" s="28">
        <v>179.6</v>
      </c>
      <c r="H3830" s="28">
        <v>372.41500000000002</v>
      </c>
      <c r="I3830" s="28">
        <v>221.94460000000001</v>
      </c>
      <c r="J3830" s="29"/>
      <c r="K3830" s="29"/>
      <c r="L3830" s="29"/>
      <c r="M3830" s="29"/>
      <c r="N3830" s="29"/>
      <c r="P3830" s="4">
        <f t="shared" si="241"/>
        <v>-1.4008491875153906E-2</v>
      </c>
      <c r="Q3830" s="4">
        <f t="shared" si="241"/>
        <v>-3.2092229476289899E-3</v>
      </c>
      <c r="R3830" s="4">
        <f t="shared" si="241"/>
        <v>-4.7769906982555281E-3</v>
      </c>
      <c r="S3830" s="4">
        <f t="shared" si="241"/>
        <v>-2.2188532818286845E-2</v>
      </c>
      <c r="T3830" s="4">
        <f t="shared" si="241"/>
        <v>-1.4284858001244351E-2</v>
      </c>
      <c r="U3830" s="35"/>
      <c r="V3830" s="35"/>
      <c r="W3830" s="35"/>
      <c r="X3830" s="35"/>
    </row>
    <row r="3831" spans="4:24" x14ac:dyDescent="0.3">
      <c r="D3831" s="23">
        <v>45141</v>
      </c>
      <c r="E3831" s="5">
        <v>444.07653800000003</v>
      </c>
      <c r="F3831" s="28">
        <v>69.295439999999999</v>
      </c>
      <c r="G3831" s="28">
        <v>179.54</v>
      </c>
      <c r="H3831" s="28">
        <v>371.81819999999999</v>
      </c>
      <c r="I3831" s="28">
        <v>221.30199999999999</v>
      </c>
      <c r="J3831" s="29"/>
      <c r="K3831" s="29"/>
      <c r="L3831" s="29"/>
      <c r="M3831" s="29"/>
      <c r="N3831" s="29"/>
      <c r="P3831" s="4">
        <f t="shared" si="241"/>
        <v>-2.869945387150628E-3</v>
      </c>
      <c r="Q3831" s="4">
        <f t="shared" si="241"/>
        <v>-6.1686434805886476E-3</v>
      </c>
      <c r="R3831" s="4">
        <f t="shared" si="241"/>
        <v>-3.3413153955679886E-4</v>
      </c>
      <c r="S3831" s="4">
        <f t="shared" si="241"/>
        <v>-1.6037987230954449E-3</v>
      </c>
      <c r="T3831" s="4">
        <f t="shared" si="241"/>
        <v>-2.8995166582455553E-3</v>
      </c>
      <c r="U3831" s="35"/>
      <c r="V3831" s="35"/>
      <c r="W3831" s="35"/>
      <c r="X3831" s="35"/>
    </row>
    <row r="3832" spans="4:24" x14ac:dyDescent="0.3">
      <c r="D3832" s="23">
        <v>45142</v>
      </c>
      <c r="E3832" s="5">
        <v>442.06805400000002</v>
      </c>
      <c r="F3832" s="28">
        <v>69.870379999999997</v>
      </c>
      <c r="G3832" s="28">
        <v>180.19</v>
      </c>
      <c r="H3832" s="28">
        <v>370.07740000000001</v>
      </c>
      <c r="I3832" s="28">
        <v>220.36269999999999</v>
      </c>
      <c r="J3832" s="29"/>
      <c r="K3832" s="29"/>
      <c r="L3832" s="29"/>
      <c r="M3832" s="29"/>
      <c r="N3832" s="29"/>
      <c r="P3832" s="4">
        <f t="shared" si="241"/>
        <v>-4.533091907301977E-3</v>
      </c>
      <c r="Q3832" s="4">
        <f t="shared" si="241"/>
        <v>8.2627080563040887E-3</v>
      </c>
      <c r="R3832" s="4">
        <f t="shared" si="241"/>
        <v>3.613825410180467E-3</v>
      </c>
      <c r="S3832" s="4">
        <f t="shared" si="241"/>
        <v>-4.6928521877793034E-3</v>
      </c>
      <c r="T3832" s="4">
        <f t="shared" si="241"/>
        <v>-4.2534593149251452E-3</v>
      </c>
      <c r="U3832" s="35"/>
      <c r="V3832" s="35"/>
      <c r="W3832" s="35"/>
      <c r="X3832" s="35"/>
    </row>
    <row r="3833" spans="4:24" x14ac:dyDescent="0.3">
      <c r="D3833" s="23">
        <v>45145</v>
      </c>
      <c r="E3833" s="5">
        <v>445.92666600000001</v>
      </c>
      <c r="F3833" s="28">
        <v>69.763170000000002</v>
      </c>
      <c r="G3833" s="28">
        <v>179.78</v>
      </c>
      <c r="H3833" s="28">
        <v>373.21080000000001</v>
      </c>
      <c r="I3833" s="28">
        <v>222.05330000000001</v>
      </c>
      <c r="J3833" s="29"/>
      <c r="K3833" s="29"/>
      <c r="L3833" s="29"/>
      <c r="M3833" s="29"/>
      <c r="N3833" s="29"/>
      <c r="P3833" s="4">
        <f t="shared" si="241"/>
        <v>8.690673940073463E-3</v>
      </c>
      <c r="Q3833" s="4">
        <f t="shared" si="241"/>
        <v>-1.5355911393374777E-3</v>
      </c>
      <c r="R3833" s="4">
        <f t="shared" si="241"/>
        <v>-2.2779685934696445E-3</v>
      </c>
      <c r="S3833" s="4">
        <f t="shared" si="241"/>
        <v>8.431234510767327E-3</v>
      </c>
      <c r="T3833" s="4">
        <f t="shared" si="241"/>
        <v>7.6426179384669552E-3</v>
      </c>
      <c r="U3833" s="35"/>
      <c r="V3833" s="35"/>
      <c r="W3833" s="35"/>
      <c r="X3833" s="35"/>
    </row>
    <row r="3834" spans="4:24" x14ac:dyDescent="0.3">
      <c r="D3834" s="23">
        <v>45146</v>
      </c>
      <c r="E3834" s="5">
        <v>443.98748799999998</v>
      </c>
      <c r="F3834" s="28">
        <v>70.016549999999995</v>
      </c>
      <c r="G3834" s="28">
        <v>178.64</v>
      </c>
      <c r="H3834" s="28">
        <v>370.0376</v>
      </c>
      <c r="I3834" s="28">
        <v>221.02510000000001</v>
      </c>
      <c r="J3834" s="29"/>
      <c r="K3834" s="29"/>
      <c r="L3834" s="29"/>
      <c r="M3834" s="29"/>
      <c r="N3834" s="29"/>
      <c r="P3834" s="4">
        <f t="shared" si="241"/>
        <v>-4.3581306366814836E-3</v>
      </c>
      <c r="Q3834" s="4">
        <f t="shared" si="241"/>
        <v>3.6254225939059341E-3</v>
      </c>
      <c r="R3834" s="4">
        <f t="shared" si="241"/>
        <v>-6.3612736133508273E-3</v>
      </c>
      <c r="S3834" s="4">
        <f t="shared" si="241"/>
        <v>-8.5387853644545257E-3</v>
      </c>
      <c r="T3834" s="4">
        <f t="shared" si="241"/>
        <v>-4.6411734160833945E-3</v>
      </c>
      <c r="U3834" s="35"/>
      <c r="V3834" s="35"/>
      <c r="W3834" s="35"/>
      <c r="X3834" s="35"/>
    </row>
    <row r="3835" spans="4:24" x14ac:dyDescent="0.3">
      <c r="D3835" s="23">
        <v>45147</v>
      </c>
      <c r="E3835" s="5">
        <v>441.019318</v>
      </c>
      <c r="F3835" s="28">
        <v>70.036060000000006</v>
      </c>
      <c r="G3835" s="28">
        <v>177.79</v>
      </c>
      <c r="H3835" s="28">
        <v>365.9692</v>
      </c>
      <c r="I3835" s="28">
        <v>219.44329999999999</v>
      </c>
      <c r="J3835" s="29"/>
      <c r="K3835" s="29"/>
      <c r="L3835" s="29"/>
      <c r="M3835" s="29"/>
      <c r="N3835" s="29"/>
      <c r="P3835" s="4">
        <f t="shared" si="241"/>
        <v>-6.7077023788782008E-3</v>
      </c>
      <c r="Q3835" s="4">
        <f t="shared" si="241"/>
        <v>2.7860959001363558E-4</v>
      </c>
      <c r="R3835" s="4">
        <f t="shared" si="241"/>
        <v>-4.7695290034220714E-3</v>
      </c>
      <c r="S3835" s="4">
        <f t="shared" si="241"/>
        <v>-1.1055445241925591E-2</v>
      </c>
      <c r="T3835" s="4">
        <f t="shared" si="241"/>
        <v>-7.1823849337426171E-3</v>
      </c>
      <c r="U3835" s="35"/>
      <c r="V3835" s="35"/>
      <c r="W3835" s="35"/>
      <c r="X3835" s="35"/>
    </row>
    <row r="3836" spans="4:24" x14ac:dyDescent="0.3">
      <c r="D3836" s="23">
        <v>45148</v>
      </c>
      <c r="E3836" s="5">
        <v>441.17761200000001</v>
      </c>
      <c r="F3836" s="28">
        <v>69.646240000000006</v>
      </c>
      <c r="G3836" s="28">
        <v>177.6</v>
      </c>
      <c r="H3836" s="28">
        <v>366.6456</v>
      </c>
      <c r="I3836" s="28">
        <v>219.4829</v>
      </c>
      <c r="J3836" s="29"/>
      <c r="K3836" s="29"/>
      <c r="L3836" s="29"/>
      <c r="M3836" s="29"/>
      <c r="N3836" s="29"/>
      <c r="P3836" s="4">
        <f t="shared" si="241"/>
        <v>3.5886318874124514E-4</v>
      </c>
      <c r="Q3836" s="4">
        <f t="shared" si="241"/>
        <v>-5.5815377041038639E-3</v>
      </c>
      <c r="R3836" s="4">
        <f t="shared" si="241"/>
        <v>-1.0692479704105609E-3</v>
      </c>
      <c r="S3836" s="4">
        <f t="shared" si="241"/>
        <v>1.8465370674830856E-3</v>
      </c>
      <c r="T3836" s="4">
        <f t="shared" si="241"/>
        <v>1.8044035697784068E-4</v>
      </c>
      <c r="U3836" s="35"/>
      <c r="V3836" s="35"/>
      <c r="W3836" s="35"/>
      <c r="X3836" s="35"/>
    </row>
    <row r="3837" spans="4:24" x14ac:dyDescent="0.3">
      <c r="D3837" s="23">
        <v>45149</v>
      </c>
      <c r="E3837" s="5">
        <v>440.92038000000002</v>
      </c>
      <c r="F3837" s="28">
        <v>69.422129999999996</v>
      </c>
      <c r="G3837" s="28">
        <v>177.6</v>
      </c>
      <c r="H3837" s="28">
        <v>364.30799999999999</v>
      </c>
      <c r="I3837" s="28">
        <v>219.27529999999999</v>
      </c>
      <c r="J3837" s="29"/>
      <c r="K3837" s="29"/>
      <c r="L3837" s="29"/>
      <c r="M3837" s="29"/>
      <c r="N3837" s="29"/>
      <c r="P3837" s="4">
        <f t="shared" si="241"/>
        <v>-5.8322773574921781E-4</v>
      </c>
      <c r="Q3837" s="4">
        <f t="shared" si="241"/>
        <v>-3.2230217985886739E-3</v>
      </c>
      <c r="R3837" s="4">
        <f t="shared" si="241"/>
        <v>0</v>
      </c>
      <c r="S3837" s="4">
        <f t="shared" si="241"/>
        <v>-6.3960502257792567E-3</v>
      </c>
      <c r="T3837" s="4">
        <f t="shared" si="241"/>
        <v>-9.4630717097539331E-4</v>
      </c>
      <c r="U3837" s="35"/>
      <c r="V3837" s="35"/>
      <c r="W3837" s="35"/>
      <c r="X3837" s="35"/>
    </row>
    <row r="3838" spans="4:24" x14ac:dyDescent="0.3">
      <c r="D3838" s="23">
        <v>45152</v>
      </c>
      <c r="E3838" s="5">
        <v>443.35424799999998</v>
      </c>
      <c r="F3838" s="28">
        <v>69.334410000000005</v>
      </c>
      <c r="G3838" s="28">
        <v>177.06</v>
      </c>
      <c r="H3838" s="28">
        <v>368.3963</v>
      </c>
      <c r="I3838" s="28">
        <v>220.36269999999999</v>
      </c>
      <c r="J3838" s="29"/>
      <c r="K3838" s="29"/>
      <c r="L3838" s="29"/>
      <c r="M3838" s="29"/>
      <c r="N3838" s="29"/>
      <c r="P3838" s="4">
        <f t="shared" si="241"/>
        <v>5.5047924457000087E-3</v>
      </c>
      <c r="Q3838" s="4">
        <f t="shared" si="241"/>
        <v>-1.2643730044874094E-3</v>
      </c>
      <c r="R3838" s="4">
        <f t="shared" si="241"/>
        <v>-3.0451723751665867E-3</v>
      </c>
      <c r="S3838" s="4">
        <f t="shared" si="241"/>
        <v>1.1159597203120097E-2</v>
      </c>
      <c r="T3838" s="4">
        <f t="shared" si="241"/>
        <v>4.946807225356507E-3</v>
      </c>
      <c r="U3838" s="35"/>
      <c r="V3838" s="35"/>
      <c r="W3838" s="35"/>
      <c r="X3838" s="35"/>
    </row>
    <row r="3839" spans="4:24" x14ac:dyDescent="0.3">
      <c r="D3839" s="23">
        <v>45153</v>
      </c>
      <c r="E3839" s="5">
        <v>438.18969700000002</v>
      </c>
      <c r="F3839" s="28">
        <v>69.178489999999996</v>
      </c>
      <c r="G3839" s="28">
        <v>176.59</v>
      </c>
      <c r="H3839" s="28">
        <v>364.4871</v>
      </c>
      <c r="I3839" s="28">
        <v>217.86150000000001</v>
      </c>
      <c r="J3839" s="29"/>
      <c r="K3839" s="29"/>
      <c r="L3839" s="29"/>
      <c r="M3839" s="29"/>
      <c r="N3839" s="29"/>
      <c r="P3839" s="4">
        <f t="shared" si="241"/>
        <v>-1.1717192584770936E-2</v>
      </c>
      <c r="Q3839" s="4">
        <f t="shared" si="241"/>
        <v>-2.251343605647368E-3</v>
      </c>
      <c r="R3839" s="4">
        <f t="shared" si="241"/>
        <v>-2.6579967578701231E-3</v>
      </c>
      <c r="S3839" s="4">
        <f t="shared" si="241"/>
        <v>-1.0668101023726577E-2</v>
      </c>
      <c r="T3839" s="4">
        <f t="shared" si="241"/>
        <v>-1.1415285420687862E-2</v>
      </c>
      <c r="U3839" s="35"/>
      <c r="V3839" s="35"/>
      <c r="W3839" s="35"/>
      <c r="X3839" s="35"/>
    </row>
    <row r="3840" spans="4:24" x14ac:dyDescent="0.3">
      <c r="D3840" s="23">
        <v>45154</v>
      </c>
      <c r="E3840" s="5">
        <v>434.97418199999998</v>
      </c>
      <c r="F3840" s="28">
        <v>68.983620000000002</v>
      </c>
      <c r="G3840" s="28">
        <v>175.57</v>
      </c>
      <c r="H3840" s="28">
        <v>360.6275</v>
      </c>
      <c r="I3840" s="28">
        <v>216.06229999999999</v>
      </c>
      <c r="J3840" s="29"/>
      <c r="K3840" s="29"/>
      <c r="L3840" s="29"/>
      <c r="M3840" s="29"/>
      <c r="N3840" s="29"/>
      <c r="P3840" s="4">
        <f t="shared" si="241"/>
        <v>-7.3652371868559077E-3</v>
      </c>
      <c r="Q3840" s="4">
        <f t="shared" si="241"/>
        <v>-2.8208910420077574E-3</v>
      </c>
      <c r="R3840" s="4">
        <f t="shared" si="241"/>
        <v>-5.7928376439157951E-3</v>
      </c>
      <c r="S3840" s="4">
        <f t="shared" si="241"/>
        <v>-1.0645590228589385E-2</v>
      </c>
      <c r="T3840" s="4">
        <f t="shared" si="241"/>
        <v>-8.292747762871611E-3</v>
      </c>
      <c r="U3840" s="35"/>
      <c r="V3840" s="35"/>
      <c r="W3840" s="35"/>
      <c r="X3840" s="35"/>
    </row>
    <row r="3841" spans="4:24" x14ac:dyDescent="0.3">
      <c r="D3841" s="23">
        <v>45155</v>
      </c>
      <c r="E3841" s="5">
        <v>431.65972900000003</v>
      </c>
      <c r="F3841" s="28">
        <v>68.915390000000002</v>
      </c>
      <c r="G3841" s="28">
        <v>175.3</v>
      </c>
      <c r="H3841" s="28">
        <v>356.6884</v>
      </c>
      <c r="I3841" s="28">
        <v>214.29259999999999</v>
      </c>
      <c r="J3841" s="29"/>
      <c r="K3841" s="29"/>
      <c r="L3841" s="29"/>
      <c r="M3841" s="29"/>
      <c r="N3841" s="29"/>
      <c r="P3841" s="4">
        <f t="shared" si="241"/>
        <v>-7.6490640814591161E-3</v>
      </c>
      <c r="Q3841" s="4">
        <f t="shared" si="241"/>
        <v>-9.8956483542253374E-4</v>
      </c>
      <c r="R3841" s="4">
        <f t="shared" si="241"/>
        <v>-1.5390318539283355E-3</v>
      </c>
      <c r="S3841" s="4">
        <f t="shared" si="241"/>
        <v>-1.0982998136501743E-2</v>
      </c>
      <c r="T3841" s="4">
        <f t="shared" si="241"/>
        <v>-8.2244211712728804E-3</v>
      </c>
      <c r="U3841" s="35"/>
      <c r="V3841" s="35"/>
      <c r="W3841" s="35"/>
      <c r="X3841" s="35"/>
    </row>
    <row r="3842" spans="4:24" x14ac:dyDescent="0.3">
      <c r="D3842" s="23">
        <v>45156</v>
      </c>
      <c r="E3842" s="5">
        <v>431.86749300000002</v>
      </c>
      <c r="F3842" s="28">
        <v>69.06156</v>
      </c>
      <c r="G3842" s="28">
        <v>175.33</v>
      </c>
      <c r="H3842" s="28">
        <v>356.24079999999998</v>
      </c>
      <c r="I3842" s="28">
        <v>214.53980000000001</v>
      </c>
      <c r="J3842" s="29"/>
      <c r="K3842" s="29"/>
      <c r="L3842" s="29"/>
      <c r="M3842" s="29"/>
      <c r="N3842" s="29"/>
      <c r="P3842" s="4">
        <f t="shared" si="241"/>
        <v>4.8119850472763827E-4</v>
      </c>
      <c r="Q3842" s="4">
        <f t="shared" si="241"/>
        <v>2.1187604840016191E-3</v>
      </c>
      <c r="R3842" s="4">
        <f t="shared" si="241"/>
        <v>1.7112055484813594E-4</v>
      </c>
      <c r="S3842" s="4">
        <f t="shared" si="241"/>
        <v>-1.2556648228484015E-3</v>
      </c>
      <c r="T3842" s="4">
        <f t="shared" si="241"/>
        <v>1.1528980897013328E-3</v>
      </c>
      <c r="U3842" s="35"/>
      <c r="V3842" s="35"/>
      <c r="W3842" s="35"/>
      <c r="X3842" s="35"/>
    </row>
    <row r="3843" spans="4:24" x14ac:dyDescent="0.3">
      <c r="D3843" s="23">
        <v>45159</v>
      </c>
      <c r="E3843" s="5">
        <v>434.677368</v>
      </c>
      <c r="F3843" s="28">
        <v>68.730249999999998</v>
      </c>
      <c r="G3843" s="28">
        <v>175.81</v>
      </c>
      <c r="H3843" s="28">
        <v>361.9803</v>
      </c>
      <c r="I3843" s="28">
        <v>215.7756</v>
      </c>
      <c r="J3843" s="29"/>
      <c r="K3843" s="29"/>
      <c r="L3843" s="29"/>
      <c r="M3843" s="29"/>
      <c r="N3843" s="29"/>
      <c r="P3843" s="4">
        <f t="shared" si="241"/>
        <v>6.4852611209009793E-3</v>
      </c>
      <c r="Q3843" s="4">
        <f t="shared" si="241"/>
        <v>-4.8088582110210124E-3</v>
      </c>
      <c r="R3843" s="4">
        <f t="shared" si="241"/>
        <v>2.7339539726612314E-3</v>
      </c>
      <c r="S3843" s="4">
        <f t="shared" si="241"/>
        <v>1.5982883767455457E-2</v>
      </c>
      <c r="T3843" s="4">
        <f t="shared" si="241"/>
        <v>5.7437098344105524E-3</v>
      </c>
      <c r="U3843" s="35"/>
      <c r="V3843" s="35"/>
      <c r="W3843" s="35"/>
      <c r="X3843" s="35"/>
    </row>
    <row r="3844" spans="4:24" x14ac:dyDescent="0.3">
      <c r="D3844" s="23">
        <v>45160</v>
      </c>
      <c r="E3844" s="5">
        <v>433.49996900000002</v>
      </c>
      <c r="F3844" s="28">
        <v>68.817949999999996</v>
      </c>
      <c r="G3844" s="28">
        <v>176.1</v>
      </c>
      <c r="H3844" s="28">
        <v>361.4631</v>
      </c>
      <c r="I3844" s="28">
        <v>215.2022</v>
      </c>
      <c r="J3844" s="29"/>
      <c r="K3844" s="29"/>
      <c r="L3844" s="29"/>
      <c r="M3844" s="29"/>
      <c r="N3844" s="29"/>
      <c r="P3844" s="4">
        <f t="shared" si="241"/>
        <v>-2.7123484376955754E-3</v>
      </c>
      <c r="Q3844" s="4">
        <f t="shared" si="241"/>
        <v>1.2751895246050748E-3</v>
      </c>
      <c r="R3844" s="4">
        <f t="shared" si="241"/>
        <v>1.6481490474621072E-3</v>
      </c>
      <c r="S3844" s="4">
        <f t="shared" si="241"/>
        <v>-1.4298287554053201E-3</v>
      </c>
      <c r="T3844" s="4">
        <f t="shared" si="241"/>
        <v>-2.6609274924672232E-3</v>
      </c>
      <c r="U3844" s="35"/>
      <c r="V3844" s="35"/>
      <c r="W3844" s="35"/>
      <c r="X3844" s="35"/>
    </row>
    <row r="3845" spans="4:24" x14ac:dyDescent="0.3">
      <c r="D3845" s="23">
        <v>45161</v>
      </c>
      <c r="E3845" s="5">
        <v>438.32818600000002</v>
      </c>
      <c r="F3845" s="28">
        <v>69.441609999999997</v>
      </c>
      <c r="G3845" s="28">
        <v>177.89</v>
      </c>
      <c r="H3845" s="28">
        <v>367.1628</v>
      </c>
      <c r="I3845" s="28">
        <v>217.55510000000001</v>
      </c>
      <c r="J3845" s="29"/>
      <c r="K3845" s="29"/>
      <c r="L3845" s="29"/>
      <c r="M3845" s="29"/>
      <c r="N3845" s="29"/>
      <c r="P3845" s="4">
        <f t="shared" ref="P3845:T3860" si="242">LN(E3845/E3844)</f>
        <v>1.1076188199389858E-2</v>
      </c>
      <c r="Q3845" s="4">
        <f t="shared" si="242"/>
        <v>9.0216434938876558E-3</v>
      </c>
      <c r="R3845" s="4">
        <f t="shared" si="242"/>
        <v>1.0113366235017948E-2</v>
      </c>
      <c r="S3845" s="4">
        <f t="shared" si="242"/>
        <v>1.5645384724825937E-2</v>
      </c>
      <c r="T3845" s="4">
        <f t="shared" si="242"/>
        <v>1.0874100494900204E-2</v>
      </c>
      <c r="U3845" s="35"/>
      <c r="V3845" s="35"/>
      <c r="W3845" s="35"/>
      <c r="X3845" s="35"/>
    </row>
    <row r="3846" spans="4:24" x14ac:dyDescent="0.3">
      <c r="D3846" s="23">
        <v>45162</v>
      </c>
      <c r="E3846" s="5">
        <v>432.25338699999998</v>
      </c>
      <c r="F3846" s="28">
        <v>69.275940000000006</v>
      </c>
      <c r="G3846" s="28">
        <v>177.85</v>
      </c>
      <c r="H3846" s="28">
        <v>359.31450000000001</v>
      </c>
      <c r="I3846" s="28">
        <v>214.6387</v>
      </c>
      <c r="J3846" s="29"/>
      <c r="K3846" s="29"/>
      <c r="L3846" s="29"/>
      <c r="M3846" s="29"/>
      <c r="N3846" s="29"/>
      <c r="P3846" s="4">
        <f t="shared" si="242"/>
        <v>-1.3955952633121929E-2</v>
      </c>
      <c r="Q3846" s="4">
        <f t="shared" si="242"/>
        <v>-2.3885958015787993E-3</v>
      </c>
      <c r="R3846" s="4">
        <f t="shared" si="242"/>
        <v>-2.2488334271413213E-4</v>
      </c>
      <c r="S3846" s="4">
        <f t="shared" si="242"/>
        <v>-2.1607296871430856E-2</v>
      </c>
      <c r="T3846" s="4">
        <f t="shared" si="242"/>
        <v>-1.3496002332575025E-2</v>
      </c>
      <c r="U3846" s="35"/>
      <c r="V3846" s="35"/>
      <c r="W3846" s="35"/>
      <c r="X3846" s="35"/>
    </row>
    <row r="3847" spans="4:24" x14ac:dyDescent="0.3">
      <c r="D3847" s="23">
        <v>45163</v>
      </c>
      <c r="E3847" s="5">
        <v>435.300659</v>
      </c>
      <c r="F3847" s="28">
        <v>69.275940000000006</v>
      </c>
      <c r="G3847" s="28">
        <v>177.62</v>
      </c>
      <c r="H3847" s="28">
        <v>362.09969999999998</v>
      </c>
      <c r="I3847" s="28">
        <v>216.1018</v>
      </c>
      <c r="J3847" s="29"/>
      <c r="K3847" s="29"/>
      <c r="L3847" s="29"/>
      <c r="M3847" s="29"/>
      <c r="N3847" s="29"/>
      <c r="P3847" s="4">
        <f t="shared" si="242"/>
        <v>7.0250021796620672E-3</v>
      </c>
      <c r="Q3847" s="4">
        <f t="shared" si="242"/>
        <v>0</v>
      </c>
      <c r="R3847" s="4">
        <f t="shared" si="242"/>
        <v>-1.2940615641061247E-3</v>
      </c>
      <c r="S3847" s="4">
        <f t="shared" si="242"/>
        <v>7.7215387173958363E-3</v>
      </c>
      <c r="T3847" s="4">
        <f t="shared" si="242"/>
        <v>6.7934435092176903E-3</v>
      </c>
      <c r="U3847" s="35"/>
      <c r="V3847" s="35"/>
      <c r="W3847" s="35"/>
      <c r="X3847" s="35"/>
    </row>
    <row r="3848" spans="4:24" x14ac:dyDescent="0.3">
      <c r="D3848" s="23">
        <v>45166</v>
      </c>
      <c r="E3848" s="5">
        <v>438.06106599999998</v>
      </c>
      <c r="F3848" s="28">
        <v>69.402640000000005</v>
      </c>
      <c r="G3848" s="28">
        <v>178.13</v>
      </c>
      <c r="H3848" s="28">
        <v>364.82530000000003</v>
      </c>
      <c r="I3848" s="28">
        <v>217.48589999999999</v>
      </c>
      <c r="J3848" s="29"/>
      <c r="K3848" s="29"/>
      <c r="L3848" s="29"/>
      <c r="M3848" s="29"/>
      <c r="N3848" s="29"/>
      <c r="P3848" s="4">
        <f t="shared" si="242"/>
        <v>6.3213582941259233E-3</v>
      </c>
      <c r="Q3848" s="4">
        <f t="shared" si="242"/>
        <v>1.8272473694569426E-3</v>
      </c>
      <c r="R3848" s="4">
        <f t="shared" si="242"/>
        <v>2.8671839740354852E-3</v>
      </c>
      <c r="S3848" s="4">
        <f t="shared" si="242"/>
        <v>7.4990205947007681E-3</v>
      </c>
      <c r="T3848" s="4">
        <f t="shared" si="242"/>
        <v>6.3844278858888074E-3</v>
      </c>
      <c r="U3848" s="35"/>
      <c r="V3848" s="35"/>
      <c r="W3848" s="35"/>
      <c r="X3848" s="35"/>
    </row>
    <row r="3849" spans="4:24" x14ac:dyDescent="0.3">
      <c r="D3849" s="23">
        <v>45167</v>
      </c>
      <c r="E3849" s="5">
        <v>444.39315800000003</v>
      </c>
      <c r="F3849" s="28">
        <v>69.831410000000005</v>
      </c>
      <c r="G3849" s="28">
        <v>179.87</v>
      </c>
      <c r="H3849" s="28">
        <v>372.79300000000001</v>
      </c>
      <c r="I3849" s="28">
        <v>220.64940000000001</v>
      </c>
      <c r="J3849" s="29"/>
      <c r="K3849" s="29"/>
      <c r="L3849" s="29"/>
      <c r="M3849" s="29"/>
      <c r="N3849" s="29"/>
      <c r="P3849" s="4">
        <f t="shared" si="242"/>
        <v>1.4351340857658282E-2</v>
      </c>
      <c r="Q3849" s="4">
        <f t="shared" si="242"/>
        <v>6.159001413626965E-3</v>
      </c>
      <c r="R3849" s="4">
        <f t="shared" si="242"/>
        <v>9.7207469354858959E-3</v>
      </c>
      <c r="S3849" s="4">
        <f t="shared" si="242"/>
        <v>2.1604696945576273E-2</v>
      </c>
      <c r="T3849" s="4">
        <f t="shared" si="242"/>
        <v>1.4440995632112956E-2</v>
      </c>
      <c r="U3849" s="35"/>
      <c r="V3849" s="35"/>
      <c r="W3849" s="35"/>
      <c r="X3849" s="35"/>
    </row>
    <row r="3850" spans="4:24" x14ac:dyDescent="0.3">
      <c r="D3850" s="23">
        <v>45168</v>
      </c>
      <c r="E3850" s="5">
        <v>446.22351099999997</v>
      </c>
      <c r="F3850" s="28">
        <v>69.802170000000004</v>
      </c>
      <c r="G3850" s="28">
        <v>180.32</v>
      </c>
      <c r="H3850" s="28">
        <v>374.87189999999998</v>
      </c>
      <c r="I3850" s="28">
        <v>221.62819999999999</v>
      </c>
      <c r="J3850" s="29"/>
      <c r="K3850" s="29"/>
      <c r="L3850" s="29"/>
      <c r="M3850" s="29"/>
      <c r="N3850" s="29"/>
      <c r="P3850" s="4">
        <f t="shared" si="242"/>
        <v>4.1103106210352977E-3</v>
      </c>
      <c r="Q3850" s="4">
        <f t="shared" si="242"/>
        <v>-4.1881043839735475E-4</v>
      </c>
      <c r="R3850" s="4">
        <f t="shared" si="242"/>
        <v>2.4986825515866699E-3</v>
      </c>
      <c r="S3850" s="4">
        <f t="shared" si="242"/>
        <v>5.5610618007251016E-3</v>
      </c>
      <c r="T3850" s="4">
        <f t="shared" si="242"/>
        <v>4.4261866211740518E-3</v>
      </c>
      <c r="U3850" s="35"/>
      <c r="V3850" s="35"/>
      <c r="W3850" s="35"/>
      <c r="X3850" s="35"/>
    </row>
    <row r="3851" spans="4:24" x14ac:dyDescent="0.3">
      <c r="D3851" s="23">
        <v>45169</v>
      </c>
      <c r="E3851" s="5">
        <v>445.57052599999997</v>
      </c>
      <c r="F3851" s="28">
        <v>69.919110000000003</v>
      </c>
      <c r="G3851" s="28">
        <v>180.02</v>
      </c>
      <c r="H3851" s="28">
        <v>375.99599999999998</v>
      </c>
      <c r="I3851" s="28">
        <v>221.39089999999999</v>
      </c>
      <c r="J3851" s="29"/>
      <c r="K3851" s="29"/>
      <c r="L3851" s="29"/>
      <c r="M3851" s="29"/>
      <c r="N3851" s="29"/>
      <c r="P3851" s="4">
        <f t="shared" si="242"/>
        <v>-1.4644303271942509E-3</v>
      </c>
      <c r="Q3851" s="4">
        <f t="shared" si="242"/>
        <v>1.6739043230216231E-3</v>
      </c>
      <c r="R3851" s="4">
        <f t="shared" si="242"/>
        <v>-1.6650944625269059E-3</v>
      </c>
      <c r="S3851" s="4">
        <f t="shared" si="242"/>
        <v>2.9941374235949382E-3</v>
      </c>
      <c r="T3851" s="4">
        <f t="shared" si="242"/>
        <v>-1.0712857422844654E-3</v>
      </c>
      <c r="U3851" s="35"/>
      <c r="V3851" s="35"/>
      <c r="W3851" s="35"/>
      <c r="X3851" s="35"/>
    </row>
    <row r="3852" spans="4:24" x14ac:dyDescent="0.3">
      <c r="D3852" s="23">
        <v>45170</v>
      </c>
      <c r="E3852" s="5">
        <v>446.40158100000002</v>
      </c>
      <c r="F3852" s="28">
        <v>69.58296</v>
      </c>
      <c r="G3852" s="28">
        <v>180.11</v>
      </c>
      <c r="H3852" s="28">
        <v>375.59809999999999</v>
      </c>
      <c r="I3852" s="28">
        <v>222.1225</v>
      </c>
      <c r="J3852" s="29"/>
      <c r="K3852" s="29"/>
      <c r="L3852" s="29"/>
      <c r="M3852" s="29"/>
      <c r="N3852" s="29"/>
      <c r="P3852" s="4">
        <f t="shared" si="242"/>
        <v>1.8634108263044784E-3</v>
      </c>
      <c r="Q3852" s="4">
        <f t="shared" si="242"/>
        <v>-4.8192926543148508E-3</v>
      </c>
      <c r="R3852" s="4">
        <f t="shared" si="242"/>
        <v>4.9981952002694737E-4</v>
      </c>
      <c r="S3852" s="4">
        <f t="shared" si="242"/>
        <v>-1.058816287071814E-3</v>
      </c>
      <c r="T3852" s="4">
        <f t="shared" si="242"/>
        <v>3.2991141353136515E-3</v>
      </c>
      <c r="U3852" s="35"/>
      <c r="V3852" s="35"/>
      <c r="W3852" s="35"/>
      <c r="X3852" s="35"/>
    </row>
    <row r="3853" spans="4:24" x14ac:dyDescent="0.3">
      <c r="D3853" s="23">
        <v>45174</v>
      </c>
      <c r="E3853" s="5">
        <v>444.47228999999999</v>
      </c>
      <c r="F3853" s="28">
        <v>69.201880000000003</v>
      </c>
      <c r="G3853" s="28">
        <v>178.64</v>
      </c>
      <c r="H3853" s="28">
        <v>376.07560000000001</v>
      </c>
      <c r="I3853" s="28">
        <v>220.79769999999999</v>
      </c>
      <c r="J3853" s="29"/>
      <c r="K3853" s="29"/>
      <c r="L3853" s="29"/>
      <c r="M3853" s="29"/>
      <c r="N3853" s="29"/>
      <c r="P3853" s="4">
        <f t="shared" si="242"/>
        <v>-4.3312394242738545E-3</v>
      </c>
      <c r="Q3853" s="4">
        <f t="shared" si="242"/>
        <v>-5.4916798943526694E-3</v>
      </c>
      <c r="R3853" s="4">
        <f t="shared" si="242"/>
        <v>-8.1951678170637862E-3</v>
      </c>
      <c r="S3853" s="4">
        <f t="shared" si="242"/>
        <v>1.2704982606957442E-3</v>
      </c>
      <c r="T3853" s="4">
        <f t="shared" si="242"/>
        <v>-5.9821338054292864E-3</v>
      </c>
      <c r="U3853" s="35"/>
      <c r="V3853" s="35"/>
      <c r="W3853" s="35"/>
      <c r="X3853" s="35"/>
    </row>
    <row r="3854" spans="4:24" x14ac:dyDescent="0.3">
      <c r="D3854" s="23">
        <v>45175</v>
      </c>
      <c r="E3854" s="5">
        <v>441.48431399999998</v>
      </c>
      <c r="F3854" s="28">
        <v>69.123710000000003</v>
      </c>
      <c r="G3854" s="28">
        <v>177.83</v>
      </c>
      <c r="H3854" s="28">
        <v>372.76319999999998</v>
      </c>
      <c r="I3854" s="28">
        <v>219.41370000000001</v>
      </c>
      <c r="J3854" s="29"/>
      <c r="K3854" s="29"/>
      <c r="L3854" s="29"/>
      <c r="M3854" s="29"/>
      <c r="N3854" s="29"/>
      <c r="P3854" s="4">
        <f t="shared" si="242"/>
        <v>-6.7452227691955037E-3</v>
      </c>
      <c r="Q3854" s="4">
        <f t="shared" si="242"/>
        <v>-1.1302320607684874E-3</v>
      </c>
      <c r="R3854" s="4">
        <f t="shared" si="242"/>
        <v>-4.5445697763330812E-3</v>
      </c>
      <c r="S3854" s="4">
        <f t="shared" si="242"/>
        <v>-8.8468215163690685E-3</v>
      </c>
      <c r="T3854" s="4">
        <f t="shared" si="242"/>
        <v>-6.2879087639387031E-3</v>
      </c>
      <c r="U3854" s="35"/>
      <c r="V3854" s="35"/>
      <c r="W3854" s="35"/>
      <c r="X3854" s="35"/>
    </row>
    <row r="3855" spans="4:24" x14ac:dyDescent="0.3">
      <c r="D3855" s="23">
        <v>45176</v>
      </c>
      <c r="E3855" s="5">
        <v>440.12887599999999</v>
      </c>
      <c r="F3855" s="28">
        <v>69.358230000000006</v>
      </c>
      <c r="G3855" s="28">
        <v>178.02</v>
      </c>
      <c r="H3855" s="28">
        <v>370.09730000000002</v>
      </c>
      <c r="I3855" s="28">
        <v>218.66229999999999</v>
      </c>
      <c r="J3855" s="29"/>
      <c r="K3855" s="29"/>
      <c r="L3855" s="29"/>
      <c r="M3855" s="29"/>
      <c r="N3855" s="29"/>
      <c r="P3855" s="4">
        <f t="shared" si="242"/>
        <v>-3.0749065085509128E-3</v>
      </c>
      <c r="Q3855" s="4">
        <f t="shared" si="242"/>
        <v>3.3870152916487756E-3</v>
      </c>
      <c r="R3855" s="4">
        <f t="shared" si="242"/>
        <v>1.0678657752161262E-3</v>
      </c>
      <c r="S3855" s="4">
        <f t="shared" si="242"/>
        <v>-7.1774214527783415E-3</v>
      </c>
      <c r="T3855" s="4">
        <f t="shared" si="242"/>
        <v>-3.4304583536902441E-3</v>
      </c>
      <c r="U3855" s="35"/>
      <c r="V3855" s="35"/>
      <c r="W3855" s="35"/>
      <c r="X3855" s="35"/>
    </row>
    <row r="3856" spans="4:24" x14ac:dyDescent="0.3">
      <c r="D3856" s="23">
        <v>45177</v>
      </c>
      <c r="E3856" s="5">
        <v>440.79174799999998</v>
      </c>
      <c r="F3856" s="28">
        <v>69.377750000000006</v>
      </c>
      <c r="G3856" s="28">
        <v>178.08</v>
      </c>
      <c r="H3856" s="28">
        <v>370.6146</v>
      </c>
      <c r="I3856" s="28">
        <v>218.89959999999999</v>
      </c>
      <c r="J3856" s="29"/>
      <c r="K3856" s="29"/>
      <c r="L3856" s="29"/>
      <c r="M3856" s="29"/>
      <c r="N3856" s="29"/>
      <c r="P3856" s="4">
        <f t="shared" si="242"/>
        <v>1.5049531298308536E-3</v>
      </c>
      <c r="Q3856" s="4">
        <f t="shared" si="242"/>
        <v>2.8139780508003358E-4</v>
      </c>
      <c r="R3856" s="4">
        <f t="shared" si="242"/>
        <v>3.3698399644917557E-4</v>
      </c>
      <c r="S3856" s="4">
        <f t="shared" si="242"/>
        <v>1.3967646101062394E-3</v>
      </c>
      <c r="T3856" s="4">
        <f t="shared" si="242"/>
        <v>1.0846466443465322E-3</v>
      </c>
      <c r="U3856" s="35"/>
      <c r="V3856" s="35"/>
      <c r="W3856" s="35"/>
      <c r="X3856" s="35"/>
    </row>
    <row r="3857" spans="4:24" x14ac:dyDescent="0.3">
      <c r="D3857" s="23">
        <v>45180</v>
      </c>
      <c r="E3857" s="5">
        <v>443.690674</v>
      </c>
      <c r="F3857" s="28">
        <v>69.270290000000003</v>
      </c>
      <c r="G3857" s="28">
        <v>178.41</v>
      </c>
      <c r="H3857" s="28">
        <v>374.98140000000001</v>
      </c>
      <c r="I3857" s="28">
        <v>220.27379999999999</v>
      </c>
      <c r="J3857" s="29"/>
      <c r="K3857" s="29"/>
      <c r="L3857" s="29"/>
      <c r="M3857" s="29"/>
      <c r="N3857" s="29"/>
      <c r="P3857" s="4">
        <f t="shared" si="242"/>
        <v>6.5551023023277524E-3</v>
      </c>
      <c r="Q3857" s="4">
        <f t="shared" si="242"/>
        <v>-1.5501123783287856E-3</v>
      </c>
      <c r="R3857" s="4">
        <f t="shared" si="242"/>
        <v>1.8513848593772974E-3</v>
      </c>
      <c r="S3857" s="4">
        <f t="shared" si="242"/>
        <v>1.1713716090272292E-2</v>
      </c>
      <c r="T3857" s="4">
        <f t="shared" si="242"/>
        <v>6.2581407934321123E-3</v>
      </c>
      <c r="U3857" s="35"/>
      <c r="V3857" s="35"/>
      <c r="W3857" s="35"/>
      <c r="X3857" s="35"/>
    </row>
    <row r="3858" spans="4:24" x14ac:dyDescent="0.3">
      <c r="D3858" s="23">
        <v>45181</v>
      </c>
      <c r="E3858" s="5">
        <v>441.256775</v>
      </c>
      <c r="F3858" s="28">
        <v>69.319130000000001</v>
      </c>
      <c r="G3858" s="28">
        <v>177.49</v>
      </c>
      <c r="H3858" s="28">
        <v>370.82350000000002</v>
      </c>
      <c r="I3858" s="28">
        <v>219.20609999999999</v>
      </c>
      <c r="J3858" s="29"/>
      <c r="K3858" s="29"/>
      <c r="L3858" s="29"/>
      <c r="M3858" s="29"/>
      <c r="N3858" s="29"/>
      <c r="P3858" s="4">
        <f t="shared" si="242"/>
        <v>-5.5006772203524592E-3</v>
      </c>
      <c r="Q3858" s="4">
        <f t="shared" si="242"/>
        <v>7.0481573588850358E-4</v>
      </c>
      <c r="R3858" s="4">
        <f t="shared" si="242"/>
        <v>-5.1700030863567215E-3</v>
      </c>
      <c r="S3858" s="4">
        <f t="shared" si="242"/>
        <v>-1.1150216573515092E-2</v>
      </c>
      <c r="T3858" s="4">
        <f t="shared" si="242"/>
        <v>-4.8589348483605169E-3</v>
      </c>
      <c r="U3858" s="35"/>
      <c r="V3858" s="35"/>
      <c r="W3858" s="35"/>
      <c r="X3858" s="35"/>
    </row>
    <row r="3859" spans="4:24" x14ac:dyDescent="0.3">
      <c r="D3859" s="23">
        <v>45182</v>
      </c>
      <c r="E3859" s="5">
        <v>441.77127100000001</v>
      </c>
      <c r="F3859" s="28">
        <v>69.42662</v>
      </c>
      <c r="G3859" s="28">
        <v>177.08</v>
      </c>
      <c r="H3859" s="28">
        <v>372.23599999999999</v>
      </c>
      <c r="I3859" s="28">
        <v>219.23570000000001</v>
      </c>
      <c r="J3859" s="29"/>
      <c r="K3859" s="29"/>
      <c r="L3859" s="29"/>
      <c r="M3859" s="29"/>
      <c r="N3859" s="29"/>
      <c r="P3859" s="4">
        <f t="shared" si="242"/>
        <v>1.1652994727654599E-3</v>
      </c>
      <c r="Q3859" s="4">
        <f t="shared" si="242"/>
        <v>1.5494531761183893E-3</v>
      </c>
      <c r="R3859" s="4">
        <f t="shared" si="242"/>
        <v>-2.3126614363148867E-3</v>
      </c>
      <c r="S3859" s="4">
        <f t="shared" si="242"/>
        <v>3.8018535564553054E-3</v>
      </c>
      <c r="T3859" s="4">
        <f t="shared" si="242"/>
        <v>1.3502362249666691E-4</v>
      </c>
      <c r="U3859" s="35"/>
      <c r="V3859" s="35"/>
      <c r="W3859" s="35"/>
      <c r="X3859" s="35"/>
    </row>
    <row r="3860" spans="4:24" x14ac:dyDescent="0.3">
      <c r="D3860" s="23">
        <v>45183</v>
      </c>
      <c r="E3860" s="5">
        <v>445.58041400000002</v>
      </c>
      <c r="F3860" s="28">
        <v>69.309359999999998</v>
      </c>
      <c r="G3860" s="28">
        <v>177.17</v>
      </c>
      <c r="H3860" s="28">
        <v>375.27980000000002</v>
      </c>
      <c r="I3860" s="28">
        <v>221.11410000000001</v>
      </c>
      <c r="J3860" s="29"/>
      <c r="K3860" s="29"/>
      <c r="L3860" s="29"/>
      <c r="M3860" s="29"/>
      <c r="N3860" s="29"/>
      <c r="P3860" s="4">
        <f t="shared" si="242"/>
        <v>8.5854717179810053E-3</v>
      </c>
      <c r="Q3860" s="4">
        <f t="shared" si="242"/>
        <v>-1.6904054438113001E-3</v>
      </c>
      <c r="R3860" s="4">
        <f t="shared" si="242"/>
        <v>5.0811574840556371E-4</v>
      </c>
      <c r="S3860" s="4">
        <f t="shared" si="242"/>
        <v>8.1438193614220573E-3</v>
      </c>
      <c r="T3860" s="4">
        <f t="shared" si="242"/>
        <v>8.5314511025907595E-3</v>
      </c>
      <c r="U3860" s="35"/>
      <c r="V3860" s="35"/>
      <c r="W3860" s="35"/>
      <c r="X3860" s="35"/>
    </row>
    <row r="3861" spans="4:24" x14ac:dyDescent="0.3">
      <c r="D3861" s="23">
        <v>45184</v>
      </c>
      <c r="E3861" s="5">
        <v>440.211884</v>
      </c>
      <c r="F3861" s="28">
        <v>69.172569999999993</v>
      </c>
      <c r="G3861" s="28">
        <v>178.34</v>
      </c>
      <c r="H3861" s="28">
        <v>368.85390000000001</v>
      </c>
      <c r="I3861" s="28">
        <v>218.51400000000001</v>
      </c>
      <c r="J3861" s="29"/>
      <c r="K3861" s="29"/>
      <c r="L3861" s="29"/>
      <c r="M3861" s="29"/>
      <c r="N3861" s="29"/>
      <c r="P3861" s="4">
        <f t="shared" ref="P3861:T3876" si="243">LN(E3861/E3860)</f>
        <v>-1.212156788044759E-2</v>
      </c>
      <c r="Q3861" s="4">
        <f t="shared" si="243"/>
        <v>-1.9755652522943463E-3</v>
      </c>
      <c r="R3861" s="4">
        <f t="shared" si="243"/>
        <v>6.5821170943874494E-3</v>
      </c>
      <c r="S3861" s="4">
        <f t="shared" si="243"/>
        <v>-1.7271250406416486E-2</v>
      </c>
      <c r="T3861" s="4">
        <f t="shared" si="243"/>
        <v>-1.1828772169308659E-2</v>
      </c>
      <c r="U3861" s="35"/>
      <c r="V3861" s="35"/>
      <c r="W3861" s="35"/>
      <c r="X3861" s="35"/>
    </row>
    <row r="3862" spans="4:24" x14ac:dyDescent="0.3">
      <c r="D3862" s="23">
        <v>45187</v>
      </c>
      <c r="E3862" s="5">
        <v>440.47006199999998</v>
      </c>
      <c r="F3862" s="28">
        <v>69.240960000000001</v>
      </c>
      <c r="G3862" s="28">
        <v>179.39</v>
      </c>
      <c r="H3862" s="28">
        <v>369.23840000000001</v>
      </c>
      <c r="I3862" s="28">
        <v>218.53380000000001</v>
      </c>
      <c r="J3862" s="29"/>
      <c r="K3862" s="29"/>
      <c r="L3862" s="29"/>
      <c r="M3862" s="29"/>
      <c r="N3862" s="29"/>
      <c r="P3862" s="4">
        <f t="shared" si="243"/>
        <v>5.8631384137850591E-4</v>
      </c>
      <c r="Q3862" s="4">
        <f t="shared" si="243"/>
        <v>9.8819827173605816E-4</v>
      </c>
      <c r="R3862" s="4">
        <f t="shared" si="243"/>
        <v>5.8703660042657797E-3</v>
      </c>
      <c r="S3862" s="4">
        <f t="shared" si="243"/>
        <v>1.0418752093237877E-3</v>
      </c>
      <c r="T3862" s="4">
        <f t="shared" si="243"/>
        <v>9.0607938141086674E-5</v>
      </c>
      <c r="U3862" s="35"/>
      <c r="V3862" s="35"/>
      <c r="W3862" s="35"/>
      <c r="X3862" s="35"/>
    </row>
    <row r="3863" spans="4:24" x14ac:dyDescent="0.3">
      <c r="D3863" s="23">
        <v>45188</v>
      </c>
      <c r="E3863" s="5">
        <v>439.55658</v>
      </c>
      <c r="F3863" s="28">
        <v>69.094390000000004</v>
      </c>
      <c r="G3863" s="28">
        <v>179.22</v>
      </c>
      <c r="H3863" s="28">
        <v>368.45139999999998</v>
      </c>
      <c r="I3863" s="28">
        <v>217.9802</v>
      </c>
      <c r="J3863" s="29"/>
      <c r="K3863" s="29"/>
      <c r="L3863" s="29"/>
      <c r="M3863" s="29"/>
      <c r="N3863" s="29"/>
      <c r="P3863" s="4">
        <f t="shared" si="243"/>
        <v>-2.0760333482852914E-3</v>
      </c>
      <c r="Q3863" s="4">
        <f t="shared" si="243"/>
        <v>-2.1190542380725274E-3</v>
      </c>
      <c r="R3863" s="4">
        <f t="shared" si="243"/>
        <v>-9.4810525492567744E-4</v>
      </c>
      <c r="S3863" s="4">
        <f t="shared" si="243"/>
        <v>-2.133688980318234E-3</v>
      </c>
      <c r="T3863" s="4">
        <f t="shared" si="243"/>
        <v>-2.5364606716160431E-3</v>
      </c>
      <c r="U3863" s="35"/>
      <c r="V3863" s="35"/>
      <c r="W3863" s="35"/>
      <c r="X3863" s="35"/>
    </row>
    <row r="3864" spans="4:24" x14ac:dyDescent="0.3">
      <c r="D3864" s="23">
        <v>45189</v>
      </c>
      <c r="E3864" s="5">
        <v>435.515625</v>
      </c>
      <c r="F3864" s="28">
        <v>69.006450000000001</v>
      </c>
      <c r="G3864" s="28">
        <v>179.35</v>
      </c>
      <c r="H3864" s="28">
        <v>363.14190000000002</v>
      </c>
      <c r="I3864" s="28">
        <v>216.05240000000001</v>
      </c>
      <c r="J3864" s="29"/>
      <c r="K3864" s="29"/>
      <c r="L3864" s="29"/>
      <c r="M3864" s="29"/>
      <c r="N3864" s="29"/>
      <c r="P3864" s="4">
        <f t="shared" si="243"/>
        <v>-9.2357720909241776E-3</v>
      </c>
      <c r="Q3864" s="4">
        <f t="shared" si="243"/>
        <v>-1.2735623025359507E-3</v>
      </c>
      <c r="R3864" s="4">
        <f t="shared" si="243"/>
        <v>7.2510252221802656E-4</v>
      </c>
      <c r="S3864" s="4">
        <f t="shared" si="243"/>
        <v>-1.4515149936534407E-2</v>
      </c>
      <c r="T3864" s="4">
        <f t="shared" si="243"/>
        <v>-8.8832621201803443E-3</v>
      </c>
      <c r="U3864" s="35"/>
      <c r="V3864" s="35"/>
      <c r="W3864" s="35"/>
      <c r="X3864" s="35"/>
    </row>
    <row r="3865" spans="4:24" x14ac:dyDescent="0.3">
      <c r="D3865" s="23">
        <v>45190</v>
      </c>
      <c r="E3865" s="5">
        <v>428.31723</v>
      </c>
      <c r="F3865" s="28">
        <v>68.576499999999996</v>
      </c>
      <c r="G3865" s="28">
        <v>178.05</v>
      </c>
      <c r="H3865" s="28">
        <v>356.48750000000001</v>
      </c>
      <c r="I3865" s="28">
        <v>212.42869999999999</v>
      </c>
      <c r="J3865" s="29"/>
      <c r="K3865" s="29"/>
      <c r="L3865" s="29"/>
      <c r="M3865" s="29"/>
      <c r="N3865" s="29"/>
      <c r="P3865" s="4">
        <f t="shared" si="243"/>
        <v>-1.6666561326001347E-2</v>
      </c>
      <c r="Q3865" s="4">
        <f t="shared" si="243"/>
        <v>-6.250068044134735E-3</v>
      </c>
      <c r="R3865" s="4">
        <f t="shared" si="243"/>
        <v>-7.2747942545047127E-3</v>
      </c>
      <c r="S3865" s="4">
        <f t="shared" si="243"/>
        <v>-1.8494490844686177E-2</v>
      </c>
      <c r="T3865" s="4">
        <f t="shared" si="243"/>
        <v>-1.6914568205813503E-2</v>
      </c>
      <c r="U3865" s="35"/>
      <c r="V3865" s="35"/>
      <c r="W3865" s="35"/>
      <c r="X3865" s="35"/>
    </row>
    <row r="3866" spans="4:24" x14ac:dyDescent="0.3">
      <c r="D3866" s="23">
        <v>45191</v>
      </c>
      <c r="E3866" s="5">
        <v>427.35415599999999</v>
      </c>
      <c r="F3866" s="28">
        <v>68.859880000000004</v>
      </c>
      <c r="G3866" s="28">
        <v>178.62</v>
      </c>
      <c r="H3866" s="28">
        <v>356.53730000000002</v>
      </c>
      <c r="I3866" s="28">
        <v>211.98220000000001</v>
      </c>
      <c r="J3866" s="29"/>
      <c r="K3866" s="29"/>
      <c r="L3866" s="29"/>
      <c r="M3866" s="29"/>
      <c r="N3866" s="29"/>
      <c r="P3866" s="4">
        <f t="shared" si="243"/>
        <v>-2.2510380092849659E-3</v>
      </c>
      <c r="Q3866" s="4">
        <f t="shared" si="243"/>
        <v>4.1238047974061238E-3</v>
      </c>
      <c r="R3866" s="4">
        <f t="shared" si="243"/>
        <v>3.1962345319531725E-3</v>
      </c>
      <c r="S3866" s="4">
        <f t="shared" si="243"/>
        <v>1.3968658616363573E-4</v>
      </c>
      <c r="T3866" s="4">
        <f t="shared" si="243"/>
        <v>-2.1040937672858954E-3</v>
      </c>
      <c r="U3866" s="35"/>
      <c r="V3866" s="35"/>
      <c r="W3866" s="35"/>
      <c r="X3866" s="35"/>
    </row>
    <row r="3867" spans="4:24" x14ac:dyDescent="0.3">
      <c r="D3867" s="23">
        <v>45194</v>
      </c>
      <c r="E3867" s="5">
        <v>429.15124500000002</v>
      </c>
      <c r="F3867" s="28">
        <v>68.351749999999996</v>
      </c>
      <c r="G3867" s="28">
        <v>177.7</v>
      </c>
      <c r="H3867" s="28">
        <v>358.23079999999999</v>
      </c>
      <c r="I3867" s="28">
        <v>212.8355</v>
      </c>
      <c r="J3867" s="29"/>
      <c r="K3867" s="29"/>
      <c r="L3867" s="29"/>
      <c r="M3867" s="29"/>
      <c r="N3867" s="29"/>
      <c r="P3867" s="4">
        <f t="shared" si="243"/>
        <v>4.1963346290940845E-3</v>
      </c>
      <c r="Q3867" s="4">
        <f t="shared" si="243"/>
        <v>-7.4065488890470346E-3</v>
      </c>
      <c r="R3867" s="4">
        <f t="shared" si="243"/>
        <v>-5.1639090951345031E-3</v>
      </c>
      <c r="S3867" s="4">
        <f t="shared" si="243"/>
        <v>4.7386087008576402E-3</v>
      </c>
      <c r="T3867" s="4">
        <f t="shared" si="243"/>
        <v>4.0172579794660193E-3</v>
      </c>
      <c r="U3867" s="35"/>
      <c r="V3867" s="35"/>
      <c r="W3867" s="35"/>
      <c r="X3867" s="35"/>
    </row>
    <row r="3868" spans="4:24" x14ac:dyDescent="0.3">
      <c r="D3868" s="23">
        <v>45195</v>
      </c>
      <c r="E3868" s="5">
        <v>422.84646600000002</v>
      </c>
      <c r="F3868" s="28">
        <v>68.283349999999999</v>
      </c>
      <c r="G3868" s="28">
        <v>176.28</v>
      </c>
      <c r="H3868" s="28">
        <v>352.85149999999999</v>
      </c>
      <c r="I3868" s="28">
        <v>209.76949999999999</v>
      </c>
      <c r="J3868" s="29"/>
      <c r="K3868" s="29"/>
      <c r="L3868" s="29"/>
      <c r="M3868" s="29"/>
      <c r="N3868" s="29"/>
      <c r="P3868" s="4">
        <f t="shared" si="243"/>
        <v>-1.4800260623859163E-2</v>
      </c>
      <c r="Q3868" s="4">
        <f t="shared" si="243"/>
        <v>-1.0012069477573825E-3</v>
      </c>
      <c r="R3868" s="4">
        <f t="shared" si="243"/>
        <v>-8.0230951868192797E-3</v>
      </c>
      <c r="S3868" s="4">
        <f t="shared" si="243"/>
        <v>-1.51301828770383E-2</v>
      </c>
      <c r="T3868" s="4">
        <f t="shared" si="243"/>
        <v>-1.4510258017391644E-2</v>
      </c>
      <c r="U3868" s="35"/>
      <c r="V3868" s="35"/>
      <c r="W3868" s="35"/>
      <c r="X3868" s="35"/>
    </row>
    <row r="3869" spans="4:24" x14ac:dyDescent="0.3">
      <c r="D3869" s="23">
        <v>45196</v>
      </c>
      <c r="E3869" s="5">
        <v>423.01525900000001</v>
      </c>
      <c r="F3869" s="28">
        <v>68.039069999999995</v>
      </c>
      <c r="G3869" s="28">
        <v>174.1</v>
      </c>
      <c r="H3869" s="28">
        <v>353.67829999999998</v>
      </c>
      <c r="I3869" s="28">
        <v>209.98779999999999</v>
      </c>
      <c r="J3869" s="29"/>
      <c r="K3869" s="29"/>
      <c r="L3869" s="29"/>
      <c r="M3869" s="29"/>
      <c r="N3869" s="29"/>
      <c r="P3869" s="4">
        <f t="shared" si="243"/>
        <v>3.9910306200571539E-4</v>
      </c>
      <c r="Q3869" s="4">
        <f t="shared" si="243"/>
        <v>-3.5838604018634513E-3</v>
      </c>
      <c r="R3869" s="4">
        <f t="shared" si="243"/>
        <v>-1.2443793199642889E-2</v>
      </c>
      <c r="S3869" s="4">
        <f t="shared" si="243"/>
        <v>2.3404543655918121E-3</v>
      </c>
      <c r="T3869" s="4">
        <f t="shared" si="243"/>
        <v>1.0401249468719733E-3</v>
      </c>
      <c r="U3869" s="35"/>
      <c r="V3869" s="35"/>
      <c r="W3869" s="35"/>
      <c r="X3869" s="35"/>
    </row>
    <row r="3870" spans="4:24" x14ac:dyDescent="0.3">
      <c r="D3870" s="23">
        <v>45197</v>
      </c>
      <c r="E3870" s="5">
        <v>425.46768200000002</v>
      </c>
      <c r="F3870" s="28">
        <v>68.214960000000005</v>
      </c>
      <c r="G3870" s="28">
        <v>173.23</v>
      </c>
      <c r="H3870" s="28">
        <v>356.63690000000003</v>
      </c>
      <c r="I3870" s="28">
        <v>211.37690000000001</v>
      </c>
      <c r="J3870" s="29"/>
      <c r="K3870" s="29"/>
      <c r="L3870" s="29"/>
      <c r="M3870" s="29"/>
      <c r="N3870" s="29"/>
      <c r="P3870" s="4">
        <f t="shared" si="243"/>
        <v>5.7807404506745189E-3</v>
      </c>
      <c r="Q3870" s="4">
        <f t="shared" si="243"/>
        <v>2.5817966294590503E-3</v>
      </c>
      <c r="R3870" s="4">
        <f t="shared" si="243"/>
        <v>-5.0096554832938104E-3</v>
      </c>
      <c r="S3870" s="4">
        <f t="shared" si="243"/>
        <v>8.3304344595135707E-3</v>
      </c>
      <c r="T3870" s="4">
        <f t="shared" si="243"/>
        <v>6.5933621506108877E-3</v>
      </c>
      <c r="U3870" s="35"/>
      <c r="V3870" s="35"/>
      <c r="W3870" s="35"/>
      <c r="X3870" s="35"/>
    </row>
    <row r="3871" spans="4:24" x14ac:dyDescent="0.3">
      <c r="D3871" s="23">
        <v>45198</v>
      </c>
      <c r="E3871" s="5">
        <v>424.43511999999998</v>
      </c>
      <c r="F3871" s="28">
        <v>68.185630000000003</v>
      </c>
      <c r="G3871" s="28">
        <v>171.45</v>
      </c>
      <c r="H3871" s="28">
        <v>356.89589999999998</v>
      </c>
      <c r="I3871" s="28">
        <v>210.76169999999999</v>
      </c>
      <c r="J3871" s="29"/>
      <c r="K3871" s="29"/>
      <c r="L3871" s="29"/>
      <c r="M3871" s="29"/>
      <c r="N3871" s="29"/>
      <c r="P3871" s="4">
        <f t="shared" si="243"/>
        <v>-2.4298366956781448E-3</v>
      </c>
      <c r="Q3871" s="4">
        <f t="shared" si="243"/>
        <v>-4.3005679743825823E-4</v>
      </c>
      <c r="R3871" s="4">
        <f t="shared" si="243"/>
        <v>-1.0328512381920224E-2</v>
      </c>
      <c r="S3871" s="4">
        <f t="shared" si="243"/>
        <v>7.2596525730828174E-4</v>
      </c>
      <c r="T3871" s="4">
        <f t="shared" si="243"/>
        <v>-2.9146845871478285E-3</v>
      </c>
      <c r="U3871" s="35"/>
      <c r="V3871" s="35"/>
      <c r="W3871" s="35"/>
      <c r="X3871" s="35"/>
    </row>
    <row r="3872" spans="4:24" x14ac:dyDescent="0.3">
      <c r="D3872" s="23">
        <v>45201</v>
      </c>
      <c r="E3872" s="5">
        <v>424.26629600000001</v>
      </c>
      <c r="F3872" s="28">
        <v>67.717269999999999</v>
      </c>
      <c r="G3872" s="28">
        <v>169.65</v>
      </c>
      <c r="H3872" s="28">
        <v>359.87450000000001</v>
      </c>
      <c r="I3872" s="28">
        <v>210.48390000000001</v>
      </c>
      <c r="J3872" s="29"/>
      <c r="K3872" s="29"/>
      <c r="L3872" s="29"/>
      <c r="M3872" s="29"/>
      <c r="N3872" s="29"/>
      <c r="P3872" s="4">
        <f t="shared" si="243"/>
        <v>-3.9784074597731865E-4</v>
      </c>
      <c r="Q3872" s="4">
        <f t="shared" si="243"/>
        <v>-6.8925954373420016E-3</v>
      </c>
      <c r="R3872" s="4">
        <f t="shared" si="243"/>
        <v>-1.0554187678690145E-2</v>
      </c>
      <c r="S3872" s="4">
        <f t="shared" si="243"/>
        <v>8.311216941648044E-3</v>
      </c>
      <c r="T3872" s="4">
        <f t="shared" si="243"/>
        <v>-1.318945718469832E-3</v>
      </c>
      <c r="U3872" s="35"/>
      <c r="V3872" s="35"/>
      <c r="W3872" s="35"/>
      <c r="X3872" s="35"/>
    </row>
    <row r="3873" spans="4:24" x14ac:dyDescent="0.3">
      <c r="D3873" s="23">
        <v>45202</v>
      </c>
      <c r="E3873" s="5">
        <v>418.58703600000001</v>
      </c>
      <c r="F3873" s="28">
        <v>67.168559999999999</v>
      </c>
      <c r="G3873" s="28">
        <v>169.16</v>
      </c>
      <c r="H3873" s="28">
        <v>353.55880000000002</v>
      </c>
      <c r="I3873" s="28">
        <v>207.42779999999999</v>
      </c>
      <c r="J3873" s="29"/>
      <c r="K3873" s="29"/>
      <c r="L3873" s="29"/>
      <c r="M3873" s="29"/>
      <c r="N3873" s="29"/>
      <c r="P3873" s="4">
        <f t="shared" si="243"/>
        <v>-1.3476475058067124E-2</v>
      </c>
      <c r="Q3873" s="4">
        <f t="shared" si="243"/>
        <v>-8.1359624916456218E-3</v>
      </c>
      <c r="R3873" s="4">
        <f t="shared" si="243"/>
        <v>-2.8924786259514109E-3</v>
      </c>
      <c r="S3873" s="4">
        <f t="shared" si="243"/>
        <v>-1.77055514221784E-2</v>
      </c>
      <c r="T3873" s="4">
        <f t="shared" si="243"/>
        <v>-1.4625838322524821E-2</v>
      </c>
      <c r="U3873" s="35"/>
      <c r="V3873" s="35"/>
      <c r="W3873" s="35"/>
      <c r="X3873" s="35"/>
    </row>
    <row r="3874" spans="4:24" x14ac:dyDescent="0.3">
      <c r="D3874" s="23">
        <v>45203</v>
      </c>
      <c r="E3874" s="5">
        <v>421.63519300000002</v>
      </c>
      <c r="F3874" s="28">
        <v>67.609499999999997</v>
      </c>
      <c r="G3874" s="28">
        <v>169.14</v>
      </c>
      <c r="H3874" s="28">
        <v>358.37020000000001</v>
      </c>
      <c r="I3874" s="28">
        <v>208.92609999999999</v>
      </c>
      <c r="J3874" s="29"/>
      <c r="K3874" s="29"/>
      <c r="L3874" s="29"/>
      <c r="M3874" s="29"/>
      <c r="N3874" s="29"/>
      <c r="P3874" s="4">
        <f t="shared" si="243"/>
        <v>7.2556289683488925E-3</v>
      </c>
      <c r="Q3874" s="4">
        <f t="shared" si="243"/>
        <v>6.5432248125789905E-3</v>
      </c>
      <c r="R3874" s="4">
        <f t="shared" si="243"/>
        <v>-1.1823825021168353E-4</v>
      </c>
      <c r="S3874" s="4">
        <f t="shared" si="243"/>
        <v>1.351672218452978E-2</v>
      </c>
      <c r="T3874" s="4">
        <f t="shared" si="243"/>
        <v>7.1972736066572666E-3</v>
      </c>
      <c r="U3874" s="35"/>
      <c r="V3874" s="35"/>
      <c r="W3874" s="35"/>
      <c r="X3874" s="35"/>
    </row>
    <row r="3875" spans="4:24" x14ac:dyDescent="0.3">
      <c r="D3875" s="23">
        <v>45204</v>
      </c>
      <c r="E3875" s="5">
        <v>421.47631799999999</v>
      </c>
      <c r="F3875" s="28">
        <v>67.65849</v>
      </c>
      <c r="G3875" s="28">
        <v>168.83</v>
      </c>
      <c r="H3875" s="28">
        <v>357.3143</v>
      </c>
      <c r="I3875" s="28">
        <v>208.81700000000001</v>
      </c>
      <c r="J3875" s="29"/>
      <c r="K3875" s="29"/>
      <c r="L3875" s="29"/>
      <c r="M3875" s="29"/>
      <c r="N3875" s="29"/>
      <c r="P3875" s="4">
        <f t="shared" si="243"/>
        <v>-3.7687779091545467E-4</v>
      </c>
      <c r="Q3875" s="4">
        <f t="shared" si="243"/>
        <v>7.2433991429837253E-4</v>
      </c>
      <c r="R3875" s="4">
        <f t="shared" si="243"/>
        <v>-1.8344828649738052E-3</v>
      </c>
      <c r="S3875" s="4">
        <f t="shared" si="243"/>
        <v>-2.9507437037787428E-3</v>
      </c>
      <c r="T3875" s="4">
        <f t="shared" si="243"/>
        <v>-5.2233060213543157E-4</v>
      </c>
      <c r="U3875" s="35"/>
      <c r="V3875" s="35"/>
      <c r="W3875" s="35"/>
      <c r="X3875" s="35"/>
    </row>
    <row r="3876" spans="4:24" x14ac:dyDescent="0.3">
      <c r="D3876" s="23">
        <v>45205</v>
      </c>
      <c r="E3876" s="5">
        <v>426.48040800000001</v>
      </c>
      <c r="F3876" s="28">
        <v>67.393929999999997</v>
      </c>
      <c r="G3876" s="28">
        <v>169.7</v>
      </c>
      <c r="H3876" s="28">
        <v>363.30130000000003</v>
      </c>
      <c r="I3876" s="28">
        <v>211.3075</v>
      </c>
      <c r="J3876" s="29"/>
      <c r="K3876" s="29"/>
      <c r="L3876" s="29"/>
      <c r="M3876" s="29"/>
      <c r="N3876" s="29"/>
      <c r="P3876" s="4">
        <f t="shared" si="243"/>
        <v>1.1802838372500275E-2</v>
      </c>
      <c r="Q3876" s="4">
        <f t="shared" si="243"/>
        <v>-3.9178911183287519E-3</v>
      </c>
      <c r="R3876" s="4">
        <f t="shared" si="243"/>
        <v>5.1398807510781635E-3</v>
      </c>
      <c r="S3876" s="4">
        <f t="shared" si="243"/>
        <v>1.6616730912052825E-2</v>
      </c>
      <c r="T3876" s="4">
        <f t="shared" si="243"/>
        <v>1.1856148230825383E-2</v>
      </c>
      <c r="U3876" s="35"/>
      <c r="V3876" s="35"/>
      <c r="W3876" s="35"/>
      <c r="X3876" s="35"/>
    </row>
    <row r="3877" spans="4:24" x14ac:dyDescent="0.3">
      <c r="D3877" s="23">
        <v>45208</v>
      </c>
      <c r="E3877" s="5">
        <v>429.21081500000003</v>
      </c>
      <c r="F3877" s="28">
        <v>68.079830000000001</v>
      </c>
      <c r="G3877" s="28">
        <v>172.82</v>
      </c>
      <c r="H3877" s="28">
        <v>365.15410000000003</v>
      </c>
      <c r="I3877" s="28">
        <v>212.6371</v>
      </c>
      <c r="J3877" s="29"/>
      <c r="K3877" s="29"/>
      <c r="L3877" s="29"/>
      <c r="M3877" s="29"/>
      <c r="N3877" s="29"/>
      <c r="P3877" s="4">
        <f t="shared" ref="P3877:T3892" si="244">LN(E3877/E3876)</f>
        <v>6.3817792993581786E-3</v>
      </c>
      <c r="Q3877" s="4">
        <f t="shared" si="244"/>
        <v>1.0126032684227671E-2</v>
      </c>
      <c r="R3877" s="4">
        <f t="shared" si="244"/>
        <v>1.8218418173072674E-2</v>
      </c>
      <c r="S3877" s="4">
        <f t="shared" si="244"/>
        <v>5.0869387347494341E-3</v>
      </c>
      <c r="T3877" s="4">
        <f t="shared" si="244"/>
        <v>6.2725382486007964E-3</v>
      </c>
      <c r="U3877" s="35"/>
      <c r="V3877" s="35"/>
      <c r="W3877" s="35"/>
      <c r="X3877" s="35"/>
    </row>
    <row r="3878" spans="4:24" x14ac:dyDescent="0.3">
      <c r="D3878" s="23">
        <v>45209</v>
      </c>
      <c r="E3878" s="5">
        <v>431.444794</v>
      </c>
      <c r="F3878" s="28">
        <v>68.011229999999998</v>
      </c>
      <c r="G3878" s="28">
        <v>172.53</v>
      </c>
      <c r="H3878" s="28">
        <v>367.17630000000003</v>
      </c>
      <c r="I3878" s="28">
        <v>213.95679999999999</v>
      </c>
      <c r="J3878" s="29"/>
      <c r="K3878" s="29"/>
      <c r="L3878" s="29"/>
      <c r="M3878" s="29"/>
      <c r="N3878" s="29"/>
      <c r="P3878" s="4">
        <f t="shared" si="244"/>
        <v>5.1913541114715382E-3</v>
      </c>
      <c r="Q3878" s="4">
        <f t="shared" si="244"/>
        <v>-1.0081486000655107E-3</v>
      </c>
      <c r="R3878" s="4">
        <f t="shared" si="244"/>
        <v>-1.6794560194807035E-3</v>
      </c>
      <c r="S3878" s="4">
        <f t="shared" si="244"/>
        <v>5.5226579142792923E-3</v>
      </c>
      <c r="T3878" s="4">
        <f t="shared" si="244"/>
        <v>6.1871686864555572E-3</v>
      </c>
      <c r="U3878" s="35"/>
      <c r="V3878" s="35"/>
      <c r="W3878" s="35"/>
      <c r="X3878" s="35"/>
    </row>
    <row r="3879" spans="4:24" x14ac:dyDescent="0.3">
      <c r="D3879" s="23">
        <v>45210</v>
      </c>
      <c r="E3879" s="5">
        <v>433.21212800000001</v>
      </c>
      <c r="F3879" s="28">
        <v>68.324780000000004</v>
      </c>
      <c r="G3879" s="28">
        <v>173.79</v>
      </c>
      <c r="H3879" s="28">
        <v>369.79629999999997</v>
      </c>
      <c r="I3879" s="28">
        <v>214.80019999999999</v>
      </c>
      <c r="J3879" s="29"/>
      <c r="K3879" s="29"/>
      <c r="L3879" s="29"/>
      <c r="M3879" s="29"/>
      <c r="N3879" s="29"/>
      <c r="P3879" s="4">
        <f t="shared" si="244"/>
        <v>4.0879484480820464E-3</v>
      </c>
      <c r="Q3879" s="4">
        <f t="shared" si="244"/>
        <v>4.5996733044255302E-3</v>
      </c>
      <c r="R3879" s="4">
        <f t="shared" si="244"/>
        <v>7.2765393828699036E-3</v>
      </c>
      <c r="S3879" s="4">
        <f t="shared" si="244"/>
        <v>7.1101993149215639E-3</v>
      </c>
      <c r="T3879" s="4">
        <f t="shared" si="244"/>
        <v>3.9341682483207494E-3</v>
      </c>
      <c r="U3879" s="35"/>
      <c r="V3879" s="35"/>
      <c r="W3879" s="35"/>
      <c r="X3879" s="35"/>
    </row>
    <row r="3880" spans="4:24" x14ac:dyDescent="0.3">
      <c r="D3880" s="23">
        <v>45211</v>
      </c>
      <c r="E3880" s="5">
        <v>430.57107500000001</v>
      </c>
      <c r="F3880" s="28">
        <v>67.736869999999996</v>
      </c>
      <c r="G3880" s="28">
        <v>173.26</v>
      </c>
      <c r="H3880" s="28">
        <v>368.51119999999997</v>
      </c>
      <c r="I3880" s="28">
        <v>213.0737</v>
      </c>
      <c r="J3880" s="29"/>
      <c r="K3880" s="29"/>
      <c r="L3880" s="29"/>
      <c r="M3880" s="29"/>
      <c r="N3880" s="29"/>
      <c r="P3880" s="4">
        <f t="shared" si="244"/>
        <v>-6.1151020785950652E-3</v>
      </c>
      <c r="Q3880" s="4">
        <f t="shared" si="244"/>
        <v>-8.6418716640682281E-3</v>
      </c>
      <c r="R3880" s="4">
        <f t="shared" si="244"/>
        <v>-3.0543173146482358E-3</v>
      </c>
      <c r="S3880" s="4">
        <f t="shared" si="244"/>
        <v>-3.481208840012703E-3</v>
      </c>
      <c r="T3880" s="4">
        <f t="shared" si="244"/>
        <v>-8.0701784813201598E-3</v>
      </c>
      <c r="U3880" s="35"/>
      <c r="V3880" s="35"/>
      <c r="W3880" s="35"/>
      <c r="X3880" s="35"/>
    </row>
    <row r="3881" spans="4:24" x14ac:dyDescent="0.3">
      <c r="D3881" s="23">
        <v>45212</v>
      </c>
      <c r="E3881" s="5">
        <v>428.42645299999998</v>
      </c>
      <c r="F3881" s="28">
        <v>68.050420000000003</v>
      </c>
      <c r="G3881" s="28">
        <v>178.83</v>
      </c>
      <c r="H3881" s="28">
        <v>363.87900000000002</v>
      </c>
      <c r="I3881" s="28">
        <v>211.87299999999999</v>
      </c>
      <c r="J3881" s="29"/>
      <c r="K3881" s="29"/>
      <c r="L3881" s="29"/>
      <c r="M3881" s="29"/>
      <c r="N3881" s="29"/>
      <c r="P3881" s="4">
        <f t="shared" si="244"/>
        <v>-4.9933239296522909E-3</v>
      </c>
      <c r="Q3881" s="4">
        <f t="shared" si="244"/>
        <v>4.6182607708183847E-3</v>
      </c>
      <c r="R3881" s="4">
        <f t="shared" si="244"/>
        <v>3.1642277437950769E-2</v>
      </c>
      <c r="S3881" s="4">
        <f t="shared" si="244"/>
        <v>-1.2649709863277105E-2</v>
      </c>
      <c r="T3881" s="4">
        <f t="shared" si="244"/>
        <v>-5.6510766895139525E-3</v>
      </c>
      <c r="U3881" s="35"/>
      <c r="V3881" s="35"/>
      <c r="W3881" s="35"/>
      <c r="X3881" s="35"/>
    </row>
    <row r="3882" spans="4:24" x14ac:dyDescent="0.3">
      <c r="D3882" s="23">
        <v>45215</v>
      </c>
      <c r="E3882" s="5">
        <v>432.93411300000002</v>
      </c>
      <c r="F3882" s="28">
        <v>67.697689999999994</v>
      </c>
      <c r="G3882" s="28">
        <v>177.96</v>
      </c>
      <c r="H3882" s="28">
        <v>367.9932</v>
      </c>
      <c r="I3882" s="28">
        <v>214.3338</v>
      </c>
      <c r="J3882" s="29"/>
      <c r="K3882" s="29"/>
      <c r="L3882" s="29"/>
      <c r="M3882" s="29"/>
      <c r="N3882" s="29"/>
      <c r="P3882" s="4">
        <f t="shared" si="244"/>
        <v>1.0466467418836929E-2</v>
      </c>
      <c r="Q3882" s="4">
        <f t="shared" si="244"/>
        <v>-5.1968427973406511E-3</v>
      </c>
      <c r="R3882" s="4">
        <f t="shared" si="244"/>
        <v>-4.8768279621039055E-3</v>
      </c>
      <c r="S3882" s="4">
        <f t="shared" si="244"/>
        <v>1.1243064945984876E-2</v>
      </c>
      <c r="T3882" s="4">
        <f t="shared" si="244"/>
        <v>1.1547574298935586E-2</v>
      </c>
      <c r="U3882" s="35"/>
      <c r="V3882" s="35"/>
      <c r="W3882" s="35"/>
      <c r="X3882" s="35"/>
    </row>
    <row r="3883" spans="4:24" x14ac:dyDescent="0.3">
      <c r="D3883" s="23">
        <v>45216</v>
      </c>
      <c r="E3883" s="5">
        <v>432.91424599999999</v>
      </c>
      <c r="F3883" s="28">
        <v>67.256739999999994</v>
      </c>
      <c r="G3883" s="28">
        <v>178.29</v>
      </c>
      <c r="H3883" s="28">
        <v>366.78789999999998</v>
      </c>
      <c r="I3883" s="28">
        <v>214.61160000000001</v>
      </c>
      <c r="J3883" s="29"/>
      <c r="K3883" s="29"/>
      <c r="L3883" s="29"/>
      <c r="M3883" s="29"/>
      <c r="N3883" s="29"/>
      <c r="P3883" s="4">
        <f t="shared" si="244"/>
        <v>-4.5890252714648588E-5</v>
      </c>
      <c r="Q3883" s="4">
        <f t="shared" si="244"/>
        <v>-6.5348217052094582E-3</v>
      </c>
      <c r="R3883" s="4">
        <f t="shared" si="244"/>
        <v>1.8526321088377701E-3</v>
      </c>
      <c r="S3883" s="4">
        <f t="shared" si="244"/>
        <v>-3.2807079035047518E-3</v>
      </c>
      <c r="T3883" s="4">
        <f t="shared" si="244"/>
        <v>1.2952699287103687E-3</v>
      </c>
      <c r="U3883" s="35"/>
      <c r="V3883" s="35"/>
      <c r="W3883" s="35"/>
      <c r="X3883" s="35"/>
    </row>
    <row r="3884" spans="4:24" x14ac:dyDescent="0.3">
      <c r="D3884" s="23">
        <v>45217</v>
      </c>
      <c r="E3884" s="5">
        <v>427.14562999999998</v>
      </c>
      <c r="F3884" s="28">
        <v>66.962779999999995</v>
      </c>
      <c r="G3884" s="28">
        <v>180.87</v>
      </c>
      <c r="H3884" s="28">
        <v>361.97629999999998</v>
      </c>
      <c r="I3884" s="28">
        <v>211.4365</v>
      </c>
      <c r="J3884" s="29"/>
      <c r="K3884" s="29"/>
      <c r="L3884" s="29"/>
      <c r="M3884" s="29"/>
      <c r="N3884" s="29"/>
      <c r="P3884" s="4">
        <f t="shared" si="244"/>
        <v>-1.3414653252233039E-2</v>
      </c>
      <c r="Q3884" s="4">
        <f t="shared" si="244"/>
        <v>-4.3802938651064105E-3</v>
      </c>
      <c r="R3884" s="4">
        <f t="shared" si="244"/>
        <v>1.4367103122745077E-2</v>
      </c>
      <c r="S3884" s="4">
        <f t="shared" si="244"/>
        <v>-1.320501176454883E-2</v>
      </c>
      <c r="T3884" s="4">
        <f t="shared" si="244"/>
        <v>-1.4905165790044427E-2</v>
      </c>
      <c r="U3884" s="35"/>
      <c r="V3884" s="35"/>
      <c r="W3884" s="35"/>
      <c r="X3884" s="35"/>
    </row>
    <row r="3885" spans="4:24" x14ac:dyDescent="0.3">
      <c r="D3885" s="23">
        <v>45218</v>
      </c>
      <c r="E3885" s="5">
        <v>423.39254799999998</v>
      </c>
      <c r="F3885" s="28">
        <v>66.668840000000003</v>
      </c>
      <c r="G3885" s="28">
        <v>183.09</v>
      </c>
      <c r="H3885" s="28">
        <v>358.58940000000001</v>
      </c>
      <c r="I3885" s="28">
        <v>209.44210000000001</v>
      </c>
      <c r="J3885" s="29"/>
      <c r="K3885" s="29"/>
      <c r="L3885" s="29"/>
      <c r="M3885" s="29"/>
      <c r="N3885" s="29"/>
      <c r="P3885" s="4">
        <f t="shared" si="244"/>
        <v>-8.8252507791611381E-3</v>
      </c>
      <c r="Q3885" s="4">
        <f t="shared" si="244"/>
        <v>-4.3992652946164262E-3</v>
      </c>
      <c r="R3885" s="4">
        <f t="shared" si="244"/>
        <v>1.2199294055089419E-2</v>
      </c>
      <c r="S3885" s="4">
        <f t="shared" si="244"/>
        <v>-9.4007387327953319E-3</v>
      </c>
      <c r="T3885" s="4">
        <f t="shared" si="244"/>
        <v>-9.4773881504496282E-3</v>
      </c>
      <c r="U3885" s="35"/>
      <c r="V3885" s="35"/>
      <c r="W3885" s="35"/>
      <c r="X3885" s="35"/>
    </row>
    <row r="3886" spans="4:24" x14ac:dyDescent="0.3">
      <c r="D3886" s="23">
        <v>45219</v>
      </c>
      <c r="E3886" s="5">
        <v>418.18988000000002</v>
      </c>
      <c r="F3886" s="28">
        <v>66.913799999999995</v>
      </c>
      <c r="G3886" s="28">
        <v>183.59</v>
      </c>
      <c r="H3886" s="28">
        <v>353.24</v>
      </c>
      <c r="I3886" s="28">
        <v>206.85230000000001</v>
      </c>
      <c r="J3886" s="29"/>
      <c r="K3886" s="29"/>
      <c r="L3886" s="29"/>
      <c r="M3886" s="29"/>
      <c r="N3886" s="29"/>
      <c r="P3886" s="4">
        <f t="shared" si="244"/>
        <v>-1.2364170414120898E-2</v>
      </c>
      <c r="Q3886" s="4">
        <f t="shared" si="244"/>
        <v>3.6675465401431232E-3</v>
      </c>
      <c r="R3886" s="4">
        <f t="shared" si="244"/>
        <v>2.7271752476010431E-3</v>
      </c>
      <c r="S3886" s="4">
        <f t="shared" si="244"/>
        <v>-1.5030288735885937E-2</v>
      </c>
      <c r="T3886" s="4">
        <f t="shared" si="244"/>
        <v>-1.2442316835207698E-2</v>
      </c>
      <c r="U3886" s="35"/>
      <c r="V3886" s="35"/>
      <c r="W3886" s="35"/>
      <c r="X3886" s="35"/>
    </row>
    <row r="3887" spans="4:24" x14ac:dyDescent="0.3">
      <c r="D3887" s="23">
        <v>45222</v>
      </c>
      <c r="E3887" s="5">
        <v>417.465057</v>
      </c>
      <c r="F3887" s="28">
        <v>67.168559999999999</v>
      </c>
      <c r="G3887" s="28">
        <v>182.97</v>
      </c>
      <c r="H3887" s="28">
        <v>354.30590000000001</v>
      </c>
      <c r="I3887" s="28">
        <v>206.2867</v>
      </c>
      <c r="J3887" s="29"/>
      <c r="K3887" s="29"/>
      <c r="L3887" s="29"/>
      <c r="M3887" s="29"/>
      <c r="N3887" s="29"/>
      <c r="P3887" s="4">
        <f t="shared" si="244"/>
        <v>-1.73474277402483E-3</v>
      </c>
      <c r="Q3887" s="4">
        <f t="shared" si="244"/>
        <v>3.8000570182436331E-3</v>
      </c>
      <c r="R3887" s="4">
        <f t="shared" si="244"/>
        <v>-3.3828054956395802E-3</v>
      </c>
      <c r="S3887" s="4">
        <f t="shared" si="244"/>
        <v>3.0129516865051056E-3</v>
      </c>
      <c r="T3887" s="4">
        <f t="shared" si="244"/>
        <v>-2.7380632346891069E-3</v>
      </c>
      <c r="U3887" s="35"/>
      <c r="V3887" s="35"/>
      <c r="W3887" s="35"/>
      <c r="X3887" s="35"/>
    </row>
    <row r="3888" spans="4:24" x14ac:dyDescent="0.3">
      <c r="D3888" s="23">
        <v>45223</v>
      </c>
      <c r="E3888" s="5">
        <v>420.61251800000002</v>
      </c>
      <c r="F3888" s="28">
        <v>67.393929999999997</v>
      </c>
      <c r="G3888" s="28">
        <v>182.95</v>
      </c>
      <c r="H3888" s="28">
        <v>357.75259999999997</v>
      </c>
      <c r="I3888" s="28">
        <v>207.84460000000001</v>
      </c>
      <c r="J3888" s="29"/>
      <c r="K3888" s="29"/>
      <c r="L3888" s="29"/>
      <c r="M3888" s="29"/>
      <c r="N3888" s="29"/>
      <c r="P3888" s="4">
        <f t="shared" si="244"/>
        <v>7.5111800902879838E-3</v>
      </c>
      <c r="Q3888" s="4">
        <f t="shared" si="244"/>
        <v>3.3496736085485779E-3</v>
      </c>
      <c r="R3888" s="4">
        <f t="shared" si="244"/>
        <v>-1.0931351125892657E-4</v>
      </c>
      <c r="S3888" s="4">
        <f t="shared" si="244"/>
        <v>9.6810217680480155E-3</v>
      </c>
      <c r="T3888" s="4">
        <f t="shared" si="244"/>
        <v>7.5237363075235288E-3</v>
      </c>
      <c r="U3888" s="35"/>
      <c r="V3888" s="35"/>
      <c r="W3888" s="35"/>
      <c r="X3888" s="35"/>
    </row>
    <row r="3889" spans="4:24" x14ac:dyDescent="0.3">
      <c r="D3889" s="23">
        <v>45224</v>
      </c>
      <c r="E3889" s="5">
        <v>414.57577500000002</v>
      </c>
      <c r="F3889" s="28">
        <v>66.884410000000003</v>
      </c>
      <c r="G3889" s="28">
        <v>183.72</v>
      </c>
      <c r="H3889" s="28">
        <v>348.99630000000002</v>
      </c>
      <c r="I3889" s="28">
        <v>204.7587</v>
      </c>
      <c r="J3889" s="29"/>
      <c r="K3889" s="29"/>
      <c r="L3889" s="29"/>
      <c r="M3889" s="29"/>
      <c r="N3889" s="29"/>
      <c r="P3889" s="4">
        <f t="shared" si="244"/>
        <v>-1.4456256587400983E-2</v>
      </c>
      <c r="Q3889" s="4">
        <f t="shared" si="244"/>
        <v>-7.5890489177122553E-3</v>
      </c>
      <c r="R3889" s="4">
        <f t="shared" si="244"/>
        <v>4.1999679923770258E-3</v>
      </c>
      <c r="S3889" s="4">
        <f t="shared" si="244"/>
        <v>-2.478036562812358E-2</v>
      </c>
      <c r="T3889" s="4">
        <f t="shared" si="244"/>
        <v>-1.4958472413957676E-2</v>
      </c>
      <c r="U3889" s="35"/>
      <c r="V3889" s="35"/>
      <c r="W3889" s="35"/>
      <c r="X3889" s="35"/>
    </row>
    <row r="3890" spans="4:24" x14ac:dyDescent="0.3">
      <c r="D3890" s="23">
        <v>45225</v>
      </c>
      <c r="E3890" s="5">
        <v>409.61142000000001</v>
      </c>
      <c r="F3890" s="28">
        <v>67.335139999999996</v>
      </c>
      <c r="G3890" s="28">
        <v>184.01</v>
      </c>
      <c r="H3890" s="28">
        <v>342.34199999999998</v>
      </c>
      <c r="I3890" s="28">
        <v>202.6353</v>
      </c>
      <c r="J3890" s="29"/>
      <c r="K3890" s="29"/>
      <c r="L3890" s="29"/>
      <c r="M3890" s="29"/>
      <c r="N3890" s="29"/>
      <c r="P3890" s="4">
        <f t="shared" si="244"/>
        <v>-1.2046814286715351E-2</v>
      </c>
      <c r="Q3890" s="4">
        <f t="shared" si="244"/>
        <v>6.7163344585186146E-3</v>
      </c>
      <c r="R3890" s="4">
        <f t="shared" si="244"/>
        <v>1.5772445006903425E-3</v>
      </c>
      <c r="S3890" s="4">
        <f t="shared" si="244"/>
        <v>-1.9251083031342278E-2</v>
      </c>
      <c r="T3890" s="4">
        <f t="shared" si="244"/>
        <v>-1.0424401089815806E-2</v>
      </c>
      <c r="U3890" s="35"/>
      <c r="V3890" s="35"/>
      <c r="W3890" s="35"/>
      <c r="X3890" s="35"/>
    </row>
    <row r="3891" spans="4:24" x14ac:dyDescent="0.3">
      <c r="D3891" s="23">
        <v>45226</v>
      </c>
      <c r="E3891" s="5">
        <v>407.75473</v>
      </c>
      <c r="F3891" s="28">
        <v>67.335139999999996</v>
      </c>
      <c r="G3891" s="28">
        <v>186.15</v>
      </c>
      <c r="H3891" s="28">
        <v>343.98559999999998</v>
      </c>
      <c r="I3891" s="28">
        <v>201.5438</v>
      </c>
      <c r="J3891" s="29"/>
      <c r="K3891" s="29"/>
      <c r="L3891" s="29"/>
      <c r="M3891" s="29"/>
      <c r="N3891" s="29"/>
      <c r="P3891" s="4">
        <f t="shared" si="244"/>
        <v>-4.5431125169198665E-3</v>
      </c>
      <c r="Q3891" s="4">
        <f t="shared" si="244"/>
        <v>0</v>
      </c>
      <c r="R3891" s="4">
        <f t="shared" si="244"/>
        <v>1.1562696360443081E-2</v>
      </c>
      <c r="S3891" s="4">
        <f t="shared" si="244"/>
        <v>4.7895586364196047E-3</v>
      </c>
      <c r="T3891" s="4">
        <f t="shared" si="244"/>
        <v>-5.4010840907348211E-3</v>
      </c>
      <c r="U3891" s="35"/>
      <c r="V3891" s="35"/>
      <c r="W3891" s="35"/>
      <c r="X3891" s="35"/>
    </row>
    <row r="3892" spans="4:24" x14ac:dyDescent="0.3">
      <c r="D3892" s="23">
        <v>45229</v>
      </c>
      <c r="E3892" s="5">
        <v>412.62979100000001</v>
      </c>
      <c r="F3892" s="28">
        <v>67.168559999999999</v>
      </c>
      <c r="G3892" s="28">
        <v>185.1</v>
      </c>
      <c r="H3892" s="28">
        <v>347.86070000000001</v>
      </c>
      <c r="I3892" s="28">
        <v>203.8657</v>
      </c>
      <c r="J3892" s="29"/>
      <c r="K3892" s="29"/>
      <c r="L3892" s="29"/>
      <c r="M3892" s="29"/>
      <c r="N3892" s="29"/>
      <c r="P3892" s="4">
        <f t="shared" si="244"/>
        <v>1.1884959453821911E-2</v>
      </c>
      <c r="Q3892" s="4">
        <f t="shared" si="244"/>
        <v>-2.4769591493550044E-3</v>
      </c>
      <c r="R3892" s="4">
        <f t="shared" si="244"/>
        <v>-5.6565807392741085E-3</v>
      </c>
      <c r="S3892" s="4">
        <f t="shared" si="244"/>
        <v>1.1202316249674759E-2</v>
      </c>
      <c r="T3892" s="4">
        <f t="shared" si="244"/>
        <v>1.1454716221930753E-2</v>
      </c>
      <c r="U3892" s="35"/>
      <c r="V3892" s="35"/>
      <c r="W3892" s="35"/>
      <c r="X3892" s="35"/>
    </row>
    <row r="3893" spans="4:24" x14ac:dyDescent="0.3">
      <c r="D3893" s="23">
        <v>45230</v>
      </c>
      <c r="E3893" s="5">
        <v>415.22119099999998</v>
      </c>
      <c r="F3893" s="28">
        <v>67.148949999999999</v>
      </c>
      <c r="G3893" s="28">
        <v>184.09</v>
      </c>
      <c r="H3893" s="28">
        <v>349.52429999999998</v>
      </c>
      <c r="I3893" s="28">
        <v>205.18539999999999</v>
      </c>
      <c r="J3893" s="29"/>
      <c r="K3893" s="29"/>
      <c r="L3893" s="29"/>
      <c r="M3893" s="29"/>
      <c r="N3893" s="29"/>
      <c r="P3893" s="4">
        <f t="shared" ref="P3893:T3908" si="245">LN(E3893/E3892)</f>
        <v>6.2605674703204604E-3</v>
      </c>
      <c r="Q3893" s="4">
        <f t="shared" si="245"/>
        <v>-2.9199469435266191E-4</v>
      </c>
      <c r="R3893" s="4">
        <f t="shared" si="245"/>
        <v>-5.4714511209810355E-3</v>
      </c>
      <c r="S3893" s="4">
        <f t="shared" si="245"/>
        <v>4.7709748721254091E-3</v>
      </c>
      <c r="T3893" s="4">
        <f t="shared" si="245"/>
        <v>6.4525169535210045E-3</v>
      </c>
      <c r="U3893" s="35"/>
      <c r="V3893" s="35"/>
      <c r="W3893" s="35"/>
      <c r="X3893" s="35"/>
    </row>
    <row r="3894" spans="4:24" x14ac:dyDescent="0.3">
      <c r="D3894" s="23">
        <v>45231</v>
      </c>
      <c r="E3894" s="5">
        <v>419.64941399999998</v>
      </c>
      <c r="F3894" s="28">
        <v>67.800539999999998</v>
      </c>
      <c r="G3894" s="28">
        <v>183.51</v>
      </c>
      <c r="H3894" s="28">
        <v>355.59100000000001</v>
      </c>
      <c r="I3894" s="28">
        <v>207.23929999999999</v>
      </c>
      <c r="J3894" s="29"/>
      <c r="K3894" s="29"/>
      <c r="L3894" s="29"/>
      <c r="M3894" s="29"/>
      <c r="N3894" s="29"/>
      <c r="P3894" s="4">
        <f t="shared" si="245"/>
        <v>1.0608265522866492E-2</v>
      </c>
      <c r="Q3894" s="4">
        <f t="shared" si="245"/>
        <v>9.6568733038099666E-3</v>
      </c>
      <c r="R3894" s="4">
        <f t="shared" si="245"/>
        <v>-3.1556065358876125E-3</v>
      </c>
      <c r="S3894" s="4">
        <f t="shared" si="245"/>
        <v>1.7208106829221536E-2</v>
      </c>
      <c r="T3894" s="4">
        <f t="shared" si="245"/>
        <v>9.9602035467151202E-3</v>
      </c>
      <c r="U3894" s="35"/>
      <c r="V3894" s="35"/>
      <c r="W3894" s="35"/>
      <c r="X3894" s="35"/>
    </row>
    <row r="3895" spans="4:24" x14ac:dyDescent="0.3">
      <c r="D3895" s="23">
        <v>45232</v>
      </c>
      <c r="E3895" s="5">
        <v>427.69174199999998</v>
      </c>
      <c r="F3895" s="28">
        <v>68.193640000000002</v>
      </c>
      <c r="G3895" s="28">
        <v>184.12</v>
      </c>
      <c r="H3895" s="28">
        <v>362.04610000000002</v>
      </c>
      <c r="I3895" s="28">
        <v>211.3571</v>
      </c>
      <c r="J3895" s="29"/>
      <c r="K3895" s="29"/>
      <c r="L3895" s="29"/>
      <c r="M3895" s="29"/>
      <c r="N3895" s="29"/>
      <c r="P3895" s="4">
        <f t="shared" si="245"/>
        <v>1.8983072994247879E-2</v>
      </c>
      <c r="Q3895" s="4">
        <f t="shared" si="245"/>
        <v>5.7811458525189484E-3</v>
      </c>
      <c r="R3895" s="4">
        <f t="shared" si="245"/>
        <v>3.3185570264574857E-3</v>
      </c>
      <c r="S3895" s="4">
        <f t="shared" si="245"/>
        <v>1.7990357800862816E-2</v>
      </c>
      <c r="T3895" s="4">
        <f t="shared" si="245"/>
        <v>1.9674955799148651E-2</v>
      </c>
      <c r="U3895" s="35"/>
      <c r="V3895" s="35"/>
      <c r="W3895" s="35"/>
      <c r="X3895" s="35"/>
    </row>
    <row r="3896" spans="4:24" x14ac:dyDescent="0.3">
      <c r="D3896" s="23">
        <v>45233</v>
      </c>
      <c r="E3896" s="5">
        <v>431.59375</v>
      </c>
      <c r="F3896" s="28">
        <v>68.596580000000003</v>
      </c>
      <c r="G3896" s="28">
        <v>184.79</v>
      </c>
      <c r="H3896" s="28">
        <v>366.29969999999997</v>
      </c>
      <c r="I3896" s="28">
        <v>213.73849999999999</v>
      </c>
      <c r="J3896" s="29"/>
      <c r="K3896" s="29"/>
      <c r="L3896" s="29"/>
      <c r="M3896" s="29"/>
      <c r="N3896" s="29"/>
      <c r="P3896" s="4">
        <f t="shared" si="245"/>
        <v>9.0820451578559839E-3</v>
      </c>
      <c r="Q3896" s="4">
        <f t="shared" si="245"/>
        <v>5.8913738927494812E-3</v>
      </c>
      <c r="R3896" s="4">
        <f t="shared" si="245"/>
        <v>3.6323262402934752E-3</v>
      </c>
      <c r="S3896" s="4">
        <f t="shared" si="245"/>
        <v>1.1680298999621429E-2</v>
      </c>
      <c r="T3896" s="4">
        <f t="shared" si="245"/>
        <v>1.1204185186220078E-2</v>
      </c>
      <c r="U3896" s="35"/>
      <c r="V3896" s="35"/>
      <c r="W3896" s="35"/>
      <c r="X3896" s="35"/>
    </row>
    <row r="3897" spans="4:24" x14ac:dyDescent="0.3">
      <c r="D3897" s="23">
        <v>45236</v>
      </c>
      <c r="E3897" s="5">
        <v>432.58660900000001</v>
      </c>
      <c r="F3897" s="28">
        <v>68.301739999999995</v>
      </c>
      <c r="G3897" s="28">
        <v>183.35</v>
      </c>
      <c r="H3897" s="28">
        <v>367.79399999999998</v>
      </c>
      <c r="I3897" s="28">
        <v>213.8278</v>
      </c>
      <c r="J3897" s="29"/>
      <c r="K3897" s="29"/>
      <c r="L3897" s="29"/>
      <c r="M3897" s="29"/>
      <c r="N3897" s="29"/>
      <c r="P3897" s="4">
        <f t="shared" si="245"/>
        <v>2.2978060690932154E-3</v>
      </c>
      <c r="Q3897" s="4">
        <f t="shared" si="245"/>
        <v>-4.3074371675563949E-3</v>
      </c>
      <c r="R3897" s="4">
        <f t="shared" si="245"/>
        <v>-7.8231506719991795E-3</v>
      </c>
      <c r="S3897" s="4">
        <f t="shared" si="245"/>
        <v>4.0711480398415208E-3</v>
      </c>
      <c r="T3897" s="4">
        <f t="shared" si="245"/>
        <v>4.1771300169576408E-4</v>
      </c>
      <c r="U3897" s="35"/>
      <c r="V3897" s="35"/>
      <c r="W3897" s="35"/>
      <c r="X3897" s="35"/>
    </row>
    <row r="3898" spans="4:24" x14ac:dyDescent="0.3">
      <c r="D3898" s="23">
        <v>45237</v>
      </c>
      <c r="E3898" s="5">
        <v>433.81774899999999</v>
      </c>
      <c r="F3898" s="28">
        <v>68.645700000000005</v>
      </c>
      <c r="G3898" s="28">
        <v>182.59</v>
      </c>
      <c r="H3898" s="28">
        <v>371.2706</v>
      </c>
      <c r="I3898" s="28">
        <v>214.46279999999999</v>
      </c>
      <c r="J3898" s="29"/>
      <c r="K3898" s="29"/>
      <c r="L3898" s="29"/>
      <c r="M3898" s="29"/>
      <c r="N3898" s="29"/>
      <c r="P3898" s="4">
        <f t="shared" si="245"/>
        <v>2.8419543767561608E-3</v>
      </c>
      <c r="Q3898" s="4">
        <f t="shared" si="245"/>
        <v>5.0232515958417122E-3</v>
      </c>
      <c r="R3898" s="4">
        <f t="shared" si="245"/>
        <v>-4.1536923686934044E-3</v>
      </c>
      <c r="S3898" s="4">
        <f t="shared" si="245"/>
        <v>9.4081779695278072E-3</v>
      </c>
      <c r="T3898" s="4">
        <f t="shared" si="245"/>
        <v>2.9652785528780762E-3</v>
      </c>
      <c r="U3898" s="35"/>
      <c r="V3898" s="35"/>
      <c r="W3898" s="35"/>
      <c r="X3898" s="35"/>
    </row>
    <row r="3899" spans="4:24" x14ac:dyDescent="0.3">
      <c r="D3899" s="23">
        <v>45238</v>
      </c>
      <c r="E3899" s="5">
        <v>434.13549799999998</v>
      </c>
      <c r="F3899" s="28">
        <v>68.861919999999998</v>
      </c>
      <c r="G3899" s="28">
        <v>180.77</v>
      </c>
      <c r="H3899" s="28">
        <v>371.50970000000001</v>
      </c>
      <c r="I3899" s="28">
        <v>214.43299999999999</v>
      </c>
      <c r="J3899" s="29"/>
      <c r="K3899" s="29"/>
      <c r="L3899" s="29"/>
      <c r="M3899" s="29"/>
      <c r="N3899" s="29"/>
      <c r="P3899" s="4">
        <f t="shared" si="245"/>
        <v>7.321800230447622E-4</v>
      </c>
      <c r="Q3899" s="4">
        <f t="shared" si="245"/>
        <v>3.1448464921777358E-3</v>
      </c>
      <c r="R3899" s="4">
        <f t="shared" si="245"/>
        <v>-1.0017697161878541E-2</v>
      </c>
      <c r="S3899" s="4">
        <f t="shared" si="245"/>
        <v>6.4379738735239993E-4</v>
      </c>
      <c r="T3899" s="4">
        <f t="shared" si="245"/>
        <v>-1.3896149156948211E-4</v>
      </c>
      <c r="U3899" s="35"/>
      <c r="V3899" s="35"/>
      <c r="W3899" s="35"/>
      <c r="X3899" s="35"/>
    </row>
    <row r="3900" spans="4:24" x14ac:dyDescent="0.3">
      <c r="D3900" s="23">
        <v>45239</v>
      </c>
      <c r="E3900" s="5">
        <v>430.74978599999997</v>
      </c>
      <c r="F3900" s="28">
        <v>68.350880000000004</v>
      </c>
      <c r="G3900" s="28">
        <v>181.49</v>
      </c>
      <c r="H3900" s="28">
        <v>368.65069999999997</v>
      </c>
      <c r="I3900" s="28">
        <v>212.60730000000001</v>
      </c>
      <c r="J3900" s="29"/>
      <c r="K3900" s="29"/>
      <c r="L3900" s="29"/>
      <c r="M3900" s="29"/>
      <c r="N3900" s="29"/>
      <c r="P3900" s="4">
        <f t="shared" si="245"/>
        <v>-7.8293141470740079E-3</v>
      </c>
      <c r="Q3900" s="4">
        <f t="shared" si="245"/>
        <v>-7.4489021864973977E-3</v>
      </c>
      <c r="R3900" s="4">
        <f t="shared" si="245"/>
        <v>3.9750507815462651E-3</v>
      </c>
      <c r="S3900" s="4">
        <f t="shared" si="245"/>
        <v>-7.7253909264601755E-3</v>
      </c>
      <c r="T3900" s="4">
        <f t="shared" si="245"/>
        <v>-8.5505331619040899E-3</v>
      </c>
      <c r="U3900" s="35"/>
      <c r="V3900" s="35"/>
      <c r="W3900" s="35"/>
      <c r="X3900" s="35"/>
    </row>
    <row r="3901" spans="4:24" x14ac:dyDescent="0.3">
      <c r="D3901" s="23">
        <v>45240</v>
      </c>
      <c r="E3901" s="5">
        <v>437.47152699999998</v>
      </c>
      <c r="F3901" s="28">
        <v>68.478650000000002</v>
      </c>
      <c r="G3901" s="28">
        <v>179.51</v>
      </c>
      <c r="H3901" s="28">
        <v>376.93880000000001</v>
      </c>
      <c r="I3901" s="28">
        <v>215.77260000000001</v>
      </c>
      <c r="J3901" s="29"/>
      <c r="K3901" s="29"/>
      <c r="L3901" s="29"/>
      <c r="M3901" s="29"/>
      <c r="N3901" s="29"/>
      <c r="P3901" s="4">
        <f t="shared" si="245"/>
        <v>1.5484243936920066E-2</v>
      </c>
      <c r="Q3901" s="4">
        <f t="shared" si="245"/>
        <v>1.8675798584840502E-3</v>
      </c>
      <c r="R3901" s="4">
        <f t="shared" si="245"/>
        <v>-1.0969639085330579E-2</v>
      </c>
      <c r="S3901" s="4">
        <f t="shared" si="245"/>
        <v>2.2233256799003159E-2</v>
      </c>
      <c r="T3901" s="4">
        <f t="shared" si="245"/>
        <v>1.4778273245565408E-2</v>
      </c>
      <c r="U3901" s="35"/>
      <c r="V3901" s="35"/>
      <c r="W3901" s="35"/>
      <c r="X3901" s="35"/>
    </row>
    <row r="3902" spans="4:24" x14ac:dyDescent="0.3">
      <c r="D3902" s="23">
        <v>45243</v>
      </c>
      <c r="E3902" s="5">
        <v>437.05456500000003</v>
      </c>
      <c r="F3902" s="28">
        <v>68.458979999999997</v>
      </c>
      <c r="G3902" s="28">
        <v>180.51</v>
      </c>
      <c r="H3902" s="28">
        <v>375.76330000000002</v>
      </c>
      <c r="I3902" s="28">
        <v>215.64359999999999</v>
      </c>
      <c r="J3902" s="29"/>
      <c r="K3902" s="29"/>
      <c r="L3902" s="29"/>
      <c r="M3902" s="29"/>
      <c r="N3902" s="29"/>
      <c r="P3902" s="4">
        <f t="shared" si="245"/>
        <v>-9.5357253582149554E-4</v>
      </c>
      <c r="Q3902" s="4">
        <f t="shared" si="245"/>
        <v>-2.8728407429410788E-4</v>
      </c>
      <c r="R3902" s="4">
        <f t="shared" si="245"/>
        <v>5.5552612173912488E-3</v>
      </c>
      <c r="S3902" s="4">
        <f t="shared" si="245"/>
        <v>-3.1234161712974089E-3</v>
      </c>
      <c r="T3902" s="4">
        <f t="shared" si="245"/>
        <v>-5.9803041167511147E-4</v>
      </c>
      <c r="U3902" s="35"/>
      <c r="V3902" s="35"/>
      <c r="W3902" s="35"/>
      <c r="X3902" s="35"/>
    </row>
    <row r="3903" spans="4:24" x14ac:dyDescent="0.3">
      <c r="D3903" s="23">
        <v>45244</v>
      </c>
      <c r="E3903" s="5">
        <v>445.53375199999999</v>
      </c>
      <c r="F3903" s="28">
        <v>69.294319999999999</v>
      </c>
      <c r="G3903" s="28">
        <v>182.12</v>
      </c>
      <c r="H3903" s="28">
        <v>383.85210000000001</v>
      </c>
      <c r="I3903" s="28">
        <v>220.42619999999999</v>
      </c>
      <c r="J3903" s="29"/>
      <c r="K3903" s="29"/>
      <c r="L3903" s="29"/>
      <c r="M3903" s="29"/>
      <c r="N3903" s="29"/>
      <c r="P3903" s="4">
        <f t="shared" si="245"/>
        <v>1.9214956105038081E-2</v>
      </c>
      <c r="Q3903" s="4">
        <f t="shared" si="245"/>
        <v>1.2128206574960559E-2</v>
      </c>
      <c r="R3903" s="4">
        <f t="shared" si="245"/>
        <v>8.8796325662112794E-3</v>
      </c>
      <c r="S3903" s="4">
        <f t="shared" si="245"/>
        <v>2.1297898264425966E-2</v>
      </c>
      <c r="T3903" s="4">
        <f t="shared" si="245"/>
        <v>2.1935900051918582E-2</v>
      </c>
      <c r="U3903" s="35"/>
      <c r="V3903" s="35"/>
      <c r="W3903" s="35"/>
      <c r="X3903" s="35"/>
    </row>
    <row r="3904" spans="4:24" x14ac:dyDescent="0.3">
      <c r="D3904" s="23">
        <v>45245</v>
      </c>
      <c r="E3904" s="5">
        <v>446.47695900000002</v>
      </c>
      <c r="F3904" s="28">
        <v>68.911060000000006</v>
      </c>
      <c r="G3904" s="28">
        <v>181.64</v>
      </c>
      <c r="H3904" s="28">
        <v>384.14100000000002</v>
      </c>
      <c r="I3904" s="28">
        <v>220.97190000000001</v>
      </c>
      <c r="J3904" s="29"/>
      <c r="K3904" s="29"/>
      <c r="L3904" s="29"/>
      <c r="M3904" s="29"/>
      <c r="N3904" s="29"/>
      <c r="P3904" s="4">
        <f t="shared" si="245"/>
        <v>2.1147892954574404E-3</v>
      </c>
      <c r="Q3904" s="4">
        <f t="shared" si="245"/>
        <v>-5.5462527211600516E-3</v>
      </c>
      <c r="R3904" s="4">
        <f t="shared" si="245"/>
        <v>-2.6391042368310337E-3</v>
      </c>
      <c r="S3904" s="4">
        <f t="shared" si="245"/>
        <v>7.5235054488688273E-4</v>
      </c>
      <c r="T3904" s="4">
        <f t="shared" si="245"/>
        <v>2.4725991254724712E-3</v>
      </c>
      <c r="U3904" s="35"/>
      <c r="V3904" s="35"/>
      <c r="W3904" s="35"/>
      <c r="X3904" s="35"/>
    </row>
    <row r="3905" spans="4:24" x14ac:dyDescent="0.3">
      <c r="D3905" s="23">
        <v>45246</v>
      </c>
      <c r="E3905" s="5">
        <v>447.02304099999998</v>
      </c>
      <c r="F3905" s="28">
        <v>69.323809999999995</v>
      </c>
      <c r="G3905" s="28">
        <v>183.69</v>
      </c>
      <c r="H3905" s="28">
        <v>384.46980000000002</v>
      </c>
      <c r="I3905" s="28">
        <v>220.82310000000001</v>
      </c>
      <c r="J3905" s="29"/>
      <c r="K3905" s="29"/>
      <c r="L3905" s="29"/>
      <c r="M3905" s="29"/>
      <c r="N3905" s="29"/>
      <c r="P3905" s="4">
        <f t="shared" si="245"/>
        <v>1.2223437448076631E-3</v>
      </c>
      <c r="Q3905" s="4">
        <f t="shared" si="245"/>
        <v>5.971738196182662E-3</v>
      </c>
      <c r="R3905" s="4">
        <f t="shared" si="245"/>
        <v>1.1222847928222566E-2</v>
      </c>
      <c r="S3905" s="4">
        <f t="shared" si="245"/>
        <v>8.5556960702801719E-4</v>
      </c>
      <c r="T3905" s="4">
        <f t="shared" si="245"/>
        <v>-6.7361561641305365E-4</v>
      </c>
      <c r="U3905" s="35"/>
      <c r="V3905" s="35"/>
      <c r="W3905" s="35"/>
      <c r="X3905" s="35"/>
    </row>
    <row r="3906" spans="4:24" x14ac:dyDescent="0.3">
      <c r="D3906" s="23">
        <v>45247</v>
      </c>
      <c r="E3906" s="5">
        <v>447.57904100000002</v>
      </c>
      <c r="F3906" s="28">
        <v>69.422079999999994</v>
      </c>
      <c r="G3906" s="28">
        <v>183.67</v>
      </c>
      <c r="H3906" s="28">
        <v>384.55939999999998</v>
      </c>
      <c r="I3906" s="28">
        <v>221.37870000000001</v>
      </c>
      <c r="J3906" s="29"/>
      <c r="K3906" s="29"/>
      <c r="L3906" s="29"/>
      <c r="M3906" s="29"/>
      <c r="N3906" s="29"/>
      <c r="P3906" s="4">
        <f t="shared" si="245"/>
        <v>1.2430109045701888E-3</v>
      </c>
      <c r="Q3906" s="4">
        <f t="shared" si="245"/>
        <v>1.4165467017785008E-3</v>
      </c>
      <c r="R3906" s="4">
        <f t="shared" si="245"/>
        <v>-1.0888501752923478E-4</v>
      </c>
      <c r="S3906" s="4">
        <f t="shared" si="245"/>
        <v>2.3302106189307644E-4</v>
      </c>
      <c r="T3906" s="4">
        <f t="shared" si="245"/>
        <v>2.5128811884738401E-3</v>
      </c>
      <c r="U3906" s="35"/>
      <c r="V3906" s="35"/>
      <c r="W3906" s="35"/>
      <c r="X3906" s="35"/>
    </row>
    <row r="3907" spans="4:24" x14ac:dyDescent="0.3">
      <c r="D3907" s="23">
        <v>45250</v>
      </c>
      <c r="E3907" s="5">
        <v>451.02435300000002</v>
      </c>
      <c r="F3907" s="28">
        <v>69.520359999999997</v>
      </c>
      <c r="G3907" s="28">
        <v>183.37</v>
      </c>
      <c r="H3907" s="28">
        <v>389.2414</v>
      </c>
      <c r="I3907" s="28">
        <v>223.04570000000001</v>
      </c>
      <c r="J3907" s="29"/>
      <c r="K3907" s="29"/>
      <c r="L3907" s="29"/>
      <c r="M3907" s="29"/>
      <c r="N3907" s="29"/>
      <c r="P3907" s="4">
        <f t="shared" si="245"/>
        <v>7.6681857765614385E-3</v>
      </c>
      <c r="Q3907" s="4">
        <f t="shared" si="245"/>
        <v>1.4146867780782488E-3</v>
      </c>
      <c r="R3907" s="4">
        <f t="shared" si="245"/>
        <v>-1.6346995793703675E-3</v>
      </c>
      <c r="S3907" s="4">
        <f t="shared" si="245"/>
        <v>1.210145334015047E-2</v>
      </c>
      <c r="T3907" s="4">
        <f t="shared" si="245"/>
        <v>7.5018735153137501E-3</v>
      </c>
      <c r="U3907" s="35"/>
      <c r="V3907" s="35"/>
      <c r="W3907" s="35"/>
      <c r="X3907" s="35"/>
    </row>
    <row r="3908" spans="4:24" x14ac:dyDescent="0.3">
      <c r="D3908" s="23">
        <v>45251</v>
      </c>
      <c r="E3908" s="5">
        <v>450.041382</v>
      </c>
      <c r="F3908" s="28">
        <v>69.618629999999996</v>
      </c>
      <c r="G3908" s="28">
        <v>185.35</v>
      </c>
      <c r="H3908" s="28">
        <v>386.98009999999999</v>
      </c>
      <c r="I3908" s="28">
        <v>222.44040000000001</v>
      </c>
      <c r="J3908" s="29"/>
      <c r="K3908" s="29"/>
      <c r="L3908" s="29"/>
      <c r="M3908" s="29"/>
      <c r="N3908" s="29"/>
      <c r="P3908" s="4">
        <f t="shared" si="245"/>
        <v>-2.1817972912518066E-3</v>
      </c>
      <c r="Q3908" s="4">
        <f t="shared" si="245"/>
        <v>1.4125446266311889E-3</v>
      </c>
      <c r="R3908" s="4">
        <f t="shared" si="245"/>
        <v>1.0739960035668045E-2</v>
      </c>
      <c r="S3908" s="4">
        <f t="shared" si="245"/>
        <v>-5.8264461809295238E-3</v>
      </c>
      <c r="T3908" s="4">
        <f t="shared" si="245"/>
        <v>-2.717482644226726E-3</v>
      </c>
      <c r="U3908" s="35"/>
      <c r="V3908" s="35"/>
      <c r="W3908" s="35"/>
      <c r="X3908" s="35"/>
    </row>
    <row r="3909" spans="4:24" x14ac:dyDescent="0.3">
      <c r="D3909" s="23">
        <v>45252</v>
      </c>
      <c r="E3909" s="5">
        <v>451.778931</v>
      </c>
      <c r="F3909" s="28">
        <v>69.677610000000001</v>
      </c>
      <c r="G3909" s="28">
        <v>184.56</v>
      </c>
      <c r="H3909" s="28">
        <v>388.56400000000002</v>
      </c>
      <c r="I3909" s="28">
        <v>223.393</v>
      </c>
      <c r="J3909" s="29"/>
      <c r="K3909" s="29"/>
      <c r="L3909" s="29"/>
      <c r="M3909" s="29"/>
      <c r="N3909" s="29"/>
      <c r="P3909" s="4">
        <f t="shared" ref="P3909:T3924" si="246">LN(E3909/E3908)</f>
        <v>3.8534309440897722E-3</v>
      </c>
      <c r="Q3909" s="4">
        <f t="shared" si="246"/>
        <v>8.4682836413443516E-4</v>
      </c>
      <c r="R3909" s="4">
        <f t="shared" si="246"/>
        <v>-4.2713157312429511E-3</v>
      </c>
      <c r="S3909" s="4">
        <f t="shared" si="246"/>
        <v>4.0846218858898217E-3</v>
      </c>
      <c r="T3909" s="4">
        <f t="shared" si="246"/>
        <v>4.2733516585388466E-3</v>
      </c>
      <c r="U3909" s="35"/>
      <c r="V3909" s="35"/>
      <c r="W3909" s="35"/>
      <c r="X3909" s="35"/>
    </row>
    <row r="3910" spans="4:24" x14ac:dyDescent="0.3">
      <c r="D3910" s="23">
        <v>45254</v>
      </c>
      <c r="E3910" s="5">
        <v>452.05688500000002</v>
      </c>
      <c r="F3910" s="28">
        <v>69.343469999999996</v>
      </c>
      <c r="G3910" s="28">
        <v>185.52</v>
      </c>
      <c r="H3910" s="28">
        <v>388.01609999999999</v>
      </c>
      <c r="I3910" s="28">
        <v>223.6311</v>
      </c>
      <c r="J3910" s="29"/>
      <c r="K3910" s="29"/>
      <c r="L3910" s="29"/>
      <c r="M3910" s="29"/>
      <c r="N3910" s="29"/>
      <c r="P3910" s="4">
        <f t="shared" si="246"/>
        <v>6.1505420307960811E-4</v>
      </c>
      <c r="Q3910" s="4">
        <f t="shared" si="246"/>
        <v>-4.8070500306068445E-3</v>
      </c>
      <c r="R3910" s="4">
        <f t="shared" si="246"/>
        <v>5.1880790817781198E-3</v>
      </c>
      <c r="S3910" s="4">
        <f t="shared" si="246"/>
        <v>-1.411058797179419E-3</v>
      </c>
      <c r="T3910" s="4">
        <f t="shared" si="246"/>
        <v>1.0652670516699797E-3</v>
      </c>
      <c r="U3910" s="35"/>
      <c r="V3910" s="35"/>
      <c r="W3910" s="35"/>
      <c r="X3910" s="35"/>
    </row>
    <row r="3911" spans="4:24" x14ac:dyDescent="0.3">
      <c r="D3911" s="23">
        <v>45257</v>
      </c>
      <c r="E3911" s="5">
        <v>451.24276700000001</v>
      </c>
      <c r="F3911" s="28">
        <v>69.766050000000007</v>
      </c>
      <c r="G3911" s="28">
        <v>186.77</v>
      </c>
      <c r="H3911" s="28">
        <v>387.67739999999998</v>
      </c>
      <c r="I3911" s="28">
        <v>223.3434</v>
      </c>
      <c r="J3911" s="29"/>
      <c r="K3911" s="29"/>
      <c r="L3911" s="29"/>
      <c r="M3911" s="29"/>
      <c r="N3911" s="29"/>
      <c r="P3911" s="4">
        <f t="shared" si="246"/>
        <v>-1.8025429737094192E-3</v>
      </c>
      <c r="Q3911" s="4">
        <f t="shared" si="246"/>
        <v>6.075519487854889E-3</v>
      </c>
      <c r="R3911" s="4">
        <f t="shared" si="246"/>
        <v>6.7152203782394832E-3</v>
      </c>
      <c r="S3911" s="4">
        <f t="shared" si="246"/>
        <v>-8.7328312413360008E-4</v>
      </c>
      <c r="T3911" s="4">
        <f t="shared" si="246"/>
        <v>-1.2873219377450402E-3</v>
      </c>
      <c r="U3911" s="35"/>
      <c r="V3911" s="35"/>
      <c r="W3911" s="35"/>
      <c r="X3911" s="35"/>
    </row>
    <row r="3912" spans="4:24" x14ac:dyDescent="0.3">
      <c r="D3912" s="23">
        <v>45258</v>
      </c>
      <c r="E3912" s="5">
        <v>451.68954500000001</v>
      </c>
      <c r="F3912" s="28">
        <v>70.060879999999997</v>
      </c>
      <c r="G3912" s="28">
        <v>189.26</v>
      </c>
      <c r="H3912" s="28">
        <v>388.69349999999997</v>
      </c>
      <c r="I3912" s="28">
        <v>223.48230000000001</v>
      </c>
      <c r="J3912" s="29"/>
      <c r="K3912" s="29"/>
      <c r="L3912" s="29"/>
      <c r="M3912" s="29"/>
      <c r="N3912" s="29"/>
      <c r="P3912" s="4">
        <f t="shared" si="246"/>
        <v>9.8961578963248343E-4</v>
      </c>
      <c r="Q3912" s="4">
        <f t="shared" si="246"/>
        <v>4.2170765950651666E-3</v>
      </c>
      <c r="R3912" s="4">
        <f t="shared" si="246"/>
        <v>1.3243817754570796E-2</v>
      </c>
      <c r="S3912" s="4">
        <f t="shared" si="246"/>
        <v>2.6175648267162347E-3</v>
      </c>
      <c r="T3912" s="4">
        <f t="shared" si="246"/>
        <v>6.2171895875354742E-4</v>
      </c>
      <c r="U3912" s="35"/>
      <c r="V3912" s="35"/>
      <c r="W3912" s="35"/>
      <c r="X3912" s="35"/>
    </row>
    <row r="3913" spans="4:24" x14ac:dyDescent="0.3">
      <c r="D3913" s="23">
        <v>45259</v>
      </c>
      <c r="E3913" s="5">
        <v>451.371826</v>
      </c>
      <c r="F3913" s="28">
        <v>70.424509999999998</v>
      </c>
      <c r="G3913" s="28">
        <v>189.54</v>
      </c>
      <c r="H3913" s="28">
        <v>388.315</v>
      </c>
      <c r="I3913" s="28">
        <v>223.58150000000001</v>
      </c>
      <c r="J3913" s="29"/>
      <c r="K3913" s="29"/>
      <c r="L3913" s="29"/>
      <c r="M3913" s="29"/>
      <c r="N3913" s="29"/>
      <c r="P3913" s="4">
        <f t="shared" si="246"/>
        <v>-7.0364877363166076E-4</v>
      </c>
      <c r="Q3913" s="4">
        <f t="shared" si="246"/>
        <v>5.1767776290066077E-3</v>
      </c>
      <c r="R3913" s="4">
        <f t="shared" si="246"/>
        <v>1.4783529619621205E-3</v>
      </c>
      <c r="S3913" s="4">
        <f t="shared" si="246"/>
        <v>-9.7424939350891767E-4</v>
      </c>
      <c r="T3913" s="4">
        <f t="shared" si="246"/>
        <v>4.4378454094494933E-4</v>
      </c>
      <c r="U3913" s="35"/>
      <c r="V3913" s="35"/>
      <c r="W3913" s="35"/>
      <c r="X3913" s="35"/>
    </row>
    <row r="3914" spans="4:24" x14ac:dyDescent="0.3">
      <c r="D3914" s="23">
        <v>45260</v>
      </c>
      <c r="E3914" s="5">
        <v>453.14907799999997</v>
      </c>
      <c r="F3914" s="28">
        <v>70.198459999999997</v>
      </c>
      <c r="G3914" s="28">
        <v>188.75</v>
      </c>
      <c r="H3914" s="28">
        <v>387.33870000000002</v>
      </c>
      <c r="I3914" s="28">
        <v>224.5043</v>
      </c>
      <c r="J3914" s="29"/>
      <c r="K3914" s="29"/>
      <c r="L3914" s="29"/>
      <c r="M3914" s="29"/>
      <c r="N3914" s="29"/>
      <c r="P3914" s="4">
        <f t="shared" si="246"/>
        <v>3.9297141265917917E-3</v>
      </c>
      <c r="Q3914" s="4">
        <f t="shared" si="246"/>
        <v>-3.2149825125509387E-3</v>
      </c>
      <c r="R3914" s="4">
        <f t="shared" si="246"/>
        <v>-4.1766959129146868E-3</v>
      </c>
      <c r="S3914" s="4">
        <f t="shared" si="246"/>
        <v>-2.5173618473725581E-3</v>
      </c>
      <c r="T3914" s="4">
        <f t="shared" si="246"/>
        <v>4.1188598460769341E-3</v>
      </c>
      <c r="U3914" s="35"/>
      <c r="V3914" s="35"/>
      <c r="W3914" s="35"/>
      <c r="X3914" s="35"/>
    </row>
    <row r="3915" spans="4:24" x14ac:dyDescent="0.3">
      <c r="D3915" s="23">
        <v>45261</v>
      </c>
      <c r="E3915" s="5">
        <v>455.82986499999998</v>
      </c>
      <c r="F3915" s="28">
        <v>70.771060000000006</v>
      </c>
      <c r="G3915" s="28">
        <v>192.01</v>
      </c>
      <c r="H3915" s="28">
        <v>388.44450000000001</v>
      </c>
      <c r="I3915" s="28">
        <v>226.39949999999999</v>
      </c>
      <c r="J3915" s="29"/>
      <c r="K3915" s="29"/>
      <c r="L3915" s="29"/>
      <c r="M3915" s="29"/>
      <c r="N3915" s="29"/>
      <c r="P3915" s="4">
        <f t="shared" si="246"/>
        <v>5.8984749715861925E-3</v>
      </c>
      <c r="Q3915" s="4">
        <f t="shared" si="246"/>
        <v>8.1237866043855789E-3</v>
      </c>
      <c r="R3915" s="4">
        <f t="shared" si="246"/>
        <v>1.7124065875691007E-2</v>
      </c>
      <c r="S3915" s="4">
        <f t="shared" si="246"/>
        <v>2.8507983903432797E-3</v>
      </c>
      <c r="T3915" s="4">
        <f t="shared" si="246"/>
        <v>8.4062771723111291E-3</v>
      </c>
      <c r="U3915" s="35"/>
      <c r="V3915" s="35"/>
      <c r="W3915" s="35"/>
      <c r="X3915" s="35"/>
    </row>
    <row r="3916" spans="4:24" x14ac:dyDescent="0.3">
      <c r="D3916" s="23">
        <v>45264</v>
      </c>
      <c r="E3916" s="5">
        <v>453.43704200000002</v>
      </c>
      <c r="F3916" s="28">
        <v>70.485249999999994</v>
      </c>
      <c r="G3916" s="28">
        <v>187.86</v>
      </c>
      <c r="H3916" s="28">
        <v>384.8383</v>
      </c>
      <c r="I3916" s="28">
        <v>225.58580000000001</v>
      </c>
      <c r="J3916" s="29"/>
      <c r="K3916" s="29"/>
      <c r="L3916" s="29"/>
      <c r="M3916" s="29"/>
      <c r="N3916" s="29"/>
      <c r="P3916" s="4">
        <f t="shared" si="246"/>
        <v>-5.2632038079718588E-3</v>
      </c>
      <c r="Q3916" s="4">
        <f t="shared" si="246"/>
        <v>-4.046692003047898E-3</v>
      </c>
      <c r="R3916" s="4">
        <f t="shared" si="246"/>
        <v>-2.1850449438455703E-2</v>
      </c>
      <c r="S3916" s="4">
        <f t="shared" si="246"/>
        <v>-9.327056396711015E-3</v>
      </c>
      <c r="T3916" s="4">
        <f t="shared" si="246"/>
        <v>-3.6005634655415573E-3</v>
      </c>
      <c r="U3916" s="35"/>
      <c r="V3916" s="35"/>
      <c r="W3916" s="35"/>
      <c r="X3916" s="35"/>
    </row>
    <row r="3917" spans="4:24" x14ac:dyDescent="0.3">
      <c r="D3917" s="23">
        <v>45265</v>
      </c>
      <c r="E3917" s="5">
        <v>453.34765599999997</v>
      </c>
      <c r="F3917" s="28">
        <v>70.938599999999994</v>
      </c>
      <c r="G3917" s="28">
        <v>187.15</v>
      </c>
      <c r="H3917" s="28">
        <v>385.80459999999999</v>
      </c>
      <c r="I3917" s="28">
        <v>225.14920000000001</v>
      </c>
      <c r="J3917" s="29"/>
      <c r="K3917" s="29"/>
      <c r="L3917" s="29"/>
      <c r="M3917" s="29"/>
      <c r="N3917" s="29"/>
      <c r="P3917" s="4">
        <f t="shared" si="246"/>
        <v>-1.9714933541937552E-4</v>
      </c>
      <c r="Q3917" s="4">
        <f t="shared" si="246"/>
        <v>6.4112460928859565E-3</v>
      </c>
      <c r="R3917" s="4">
        <f t="shared" si="246"/>
        <v>-3.786570215931386E-3</v>
      </c>
      <c r="S3917" s="4">
        <f t="shared" si="246"/>
        <v>2.5077776137755023E-3</v>
      </c>
      <c r="T3917" s="4">
        <f t="shared" si="246"/>
        <v>-1.9372808259785568E-3</v>
      </c>
      <c r="U3917" s="35"/>
      <c r="V3917" s="35"/>
      <c r="W3917" s="35"/>
      <c r="X3917" s="35"/>
    </row>
    <row r="3918" spans="4:24" x14ac:dyDescent="0.3">
      <c r="D3918" s="23">
        <v>45266</v>
      </c>
      <c r="E3918" s="5">
        <v>451.520782</v>
      </c>
      <c r="F3918" s="28">
        <v>71.145560000000003</v>
      </c>
      <c r="G3918" s="28">
        <v>187.84</v>
      </c>
      <c r="H3918" s="28">
        <v>383.57319999999999</v>
      </c>
      <c r="I3918" s="28">
        <v>224.19669999999999</v>
      </c>
      <c r="J3918" s="29"/>
      <c r="K3918" s="29"/>
      <c r="L3918" s="29"/>
      <c r="M3918" s="29"/>
      <c r="N3918" s="29"/>
      <c r="P3918" s="4">
        <f t="shared" si="246"/>
        <v>-4.0378830898910902E-3</v>
      </c>
      <c r="Q3918" s="4">
        <f t="shared" si="246"/>
        <v>2.913205052109508E-3</v>
      </c>
      <c r="R3918" s="4">
        <f t="shared" si="246"/>
        <v>3.6801022892937081E-3</v>
      </c>
      <c r="S3918" s="4">
        <f t="shared" si="246"/>
        <v>-5.8005475503339135E-3</v>
      </c>
      <c r="T3918" s="4">
        <f t="shared" si="246"/>
        <v>-4.2395020256618312E-3</v>
      </c>
      <c r="U3918" s="35"/>
      <c r="V3918" s="35"/>
      <c r="W3918" s="35"/>
      <c r="X3918" s="35"/>
    </row>
    <row r="3919" spans="4:24" x14ac:dyDescent="0.3">
      <c r="D3919" s="23">
        <v>45267</v>
      </c>
      <c r="E3919" s="5">
        <v>454.96606400000002</v>
      </c>
      <c r="F3919" s="28">
        <v>71.12585</v>
      </c>
      <c r="G3919" s="28">
        <v>188.15</v>
      </c>
      <c r="H3919" s="28">
        <v>388.93259999999998</v>
      </c>
      <c r="I3919" s="28">
        <v>225.99260000000001</v>
      </c>
      <c r="J3919" s="29"/>
      <c r="K3919" s="29"/>
      <c r="L3919" s="29"/>
      <c r="M3919" s="29"/>
      <c r="N3919" s="29"/>
      <c r="P3919" s="4">
        <f t="shared" si="246"/>
        <v>7.601430963334951E-3</v>
      </c>
      <c r="Q3919" s="4">
        <f t="shared" si="246"/>
        <v>-2.7707604958856054E-4</v>
      </c>
      <c r="R3919" s="4">
        <f t="shared" si="246"/>
        <v>1.6489803997147088E-3</v>
      </c>
      <c r="S3919" s="4">
        <f t="shared" si="246"/>
        <v>1.3875587698356865E-2</v>
      </c>
      <c r="T3919" s="4">
        <f t="shared" si="246"/>
        <v>7.9784638445365395E-3</v>
      </c>
      <c r="U3919" s="35"/>
      <c r="V3919" s="35"/>
      <c r="W3919" s="35"/>
      <c r="X3919" s="35"/>
    </row>
    <row r="3920" spans="4:24" x14ac:dyDescent="0.3">
      <c r="D3920" s="23">
        <v>45268</v>
      </c>
      <c r="E3920" s="5">
        <v>456.92202800000001</v>
      </c>
      <c r="F3920" s="28">
        <v>70.780910000000006</v>
      </c>
      <c r="G3920" s="28">
        <v>185.64</v>
      </c>
      <c r="H3920" s="28">
        <v>390.66590000000002</v>
      </c>
      <c r="I3920" s="28">
        <v>227.07419999999999</v>
      </c>
      <c r="J3920" s="29"/>
      <c r="K3920" s="29"/>
      <c r="L3920" s="29"/>
      <c r="M3920" s="29"/>
      <c r="N3920" s="29"/>
      <c r="P3920" s="4">
        <f t="shared" si="246"/>
        <v>4.2899277156281806E-3</v>
      </c>
      <c r="Q3920" s="4">
        <f t="shared" si="246"/>
        <v>-4.8615115920839268E-3</v>
      </c>
      <c r="R3920" s="4">
        <f t="shared" si="246"/>
        <v>-1.343020266647134E-2</v>
      </c>
      <c r="S3920" s="4">
        <f t="shared" si="246"/>
        <v>4.4466551847059561E-3</v>
      </c>
      <c r="T3920" s="4">
        <f t="shared" si="246"/>
        <v>4.7745809436262011E-3</v>
      </c>
      <c r="U3920" s="35"/>
      <c r="V3920" s="35"/>
      <c r="W3920" s="35"/>
      <c r="X3920" s="35"/>
    </row>
    <row r="3921" spans="4:24" x14ac:dyDescent="0.3">
      <c r="D3921" s="23">
        <v>45271</v>
      </c>
      <c r="E3921" s="5">
        <v>458.69924900000001</v>
      </c>
      <c r="F3921" s="28">
        <v>70.790769999999995</v>
      </c>
      <c r="G3921" s="28">
        <v>183.59</v>
      </c>
      <c r="H3921" s="28">
        <v>394.00310000000002</v>
      </c>
      <c r="I3921" s="28">
        <v>228.0069</v>
      </c>
      <c r="J3921" s="29"/>
      <c r="K3921" s="29"/>
      <c r="L3921" s="29"/>
      <c r="M3921" s="29"/>
      <c r="N3921" s="29"/>
      <c r="P3921" s="4">
        <f t="shared" si="246"/>
        <v>3.8820050964966176E-3</v>
      </c>
      <c r="Q3921" s="4">
        <f t="shared" si="246"/>
        <v>1.3929339562735119E-4</v>
      </c>
      <c r="R3921" s="4">
        <f t="shared" si="246"/>
        <v>-1.1104303900860771E-2</v>
      </c>
      <c r="S3921" s="4">
        <f t="shared" si="246"/>
        <v>8.5060582777010049E-3</v>
      </c>
      <c r="T3921" s="4">
        <f t="shared" si="246"/>
        <v>4.0990553374108474E-3</v>
      </c>
      <c r="U3921" s="35"/>
      <c r="V3921" s="35"/>
      <c r="W3921" s="35"/>
      <c r="X3921" s="35"/>
    </row>
    <row r="3922" spans="4:24" x14ac:dyDescent="0.3">
      <c r="D3922" s="23">
        <v>45272</v>
      </c>
      <c r="E3922" s="5">
        <v>460.79424999999998</v>
      </c>
      <c r="F3922" s="28">
        <v>70.997730000000004</v>
      </c>
      <c r="G3922" s="28">
        <v>183.49</v>
      </c>
      <c r="H3922" s="28">
        <v>397.14100000000002</v>
      </c>
      <c r="I3922" s="28">
        <v>228.87010000000001</v>
      </c>
      <c r="J3922" s="29"/>
      <c r="K3922" s="29"/>
      <c r="L3922" s="29"/>
      <c r="M3922" s="29"/>
      <c r="N3922" s="29"/>
      <c r="P3922" s="4">
        <f t="shared" si="246"/>
        <v>4.5568666390956173E-3</v>
      </c>
      <c r="Q3922" s="4">
        <f t="shared" si="246"/>
        <v>2.9192797297303281E-3</v>
      </c>
      <c r="R3922" s="4">
        <f t="shared" si="246"/>
        <v>-5.4484037525201381E-4</v>
      </c>
      <c r="S3922" s="4">
        <f t="shared" si="246"/>
        <v>7.9326040721572188E-3</v>
      </c>
      <c r="T3922" s="4">
        <f t="shared" si="246"/>
        <v>3.7787020449980531E-3</v>
      </c>
      <c r="U3922" s="35"/>
      <c r="V3922" s="35"/>
      <c r="W3922" s="35"/>
      <c r="X3922" s="35"/>
    </row>
    <row r="3923" spans="4:24" x14ac:dyDescent="0.3">
      <c r="D3923" s="23">
        <v>45273</v>
      </c>
      <c r="E3923" s="5">
        <v>467.14865099999997</v>
      </c>
      <c r="F3923" s="28">
        <v>71.904409999999999</v>
      </c>
      <c r="G3923" s="28">
        <v>187.63</v>
      </c>
      <c r="H3923" s="28">
        <v>402.19150000000002</v>
      </c>
      <c r="I3923" s="28">
        <v>232.42240000000001</v>
      </c>
      <c r="J3923" s="29"/>
      <c r="K3923" s="29"/>
      <c r="L3923" s="29"/>
      <c r="M3923" s="29"/>
      <c r="N3923" s="29"/>
      <c r="P3923" s="4">
        <f t="shared" si="246"/>
        <v>1.3695886506150055E-2</v>
      </c>
      <c r="Q3923" s="4">
        <f t="shared" si="246"/>
        <v>1.2689693334616319E-2</v>
      </c>
      <c r="R3923" s="4">
        <f t="shared" si="246"/>
        <v>2.2311768402420971E-2</v>
      </c>
      <c r="S3923" s="4">
        <f t="shared" si="246"/>
        <v>1.2636961991491294E-2</v>
      </c>
      <c r="T3923" s="4">
        <f t="shared" si="246"/>
        <v>1.5401812175723582E-2</v>
      </c>
      <c r="U3923" s="35"/>
      <c r="V3923" s="35"/>
      <c r="W3923" s="35"/>
      <c r="X3923" s="35"/>
    </row>
    <row r="3924" spans="4:24" x14ac:dyDescent="0.3">
      <c r="D3924" s="23">
        <v>45274</v>
      </c>
      <c r="E3924" s="5">
        <v>468.64788800000002</v>
      </c>
      <c r="F3924" s="28">
        <v>72.446470000000005</v>
      </c>
      <c r="G3924" s="28">
        <v>188.73</v>
      </c>
      <c r="H3924" s="28">
        <v>401.84289999999999</v>
      </c>
      <c r="I3924" s="28">
        <v>233.80160000000001</v>
      </c>
      <c r="J3924" s="29"/>
      <c r="K3924" s="29"/>
      <c r="L3924" s="29"/>
      <c r="M3924" s="29"/>
      <c r="N3924" s="29"/>
      <c r="P3924" s="4">
        <f t="shared" si="246"/>
        <v>3.2041971095746555E-3</v>
      </c>
      <c r="Q3924" s="4">
        <f t="shared" si="246"/>
        <v>7.5103462884199453E-3</v>
      </c>
      <c r="R3924" s="4">
        <f t="shared" si="246"/>
        <v>5.8454837507646001E-3</v>
      </c>
      <c r="S3924" s="4">
        <f t="shared" si="246"/>
        <v>-8.6712713247844323E-4</v>
      </c>
      <c r="T3924" s="4">
        <f t="shared" si="246"/>
        <v>5.916486595359976E-3</v>
      </c>
      <c r="U3924" s="35"/>
      <c r="V3924" s="35"/>
      <c r="W3924" s="35"/>
      <c r="X3924" s="35"/>
    </row>
    <row r="3925" spans="4:24" x14ac:dyDescent="0.3">
      <c r="D3925" s="23">
        <v>45275</v>
      </c>
      <c r="E3925" s="5">
        <v>467.876282</v>
      </c>
      <c r="F3925" s="28">
        <v>72.338049999999996</v>
      </c>
      <c r="G3925" s="28">
        <v>187</v>
      </c>
      <c r="H3925" s="28">
        <v>403.78539999999998</v>
      </c>
      <c r="I3925" s="28">
        <v>233.48410000000001</v>
      </c>
      <c r="J3925" s="29"/>
      <c r="K3925" s="29"/>
      <c r="L3925" s="29"/>
      <c r="M3925" s="29"/>
      <c r="N3925" s="29"/>
      <c r="P3925" s="4">
        <f t="shared" ref="P3925:T3940" si="247">LN(E3925/E3924)</f>
        <v>-1.6478083520115971E-3</v>
      </c>
      <c r="Q3925" s="4">
        <f t="shared" si="247"/>
        <v>-1.4976742025427023E-3</v>
      </c>
      <c r="R3925" s="4">
        <f t="shared" si="247"/>
        <v>-9.2088053954612701E-3</v>
      </c>
      <c r="S3925" s="4">
        <f t="shared" si="247"/>
        <v>4.822332493493584E-3</v>
      </c>
      <c r="T3925" s="4">
        <f t="shared" si="247"/>
        <v>-1.3589118984768513E-3</v>
      </c>
      <c r="U3925" s="35"/>
      <c r="V3925" s="35"/>
      <c r="W3925" s="35"/>
      <c r="X3925" s="35"/>
    </row>
    <row r="3926" spans="4:24" x14ac:dyDescent="0.3">
      <c r="D3926" s="23">
        <v>45278</v>
      </c>
      <c r="E3926" s="5">
        <v>470.50811800000002</v>
      </c>
      <c r="F3926" s="28">
        <v>72.190219999999997</v>
      </c>
      <c r="G3926" s="28">
        <v>187.85</v>
      </c>
      <c r="H3926" s="28">
        <v>406.32870000000003</v>
      </c>
      <c r="I3926" s="28">
        <v>234.49610000000001</v>
      </c>
      <c r="J3926" s="29"/>
      <c r="K3926" s="29"/>
      <c r="L3926" s="29"/>
      <c r="M3926" s="29"/>
      <c r="N3926" s="29"/>
      <c r="P3926" s="4">
        <f t="shared" si="247"/>
        <v>5.6093065927794068E-3</v>
      </c>
      <c r="Q3926" s="4">
        <f t="shared" si="247"/>
        <v>-2.0456904597813369E-3</v>
      </c>
      <c r="R3926" s="4">
        <f t="shared" si="247"/>
        <v>4.5351551653911425E-3</v>
      </c>
      <c r="S3926" s="4">
        <f t="shared" si="247"/>
        <v>6.2788892470287952E-3</v>
      </c>
      <c r="T3926" s="4">
        <f t="shared" si="247"/>
        <v>4.3249760459511816E-3</v>
      </c>
      <c r="U3926" s="35"/>
      <c r="V3926" s="35"/>
      <c r="W3926" s="35"/>
      <c r="X3926" s="35"/>
    </row>
    <row r="3927" spans="4:24" x14ac:dyDescent="0.3">
      <c r="D3927" s="23">
        <v>45279</v>
      </c>
      <c r="E3927" s="5">
        <v>473.36923200000001</v>
      </c>
      <c r="F3927" s="28">
        <v>72.328199999999995</v>
      </c>
      <c r="G3927" s="28">
        <v>189.13</v>
      </c>
      <c r="H3927" s="28">
        <v>408.4049</v>
      </c>
      <c r="I3927" s="28">
        <v>236.21270000000001</v>
      </c>
      <c r="J3927" s="29"/>
      <c r="K3927" s="29"/>
      <c r="L3927" s="29"/>
      <c r="M3927" s="29"/>
      <c r="N3927" s="29"/>
      <c r="P3927" s="4">
        <f t="shared" si="247"/>
        <v>6.0624884431312049E-3</v>
      </c>
      <c r="Q3927" s="4">
        <f t="shared" si="247"/>
        <v>1.9095149521529094E-3</v>
      </c>
      <c r="R3927" s="4">
        <f t="shared" si="247"/>
        <v>6.7908372803851119E-3</v>
      </c>
      <c r="S3927" s="4">
        <f t="shared" si="247"/>
        <v>5.0966463006924716E-3</v>
      </c>
      <c r="T3927" s="4">
        <f t="shared" si="247"/>
        <v>7.2937136930698813E-3</v>
      </c>
      <c r="U3927" s="35"/>
      <c r="V3927" s="35"/>
      <c r="W3927" s="35"/>
      <c r="X3927" s="35"/>
    </row>
    <row r="3928" spans="4:24" x14ac:dyDescent="0.3">
      <c r="D3928" s="23">
        <v>45280</v>
      </c>
      <c r="E3928" s="5">
        <v>466.80960099999999</v>
      </c>
      <c r="F3928" s="28">
        <v>72.564719999999994</v>
      </c>
      <c r="G3928" s="28">
        <v>188.1</v>
      </c>
      <c r="H3928" s="28">
        <v>402.33609999999999</v>
      </c>
      <c r="I3928" s="28">
        <v>232.69030000000001</v>
      </c>
      <c r="J3928" s="29"/>
      <c r="K3928" s="29"/>
      <c r="L3928" s="29"/>
      <c r="M3928" s="29"/>
      <c r="N3928" s="29"/>
      <c r="P3928" s="4">
        <f t="shared" si="247"/>
        <v>-1.3954233409006506E-2</v>
      </c>
      <c r="Q3928" s="4">
        <f t="shared" si="247"/>
        <v>3.2647586932740874E-3</v>
      </c>
      <c r="R3928" s="4">
        <f t="shared" si="247"/>
        <v>-5.4608729933782801E-3</v>
      </c>
      <c r="S3928" s="4">
        <f t="shared" si="247"/>
        <v>-1.4971275300454071E-2</v>
      </c>
      <c r="T3928" s="4">
        <f t="shared" si="247"/>
        <v>-1.5024285444032054E-2</v>
      </c>
      <c r="U3928" s="35"/>
      <c r="V3928" s="35"/>
      <c r="W3928" s="35"/>
      <c r="X3928" s="35"/>
    </row>
    <row r="3929" spans="4:24" x14ac:dyDescent="0.3">
      <c r="D3929" s="23">
        <v>45281</v>
      </c>
      <c r="E3929" s="5">
        <v>471.23586999999998</v>
      </c>
      <c r="F3929" s="28">
        <v>72.554869999999994</v>
      </c>
      <c r="G3929" s="28">
        <v>189.43</v>
      </c>
      <c r="H3929" s="28">
        <v>407.01740000000001</v>
      </c>
      <c r="I3929" s="28">
        <v>235.26320000000001</v>
      </c>
      <c r="J3929" s="29"/>
      <c r="K3929" s="29"/>
      <c r="L3929" s="29"/>
      <c r="M3929" s="29"/>
      <c r="N3929" s="29"/>
      <c r="P3929" s="4">
        <f t="shared" si="247"/>
        <v>9.4372863319751778E-3</v>
      </c>
      <c r="Q3929" s="4">
        <f t="shared" si="247"/>
        <v>-1.3575010810221614E-4</v>
      </c>
      <c r="R3929" s="4">
        <f t="shared" si="247"/>
        <v>7.0458268332028746E-3</v>
      </c>
      <c r="S3929" s="4">
        <f t="shared" si="247"/>
        <v>1.1568127412296271E-2</v>
      </c>
      <c r="T3929" s="4">
        <f t="shared" si="247"/>
        <v>1.0996502545065913E-2</v>
      </c>
      <c r="U3929" s="35"/>
      <c r="V3929" s="35"/>
      <c r="W3929" s="35"/>
      <c r="X3929" s="35"/>
    </row>
    <row r="3930" spans="4:24" x14ac:dyDescent="0.3">
      <c r="D3930" s="23">
        <v>45282</v>
      </c>
      <c r="E3930" s="5">
        <v>472.18289199999998</v>
      </c>
      <c r="F3930" s="28">
        <v>72.506450000000001</v>
      </c>
      <c r="G3930" s="28">
        <v>190.27</v>
      </c>
      <c r="H3930" s="28">
        <v>407.62630000000001</v>
      </c>
      <c r="I3930" s="28">
        <v>235.8013</v>
      </c>
      <c r="J3930" s="29"/>
      <c r="K3930" s="29"/>
      <c r="L3930" s="29"/>
      <c r="M3930" s="29"/>
      <c r="N3930" s="29"/>
      <c r="P3930" s="4">
        <f t="shared" si="247"/>
        <v>2.0076393564242563E-3</v>
      </c>
      <c r="Q3930" s="4">
        <f t="shared" si="247"/>
        <v>-6.6757977658334999E-4</v>
      </c>
      <c r="R3930" s="4">
        <f t="shared" si="247"/>
        <v>4.4245529121219518E-3</v>
      </c>
      <c r="S3930" s="4">
        <f t="shared" si="247"/>
        <v>1.4948869386500775E-3</v>
      </c>
      <c r="T3930" s="4">
        <f t="shared" si="247"/>
        <v>2.284613822732446E-3</v>
      </c>
      <c r="U3930" s="35"/>
      <c r="V3930" s="35"/>
      <c r="W3930" s="35"/>
      <c r="X3930" s="35"/>
    </row>
    <row r="3931" spans="4:24" x14ac:dyDescent="0.3">
      <c r="D3931" s="23">
        <v>45286</v>
      </c>
      <c r="E3931" s="5">
        <v>474.17669699999999</v>
      </c>
      <c r="F3931" s="28">
        <v>72.575630000000004</v>
      </c>
      <c r="G3931" s="28">
        <v>191.72</v>
      </c>
      <c r="H3931" s="28">
        <v>410.12169999999998</v>
      </c>
      <c r="I3931" s="28">
        <v>236.96719999999999</v>
      </c>
      <c r="J3931" s="29"/>
      <c r="K3931" s="29"/>
      <c r="L3931" s="29"/>
      <c r="M3931" s="29"/>
      <c r="N3931" s="29"/>
      <c r="P3931" s="4">
        <f t="shared" si="247"/>
        <v>4.2136371272213776E-3</v>
      </c>
      <c r="Q3931" s="4">
        <f t="shared" si="247"/>
        <v>9.5366712750694787E-4</v>
      </c>
      <c r="R3931" s="4">
        <f t="shared" si="247"/>
        <v>7.5918582391212202E-3</v>
      </c>
      <c r="S3931" s="4">
        <f t="shared" si="247"/>
        <v>6.1031216113917987E-3</v>
      </c>
      <c r="T3931" s="4">
        <f t="shared" si="247"/>
        <v>4.9322336981542994E-3</v>
      </c>
      <c r="U3931" s="35"/>
      <c r="V3931" s="35"/>
      <c r="W3931" s="35"/>
      <c r="X3931" s="35"/>
    </row>
    <row r="3932" spans="4:24" x14ac:dyDescent="0.3">
      <c r="D3932" s="23">
        <v>45287</v>
      </c>
      <c r="E3932" s="5">
        <v>475.03405800000002</v>
      </c>
      <c r="F3932" s="28">
        <v>73.040170000000003</v>
      </c>
      <c r="G3932" s="28">
        <v>192.59</v>
      </c>
      <c r="H3932" s="28">
        <v>410.95659999999998</v>
      </c>
      <c r="I3932" s="28">
        <v>237.41569999999999</v>
      </c>
      <c r="J3932" s="29"/>
      <c r="K3932" s="29"/>
      <c r="L3932" s="29"/>
      <c r="M3932" s="29"/>
      <c r="N3932" s="29"/>
      <c r="P3932" s="4">
        <f t="shared" si="247"/>
        <v>1.80647180542131E-3</v>
      </c>
      <c r="Q3932" s="4">
        <f t="shared" si="247"/>
        <v>6.3803732276092855E-3</v>
      </c>
      <c r="R3932" s="4">
        <f t="shared" si="247"/>
        <v>4.5276026446901783E-3</v>
      </c>
      <c r="S3932" s="4">
        <f t="shared" si="247"/>
        <v>2.0336678919626967E-3</v>
      </c>
      <c r="T3932" s="4">
        <f t="shared" si="247"/>
        <v>1.8908781645852223E-3</v>
      </c>
      <c r="U3932" s="35"/>
      <c r="V3932" s="35"/>
      <c r="W3932" s="35"/>
      <c r="X3932" s="35"/>
    </row>
    <row r="3933" spans="4:24" x14ac:dyDescent="0.3">
      <c r="D3933" s="23">
        <v>45288</v>
      </c>
      <c r="E3933" s="5">
        <v>475.21350100000001</v>
      </c>
      <c r="F3933" s="28">
        <v>72.862269999999995</v>
      </c>
      <c r="G3933" s="28">
        <v>191.47</v>
      </c>
      <c r="H3933" s="28">
        <v>410.7568</v>
      </c>
      <c r="I3933" s="28">
        <v>237.2961</v>
      </c>
      <c r="J3933" s="29"/>
      <c r="K3933" s="29"/>
      <c r="L3933" s="29"/>
      <c r="M3933" s="29"/>
      <c r="N3933" s="29"/>
      <c r="P3933" s="4">
        <f t="shared" si="247"/>
        <v>3.776763232557559E-4</v>
      </c>
      <c r="Q3933" s="4">
        <f t="shared" si="247"/>
        <v>-2.4386170397437882E-3</v>
      </c>
      <c r="R3933" s="4">
        <f t="shared" si="247"/>
        <v>-5.8324385510071181E-3</v>
      </c>
      <c r="S3933" s="4">
        <f t="shared" si="247"/>
        <v>-4.8630095100679117E-4</v>
      </c>
      <c r="T3933" s="4">
        <f t="shared" si="247"/>
        <v>-5.0388468342486056E-4</v>
      </c>
      <c r="U3933" s="35"/>
      <c r="V3933" s="35"/>
      <c r="W3933" s="35"/>
      <c r="X3933" s="35"/>
    </row>
    <row r="3934" spans="4:24" x14ac:dyDescent="0.3">
      <c r="D3934" s="23">
        <v>45289</v>
      </c>
      <c r="E3934" s="5">
        <v>473.83776899999998</v>
      </c>
      <c r="F3934" s="28">
        <v>72.694239999999994</v>
      </c>
      <c r="G3934" s="28">
        <v>191.17</v>
      </c>
      <c r="H3934" s="28">
        <v>408.97919999999999</v>
      </c>
      <c r="I3934" s="28">
        <v>236.38929999999999</v>
      </c>
      <c r="J3934" s="29"/>
      <c r="K3934" s="29"/>
      <c r="L3934" s="29"/>
      <c r="M3934" s="29"/>
      <c r="N3934" s="29"/>
      <c r="P3934" s="4">
        <f t="shared" si="247"/>
        <v>-2.8991752228736331E-3</v>
      </c>
      <c r="Q3934" s="4">
        <f t="shared" si="247"/>
        <v>-2.3087950465534518E-3</v>
      </c>
      <c r="R3934" s="4">
        <f t="shared" si="247"/>
        <v>-1.5680538441868977E-3</v>
      </c>
      <c r="S3934" s="4">
        <f t="shared" si="247"/>
        <v>-4.3370128586272217E-3</v>
      </c>
      <c r="T3934" s="4">
        <f t="shared" si="247"/>
        <v>-3.8287061738902198E-3</v>
      </c>
      <c r="U3934" s="35"/>
      <c r="V3934" s="35"/>
      <c r="W3934" s="35"/>
      <c r="X3934" s="35"/>
    </row>
    <row r="3935" spans="4:24" x14ac:dyDescent="0.3">
      <c r="D3935" s="23">
        <v>45293</v>
      </c>
      <c r="E3935" s="5">
        <v>471.18600500000002</v>
      </c>
      <c r="F3935" s="28">
        <v>72.38785</v>
      </c>
      <c r="G3935" s="28">
        <v>190.72</v>
      </c>
      <c r="H3935" s="28">
        <v>402.05840000000001</v>
      </c>
      <c r="I3935" s="28">
        <v>234.8048</v>
      </c>
      <c r="J3935" s="29"/>
      <c r="K3935" s="29"/>
      <c r="L3935" s="29"/>
      <c r="M3935" s="29"/>
      <c r="N3935" s="29"/>
      <c r="P3935" s="4">
        <f t="shared" si="247"/>
        <v>-5.6120724849635286E-3</v>
      </c>
      <c r="Q3935" s="4">
        <f t="shared" si="247"/>
        <v>-4.2236840603422973E-3</v>
      </c>
      <c r="R3935" s="4">
        <f t="shared" si="247"/>
        <v>-2.3567006639419108E-3</v>
      </c>
      <c r="S3935" s="4">
        <f t="shared" si="247"/>
        <v>-1.7066947304213511E-2</v>
      </c>
      <c r="T3935" s="4">
        <f t="shared" si="247"/>
        <v>-6.7254915650913679E-3</v>
      </c>
      <c r="U3935" s="35"/>
      <c r="V3935" s="35"/>
      <c r="W3935" s="35"/>
      <c r="X3935" s="35"/>
    </row>
    <row r="3936" spans="4:24" x14ac:dyDescent="0.3">
      <c r="D3936" s="23">
        <v>45294</v>
      </c>
      <c r="E3936" s="5">
        <v>467.33798200000001</v>
      </c>
      <c r="F3936" s="28">
        <v>72.447140000000005</v>
      </c>
      <c r="G3936" s="28">
        <v>189.13</v>
      </c>
      <c r="H3936" s="28">
        <v>397.80399999999997</v>
      </c>
      <c r="I3936" s="28">
        <v>232.55279999999999</v>
      </c>
      <c r="J3936" s="29"/>
      <c r="K3936" s="29"/>
      <c r="L3936" s="29"/>
      <c r="M3936" s="29"/>
      <c r="N3936" s="29"/>
      <c r="P3936" s="4">
        <f t="shared" si="247"/>
        <v>-8.2002050370816645E-3</v>
      </c>
      <c r="Q3936" s="4">
        <f t="shared" si="247"/>
        <v>8.1872485801808578E-4</v>
      </c>
      <c r="R3936" s="4">
        <f t="shared" si="247"/>
        <v>-8.3717745766219206E-3</v>
      </c>
      <c r="S3936" s="4">
        <f t="shared" si="247"/>
        <v>-1.0637930026179221E-2</v>
      </c>
      <c r="T3936" s="4">
        <f t="shared" si="247"/>
        <v>-9.6372346561054197E-3</v>
      </c>
      <c r="U3936" s="35"/>
      <c r="V3936" s="35"/>
      <c r="W3936" s="35"/>
      <c r="X3936" s="35"/>
    </row>
    <row r="3937" spans="4:24" x14ac:dyDescent="0.3">
      <c r="D3937" s="23">
        <v>45295</v>
      </c>
      <c r="E3937" s="5">
        <v>465.83264200000002</v>
      </c>
      <c r="F3937" s="28">
        <v>72.120990000000006</v>
      </c>
      <c r="G3937" s="28">
        <v>189.32</v>
      </c>
      <c r="H3937" s="28">
        <v>395.75670000000002</v>
      </c>
      <c r="I3937" s="28">
        <v>231.95480000000001</v>
      </c>
      <c r="J3937" s="29"/>
      <c r="K3937" s="29"/>
      <c r="L3937" s="29"/>
      <c r="M3937" s="29"/>
      <c r="N3937" s="29"/>
      <c r="P3937" s="4">
        <f t="shared" si="247"/>
        <v>-3.2262938138807422E-3</v>
      </c>
      <c r="Q3937" s="4">
        <f t="shared" si="247"/>
        <v>-4.5120671248035553E-3</v>
      </c>
      <c r="R3937" s="4">
        <f t="shared" si="247"/>
        <v>1.0040957376842711E-3</v>
      </c>
      <c r="S3937" s="4">
        <f t="shared" si="247"/>
        <v>-5.1597931757029454E-3</v>
      </c>
      <c r="T3937" s="4">
        <f t="shared" si="247"/>
        <v>-2.5747709202920063E-3</v>
      </c>
      <c r="U3937" s="35"/>
      <c r="V3937" s="35"/>
      <c r="W3937" s="35"/>
      <c r="X3937" s="35"/>
    </row>
    <row r="3938" spans="4:24" x14ac:dyDescent="0.3">
      <c r="D3938" s="23">
        <v>45296</v>
      </c>
      <c r="E3938" s="5">
        <v>466.47067299999998</v>
      </c>
      <c r="F3938" s="28">
        <v>71.903540000000007</v>
      </c>
      <c r="G3938" s="28">
        <v>189.35</v>
      </c>
      <c r="H3938" s="28">
        <v>396.22609999999997</v>
      </c>
      <c r="I3938" s="28">
        <v>232.30359999999999</v>
      </c>
      <c r="J3938" s="29"/>
      <c r="K3938" s="29"/>
      <c r="L3938" s="29"/>
      <c r="M3938" s="29"/>
      <c r="N3938" s="29"/>
      <c r="P3938" s="4">
        <f t="shared" si="247"/>
        <v>1.3687200063359556E-3</v>
      </c>
      <c r="Q3938" s="4">
        <f t="shared" si="247"/>
        <v>-3.01962679869019E-3</v>
      </c>
      <c r="R3938" s="4">
        <f t="shared" si="247"/>
        <v>1.5844930975662165E-4</v>
      </c>
      <c r="S3938" s="4">
        <f t="shared" si="247"/>
        <v>1.1853794172390958E-3</v>
      </c>
      <c r="T3938" s="4">
        <f t="shared" si="247"/>
        <v>1.5026117594335508E-3</v>
      </c>
      <c r="U3938" s="35"/>
      <c r="V3938" s="35"/>
      <c r="W3938" s="35"/>
      <c r="X3938" s="35"/>
    </row>
    <row r="3939" spans="4:24" x14ac:dyDescent="0.3">
      <c r="D3939" s="23">
        <v>45299</v>
      </c>
      <c r="E3939" s="5">
        <v>473.129974</v>
      </c>
      <c r="F3939" s="28">
        <v>72.219819999999999</v>
      </c>
      <c r="G3939" s="28">
        <v>187.87</v>
      </c>
      <c r="H3939" s="28">
        <v>404.4153</v>
      </c>
      <c r="I3939" s="28">
        <v>235.62200000000001</v>
      </c>
      <c r="J3939" s="29"/>
      <c r="K3939" s="29"/>
      <c r="L3939" s="29"/>
      <c r="M3939" s="29"/>
      <c r="N3939" s="29"/>
      <c r="P3939" s="4">
        <f t="shared" si="247"/>
        <v>1.4174984926723056E-2</v>
      </c>
      <c r="Q3939" s="4">
        <f t="shared" si="247"/>
        <v>4.3890248981499199E-3</v>
      </c>
      <c r="R3939" s="4">
        <f t="shared" si="247"/>
        <v>-7.8469200685962141E-3</v>
      </c>
      <c r="S3939" s="4">
        <f t="shared" si="247"/>
        <v>2.04573123435016E-2</v>
      </c>
      <c r="T3939" s="4">
        <f t="shared" si="247"/>
        <v>1.4183689167553691E-2</v>
      </c>
      <c r="U3939" s="35"/>
      <c r="V3939" s="35"/>
      <c r="W3939" s="35"/>
      <c r="X3939" s="35"/>
    </row>
    <row r="3940" spans="4:24" x14ac:dyDescent="0.3">
      <c r="D3940" s="23">
        <v>45300</v>
      </c>
      <c r="E3940" s="5">
        <v>472.41220099999998</v>
      </c>
      <c r="F3940" s="28">
        <v>72.209940000000003</v>
      </c>
      <c r="G3940" s="28">
        <v>187.93</v>
      </c>
      <c r="H3940" s="28">
        <v>405.21420000000001</v>
      </c>
      <c r="I3940" s="28">
        <v>235.18350000000001</v>
      </c>
      <c r="J3940" s="29"/>
      <c r="K3940" s="29"/>
      <c r="L3940" s="29"/>
      <c r="M3940" s="29"/>
      <c r="N3940" s="29"/>
      <c r="P3940" s="4">
        <f t="shared" si="247"/>
        <v>-1.5182255363125677E-3</v>
      </c>
      <c r="Q3940" s="4">
        <f t="shared" si="247"/>
        <v>-1.3681390892575414E-4</v>
      </c>
      <c r="R3940" s="4">
        <f t="shared" si="247"/>
        <v>3.1931878930188044E-4</v>
      </c>
      <c r="S3940" s="4">
        <f t="shared" si="247"/>
        <v>1.9734959244660801E-3</v>
      </c>
      <c r="T3940" s="4">
        <f t="shared" si="247"/>
        <v>-1.8627655233243868E-3</v>
      </c>
      <c r="U3940" s="35"/>
      <c r="V3940" s="35"/>
      <c r="W3940" s="35"/>
      <c r="X3940" s="35"/>
    </row>
    <row r="3941" spans="4:24" x14ac:dyDescent="0.3">
      <c r="D3941" s="23">
        <v>45301</v>
      </c>
      <c r="E3941" s="5">
        <v>475.08389299999999</v>
      </c>
      <c r="F3941" s="28">
        <v>72.081450000000004</v>
      </c>
      <c r="G3941" s="28">
        <v>187.5</v>
      </c>
      <c r="H3941" s="28">
        <v>407.9606</v>
      </c>
      <c r="I3941" s="28">
        <v>236.39920000000001</v>
      </c>
      <c r="J3941" s="29"/>
      <c r="K3941" s="29"/>
      <c r="L3941" s="29"/>
      <c r="M3941" s="29"/>
      <c r="N3941" s="29"/>
      <c r="P3941" s="4">
        <f t="shared" ref="P3941:T3956" si="248">LN(E3941/E3940)</f>
        <v>5.6394936037504218E-3</v>
      </c>
      <c r="Q3941" s="4">
        <f t="shared" si="248"/>
        <v>-1.7809799179702445E-3</v>
      </c>
      <c r="R3941" s="4">
        <f t="shared" si="248"/>
        <v>-2.2907076580439777E-3</v>
      </c>
      <c r="S3941" s="4">
        <f t="shared" si="248"/>
        <v>6.7547849306663008E-3</v>
      </c>
      <c r="T3941" s="4">
        <f t="shared" si="248"/>
        <v>5.1558409290561533E-3</v>
      </c>
      <c r="U3941" s="35"/>
      <c r="V3941" s="35"/>
      <c r="W3941" s="35"/>
      <c r="X3941" s="35"/>
    </row>
    <row r="3942" spans="4:24" x14ac:dyDescent="0.3">
      <c r="D3942" s="23">
        <v>45302</v>
      </c>
      <c r="E3942" s="5">
        <v>474.87454200000002</v>
      </c>
      <c r="F3942" s="28">
        <v>72.45702</v>
      </c>
      <c r="G3942" s="28">
        <v>187.87</v>
      </c>
      <c r="H3942" s="28">
        <v>408.80939999999998</v>
      </c>
      <c r="I3942" s="28">
        <v>236.2398</v>
      </c>
      <c r="J3942" s="29"/>
      <c r="K3942" s="29"/>
      <c r="L3942" s="29"/>
      <c r="M3942" s="29"/>
      <c r="N3942" s="29"/>
      <c r="P3942" s="4">
        <f t="shared" si="248"/>
        <v>-4.4075823883631918E-4</v>
      </c>
      <c r="Q3942" s="4">
        <f t="shared" si="248"/>
        <v>5.196828847740434E-3</v>
      </c>
      <c r="R3942" s="4">
        <f t="shared" si="248"/>
        <v>1.9713888687421404E-3</v>
      </c>
      <c r="S3942" s="4">
        <f t="shared" si="248"/>
        <v>2.0784316406315369E-3</v>
      </c>
      <c r="T3942" s="4">
        <f t="shared" si="248"/>
        <v>-6.7451059283496213E-4</v>
      </c>
      <c r="U3942" s="35"/>
      <c r="V3942" s="35"/>
      <c r="W3942" s="35"/>
      <c r="X3942" s="35"/>
    </row>
    <row r="3943" spans="4:24" x14ac:dyDescent="0.3">
      <c r="D3943" s="23">
        <v>45303</v>
      </c>
      <c r="E3943" s="5">
        <v>475.20352200000002</v>
      </c>
      <c r="F3943" s="28">
        <v>72.605279999999993</v>
      </c>
      <c r="G3943" s="28">
        <v>189.71</v>
      </c>
      <c r="H3943" s="28">
        <v>409.01920000000001</v>
      </c>
      <c r="I3943" s="28">
        <v>236.27959999999999</v>
      </c>
      <c r="J3943" s="29"/>
      <c r="K3943" s="29"/>
      <c r="L3943" s="29"/>
      <c r="M3943" s="29"/>
      <c r="N3943" s="29"/>
      <c r="P3943" s="4">
        <f t="shared" si="248"/>
        <v>6.925325941390041E-4</v>
      </c>
      <c r="Q3943" s="4">
        <f t="shared" si="248"/>
        <v>2.044087976308518E-3</v>
      </c>
      <c r="R3943" s="4">
        <f t="shared" si="248"/>
        <v>9.7463560852464881E-3</v>
      </c>
      <c r="S3943" s="4">
        <f t="shared" si="248"/>
        <v>5.1306595196671232E-4</v>
      </c>
      <c r="T3943" s="4">
        <f t="shared" si="248"/>
        <v>1.684586922530373E-4</v>
      </c>
      <c r="U3943" s="35"/>
      <c r="V3943" s="35"/>
      <c r="W3943" s="35"/>
      <c r="X3943" s="35"/>
    </row>
    <row r="3944" spans="4:24" x14ac:dyDescent="0.3">
      <c r="D3944" s="23">
        <v>45307</v>
      </c>
      <c r="E3944" s="5">
        <v>473.45892300000003</v>
      </c>
      <c r="F3944" s="28">
        <v>72.091340000000002</v>
      </c>
      <c r="G3944" s="28">
        <v>187.91</v>
      </c>
      <c r="H3944" s="28">
        <v>408.97919999999999</v>
      </c>
      <c r="I3944" s="28">
        <v>235.18350000000001</v>
      </c>
      <c r="J3944" s="29"/>
      <c r="K3944" s="29"/>
      <c r="L3944" s="29"/>
      <c r="M3944" s="29"/>
      <c r="N3944" s="29"/>
      <c r="P3944" s="4">
        <f t="shared" si="248"/>
        <v>-3.6780226220979942E-3</v>
      </c>
      <c r="Q3944" s="4">
        <f t="shared" si="248"/>
        <v>-7.1037203389771302E-3</v>
      </c>
      <c r="R3944" s="4">
        <f t="shared" si="248"/>
        <v>-9.5334655633928459E-3</v>
      </c>
      <c r="S3944" s="4">
        <f t="shared" si="248"/>
        <v>-9.7799702375716511E-5</v>
      </c>
      <c r="T3944" s="4">
        <f t="shared" si="248"/>
        <v>-4.6497890284743623E-3</v>
      </c>
      <c r="U3944" s="35"/>
      <c r="V3944" s="35"/>
      <c r="W3944" s="35"/>
      <c r="X3944" s="35"/>
    </row>
    <row r="3945" spans="4:24" x14ac:dyDescent="0.3">
      <c r="D3945" s="23">
        <v>45308</v>
      </c>
      <c r="E3945" s="5">
        <v>470.82711799999998</v>
      </c>
      <c r="F3945" s="28">
        <v>71.923299999999998</v>
      </c>
      <c r="G3945" s="28">
        <v>185.84</v>
      </c>
      <c r="H3945" s="28">
        <v>406.67219999999998</v>
      </c>
      <c r="I3945" s="28">
        <v>233.76849999999999</v>
      </c>
      <c r="J3945" s="29"/>
      <c r="K3945" s="29"/>
      <c r="L3945" s="29"/>
      <c r="M3945" s="29"/>
      <c r="N3945" s="29"/>
      <c r="P3945" s="4">
        <f t="shared" si="248"/>
        <v>-5.5741834576413397E-3</v>
      </c>
      <c r="Q3945" s="4">
        <f t="shared" si="248"/>
        <v>-2.3336526933822313E-3</v>
      </c>
      <c r="R3945" s="4">
        <f t="shared" si="248"/>
        <v>-1.1077036338907494E-2</v>
      </c>
      <c r="S3945" s="4">
        <f t="shared" si="248"/>
        <v>-5.656843479882042E-3</v>
      </c>
      <c r="T3945" s="4">
        <f t="shared" si="248"/>
        <v>-6.0347510803348374E-3</v>
      </c>
      <c r="U3945" s="35"/>
      <c r="V3945" s="35"/>
      <c r="W3945" s="35"/>
      <c r="X3945" s="35"/>
    </row>
    <row r="3946" spans="4:24" x14ac:dyDescent="0.3">
      <c r="D3946" s="23">
        <v>45309</v>
      </c>
      <c r="E3946" s="5">
        <v>475.01409899999999</v>
      </c>
      <c r="F3946" s="28">
        <v>71.824470000000005</v>
      </c>
      <c r="G3946" s="28">
        <v>187.37</v>
      </c>
      <c r="H3946" s="28">
        <v>412.44459999999998</v>
      </c>
      <c r="I3946" s="28">
        <v>235.8312</v>
      </c>
      <c r="J3946" s="29"/>
      <c r="K3946" s="29"/>
      <c r="L3946" s="29"/>
      <c r="M3946" s="29"/>
      <c r="N3946" s="29"/>
      <c r="P3946" s="4">
        <f t="shared" si="248"/>
        <v>8.8535121420077953E-3</v>
      </c>
      <c r="Q3946" s="4">
        <f t="shared" si="248"/>
        <v>-1.3750476347833699E-3</v>
      </c>
      <c r="R3946" s="4">
        <f t="shared" si="248"/>
        <v>8.1991831482674353E-3</v>
      </c>
      <c r="S3946" s="4">
        <f t="shared" si="248"/>
        <v>1.4094438200971924E-2</v>
      </c>
      <c r="T3946" s="4">
        <f t="shared" si="248"/>
        <v>8.784985449901023E-3</v>
      </c>
      <c r="U3946" s="35"/>
      <c r="V3946" s="35"/>
      <c r="W3946" s="35"/>
      <c r="X3946" s="35"/>
    </row>
    <row r="3947" spans="4:24" x14ac:dyDescent="0.3">
      <c r="D3947" s="23">
        <v>45310</v>
      </c>
      <c r="E3947" s="5">
        <v>480.935699</v>
      </c>
      <c r="F3947" s="28">
        <v>71.824470000000005</v>
      </c>
      <c r="G3947" s="28">
        <v>187.93</v>
      </c>
      <c r="H3947" s="28">
        <v>420.62380000000002</v>
      </c>
      <c r="I3947" s="28">
        <v>238.7011</v>
      </c>
      <c r="J3947" s="29"/>
      <c r="K3947" s="29"/>
      <c r="L3947" s="29"/>
      <c r="M3947" s="29"/>
      <c r="N3947" s="29"/>
      <c r="P3947" s="4">
        <f t="shared" si="248"/>
        <v>1.2389093557456689E-2</v>
      </c>
      <c r="Q3947" s="4">
        <f t="shared" si="248"/>
        <v>0</v>
      </c>
      <c r="R3947" s="4">
        <f t="shared" si="248"/>
        <v>2.9842814580883794E-3</v>
      </c>
      <c r="S3947" s="4">
        <f t="shared" si="248"/>
        <v>1.9636953772475766E-2</v>
      </c>
      <c r="T3947" s="4">
        <f t="shared" si="248"/>
        <v>1.2095846757124672E-2</v>
      </c>
      <c r="U3947" s="35"/>
      <c r="V3947" s="35"/>
      <c r="W3947" s="35"/>
      <c r="X3947" s="35"/>
    </row>
    <row r="3948" spans="4:24" x14ac:dyDescent="0.3">
      <c r="D3948" s="23">
        <v>45313</v>
      </c>
      <c r="E3948" s="5">
        <v>481.95257600000002</v>
      </c>
      <c r="F3948" s="28">
        <v>71.943089999999998</v>
      </c>
      <c r="G3948" s="28">
        <v>187.22</v>
      </c>
      <c r="H3948" s="28">
        <v>421.17309999999998</v>
      </c>
      <c r="I3948" s="28">
        <v>239.73750000000001</v>
      </c>
      <c r="J3948" s="29"/>
      <c r="K3948" s="29"/>
      <c r="L3948" s="29"/>
      <c r="M3948" s="29"/>
      <c r="N3948" s="29"/>
      <c r="P3948" s="4">
        <f t="shared" si="248"/>
        <v>2.1121399116330397E-3</v>
      </c>
      <c r="Q3948" s="4">
        <f t="shared" si="248"/>
        <v>1.6501640135960485E-3</v>
      </c>
      <c r="R3948" s="4">
        <f t="shared" si="248"/>
        <v>-3.7851571249109318E-3</v>
      </c>
      <c r="S3948" s="4">
        <f t="shared" si="248"/>
        <v>1.305065575707687E-3</v>
      </c>
      <c r="T3948" s="4">
        <f t="shared" si="248"/>
        <v>4.332433131857865E-3</v>
      </c>
      <c r="U3948" s="35"/>
      <c r="V3948" s="35"/>
      <c r="W3948" s="35"/>
      <c r="X3948" s="35"/>
    </row>
    <row r="3949" spans="4:24" x14ac:dyDescent="0.3">
      <c r="D3949" s="23">
        <v>45314</v>
      </c>
      <c r="E3949" s="5">
        <v>483.35818499999999</v>
      </c>
      <c r="F3949" s="28">
        <v>71.775059999999996</v>
      </c>
      <c r="G3949" s="28">
        <v>187.95</v>
      </c>
      <c r="H3949" s="28">
        <v>422.92079999999999</v>
      </c>
      <c r="I3949" s="28">
        <v>240.17599999999999</v>
      </c>
      <c r="J3949" s="29"/>
      <c r="K3949" s="29"/>
      <c r="L3949" s="29"/>
      <c r="M3949" s="29"/>
      <c r="N3949" s="29"/>
      <c r="P3949" s="4">
        <f t="shared" si="248"/>
        <v>2.9122434975796621E-3</v>
      </c>
      <c r="Q3949" s="4">
        <f t="shared" si="248"/>
        <v>-2.3383278529892811E-3</v>
      </c>
      <c r="R3949" s="4">
        <f t="shared" si="248"/>
        <v>3.8915740665882723E-3</v>
      </c>
      <c r="S3949" s="4">
        <f t="shared" si="248"/>
        <v>4.1410144000866194E-3</v>
      </c>
      <c r="T3949" s="4">
        <f t="shared" si="248"/>
        <v>1.8274131568653228E-3</v>
      </c>
      <c r="U3949" s="35"/>
      <c r="V3949" s="35"/>
      <c r="W3949" s="35"/>
      <c r="X3949" s="35"/>
    </row>
    <row r="3950" spans="4:24" x14ac:dyDescent="0.3">
      <c r="D3950" s="23">
        <v>45315</v>
      </c>
      <c r="E3950" s="5">
        <v>483.88656600000002</v>
      </c>
      <c r="F3950" s="28">
        <v>71.626800000000003</v>
      </c>
      <c r="G3950" s="28">
        <v>186.4</v>
      </c>
      <c r="H3950" s="28">
        <v>425.26769999999999</v>
      </c>
      <c r="I3950" s="28">
        <v>240.1361</v>
      </c>
      <c r="J3950" s="29"/>
      <c r="K3950" s="29"/>
      <c r="L3950" s="29"/>
      <c r="M3950" s="29"/>
      <c r="N3950" s="29"/>
      <c r="P3950" s="4">
        <f t="shared" si="248"/>
        <v>1.09254881355061E-3</v>
      </c>
      <c r="Q3950" s="4">
        <f t="shared" si="248"/>
        <v>-2.0677563432612029E-3</v>
      </c>
      <c r="R3950" s="4">
        <f t="shared" si="248"/>
        <v>-8.2810677586960778E-3</v>
      </c>
      <c r="S3950" s="4">
        <f t="shared" si="248"/>
        <v>5.5339255114885662E-3</v>
      </c>
      <c r="T3950" s="4">
        <f t="shared" si="248"/>
        <v>-1.6614197348673154E-4</v>
      </c>
      <c r="U3950" s="35"/>
      <c r="V3950" s="35"/>
      <c r="W3950" s="35"/>
      <c r="X3950" s="35"/>
    </row>
    <row r="3951" spans="4:24" x14ac:dyDescent="0.3">
      <c r="D3951" s="23">
        <v>45316</v>
      </c>
      <c r="E3951" s="5">
        <v>486.518372</v>
      </c>
      <c r="F3951" s="28">
        <v>71.96284</v>
      </c>
      <c r="G3951" s="28">
        <v>187.14</v>
      </c>
      <c r="H3951" s="28">
        <v>425.78699999999998</v>
      </c>
      <c r="I3951" s="28">
        <v>241.47139999999999</v>
      </c>
      <c r="J3951" s="29"/>
      <c r="K3951" s="29"/>
      <c r="L3951" s="29"/>
      <c r="M3951" s="29"/>
      <c r="N3951" s="29"/>
      <c r="P3951" s="4">
        <f t="shared" si="248"/>
        <v>5.4241530510901912E-3</v>
      </c>
      <c r="Q3951" s="4">
        <f t="shared" si="248"/>
        <v>4.6805690645808085E-3</v>
      </c>
      <c r="R3951" s="4">
        <f t="shared" si="248"/>
        <v>3.9620975962760359E-3</v>
      </c>
      <c r="S3951" s="4">
        <f t="shared" si="248"/>
        <v>1.2203682429562821E-3</v>
      </c>
      <c r="T3951" s="4">
        <f t="shared" si="248"/>
        <v>5.545193634286869E-3</v>
      </c>
      <c r="U3951" s="35"/>
      <c r="V3951" s="35"/>
      <c r="W3951" s="35"/>
      <c r="X3951" s="35"/>
    </row>
    <row r="3952" spans="4:24" x14ac:dyDescent="0.3">
      <c r="D3952" s="23">
        <v>45317</v>
      </c>
      <c r="E3952" s="5">
        <v>485.90029900000002</v>
      </c>
      <c r="F3952" s="28">
        <v>71.854119999999995</v>
      </c>
      <c r="G3952" s="28">
        <v>187.01</v>
      </c>
      <c r="H3952" s="28">
        <v>423.25029999999998</v>
      </c>
      <c r="I3952" s="28">
        <v>241.27209999999999</v>
      </c>
      <c r="J3952" s="29"/>
      <c r="K3952" s="29"/>
      <c r="L3952" s="29"/>
      <c r="M3952" s="29"/>
      <c r="N3952" s="29"/>
      <c r="P3952" s="4">
        <f t="shared" si="248"/>
        <v>-1.2712077660883053E-3</v>
      </c>
      <c r="Q3952" s="4">
        <f t="shared" si="248"/>
        <v>-1.5119221086349935E-3</v>
      </c>
      <c r="R3952" s="4">
        <f t="shared" si="248"/>
        <v>-6.9490848713827714E-4</v>
      </c>
      <c r="S3952" s="4">
        <f t="shared" si="248"/>
        <v>-5.9754914137495323E-3</v>
      </c>
      <c r="T3952" s="4">
        <f t="shared" si="248"/>
        <v>-8.2569733750181796E-4</v>
      </c>
      <c r="U3952" s="35"/>
      <c r="V3952" s="35"/>
      <c r="W3952" s="35"/>
      <c r="X3952" s="35"/>
    </row>
    <row r="3953" spans="4:24" x14ac:dyDescent="0.3">
      <c r="D3953" s="23">
        <v>45320</v>
      </c>
      <c r="E3953" s="5">
        <v>489.74832199999997</v>
      </c>
      <c r="F3953" s="28">
        <v>72.140749999999997</v>
      </c>
      <c r="G3953" s="28">
        <v>188.33</v>
      </c>
      <c r="H3953" s="28">
        <v>427.58460000000002</v>
      </c>
      <c r="I3953" s="28">
        <v>243.46440000000001</v>
      </c>
      <c r="J3953" s="29"/>
      <c r="K3953" s="29"/>
      <c r="L3953" s="29"/>
      <c r="M3953" s="29"/>
      <c r="N3953" s="29"/>
      <c r="P3953" s="4">
        <f t="shared" si="248"/>
        <v>7.8881738162826596E-3</v>
      </c>
      <c r="Q3953" s="4">
        <f t="shared" si="248"/>
        <v>3.9811193075683302E-3</v>
      </c>
      <c r="R3953" s="4">
        <f t="shared" si="248"/>
        <v>7.0336518460272363E-3</v>
      </c>
      <c r="S3953" s="4">
        <f t="shared" si="248"/>
        <v>1.0188433721138132E-2</v>
      </c>
      <c r="T3953" s="4">
        <f t="shared" si="248"/>
        <v>9.0453883610512598E-3</v>
      </c>
      <c r="U3953" s="35"/>
      <c r="V3953" s="35"/>
      <c r="W3953" s="35"/>
      <c r="X3953" s="35"/>
    </row>
    <row r="3954" spans="4:24" x14ac:dyDescent="0.3">
      <c r="D3954" s="23">
        <v>45321</v>
      </c>
      <c r="E3954" s="5">
        <v>489.36953699999998</v>
      </c>
      <c r="F3954" s="28">
        <v>72.269239999999996</v>
      </c>
      <c r="G3954" s="28">
        <v>188.59</v>
      </c>
      <c r="H3954" s="28">
        <v>424.73840000000001</v>
      </c>
      <c r="I3954" s="28">
        <v>243.12559999999999</v>
      </c>
      <c r="J3954" s="29"/>
      <c r="K3954" s="29"/>
      <c r="L3954" s="29"/>
      <c r="M3954" s="29"/>
      <c r="N3954" s="29"/>
      <c r="P3954" s="4">
        <f t="shared" si="248"/>
        <v>-7.7372711653653952E-4</v>
      </c>
      <c r="Q3954" s="4">
        <f t="shared" si="248"/>
        <v>1.77951724679499E-3</v>
      </c>
      <c r="R3954" s="4">
        <f t="shared" si="248"/>
        <v>1.3796033176180077E-3</v>
      </c>
      <c r="S3954" s="4">
        <f t="shared" si="248"/>
        <v>-6.678713538425288E-3</v>
      </c>
      <c r="T3954" s="4">
        <f t="shared" si="248"/>
        <v>-1.3925483661803534E-3</v>
      </c>
      <c r="U3954" s="35"/>
      <c r="V3954" s="35"/>
      <c r="W3954" s="35"/>
      <c r="X3954" s="35"/>
    </row>
    <row r="3955" spans="4:24" x14ac:dyDescent="0.3">
      <c r="D3955" s="23">
        <v>45322</v>
      </c>
      <c r="E3955" s="5">
        <v>481.38433800000001</v>
      </c>
      <c r="F3955" s="28">
        <v>72.575630000000004</v>
      </c>
      <c r="G3955" s="28">
        <v>188.45</v>
      </c>
      <c r="H3955" s="28">
        <v>416.4194</v>
      </c>
      <c r="I3955" s="28">
        <v>239.03</v>
      </c>
      <c r="J3955" s="29"/>
      <c r="K3955" s="29"/>
      <c r="L3955" s="29"/>
      <c r="M3955" s="29"/>
      <c r="N3955" s="29"/>
      <c r="P3955" s="4">
        <f t="shared" si="248"/>
        <v>-1.6451912919678041E-2</v>
      </c>
      <c r="Q3955" s="4">
        <f t="shared" si="248"/>
        <v>4.2306014286907319E-3</v>
      </c>
      <c r="R3955" s="4">
        <f t="shared" si="248"/>
        <v>-7.4262681112940391E-4</v>
      </c>
      <c r="S3955" s="4">
        <f t="shared" si="248"/>
        <v>-1.9780524523626216E-2</v>
      </c>
      <c r="T3955" s="4">
        <f t="shared" si="248"/>
        <v>-1.6989115169280616E-2</v>
      </c>
      <c r="U3955" s="35"/>
      <c r="V3955" s="35"/>
      <c r="W3955" s="35"/>
      <c r="X3955" s="35"/>
    </row>
    <row r="3956" spans="4:24" x14ac:dyDescent="0.3">
      <c r="D3956" s="23">
        <v>45323</v>
      </c>
      <c r="E3956" s="5">
        <v>487.684753</v>
      </c>
      <c r="F3956" s="28">
        <v>73.013760000000005</v>
      </c>
      <c r="G3956" s="28">
        <v>190.41</v>
      </c>
      <c r="H3956" s="28">
        <v>421.3229</v>
      </c>
      <c r="I3956" s="28">
        <v>242.24870000000001</v>
      </c>
      <c r="J3956" s="29"/>
      <c r="K3956" s="29"/>
      <c r="L3956" s="29"/>
      <c r="M3956" s="29"/>
      <c r="N3956" s="29"/>
      <c r="P3956" s="4">
        <f t="shared" si="248"/>
        <v>1.3003208611057067E-2</v>
      </c>
      <c r="Q3956" s="4">
        <f t="shared" si="248"/>
        <v>6.0187259882937532E-3</v>
      </c>
      <c r="R3956" s="4">
        <f t="shared" si="248"/>
        <v>1.0346922273343943E-2</v>
      </c>
      <c r="S3956" s="4">
        <f t="shared" si="248"/>
        <v>1.1706597600840337E-2</v>
      </c>
      <c r="T3956" s="4">
        <f t="shared" si="248"/>
        <v>1.3375817332698658E-2</v>
      </c>
      <c r="U3956" s="35"/>
      <c r="V3956" s="35"/>
      <c r="W3956" s="35"/>
      <c r="X3956" s="35"/>
    </row>
    <row r="3957" spans="4:24" x14ac:dyDescent="0.3">
      <c r="D3957" s="23">
        <v>45324</v>
      </c>
      <c r="E3957" s="5">
        <v>492.81878699999999</v>
      </c>
      <c r="F3957" s="28">
        <v>72.359549999999999</v>
      </c>
      <c r="G3957" s="28">
        <v>188.61</v>
      </c>
      <c r="H3957" s="28">
        <v>428.44349999999997</v>
      </c>
      <c r="I3957" s="28">
        <v>244.32140000000001</v>
      </c>
      <c r="J3957" s="29"/>
      <c r="K3957" s="29"/>
      <c r="L3957" s="29"/>
      <c r="M3957" s="29"/>
      <c r="N3957" s="29"/>
      <c r="P3957" s="4">
        <f t="shared" ref="P3957:T3972" si="249">LN(E3957/E3956)</f>
        <v>1.0472335307680764E-2</v>
      </c>
      <c r="Q3957" s="4">
        <f t="shared" si="249"/>
        <v>-9.0004749341900236E-3</v>
      </c>
      <c r="R3957" s="4">
        <f t="shared" si="249"/>
        <v>-9.4982509234089584E-3</v>
      </c>
      <c r="S3957" s="4">
        <f t="shared" si="249"/>
        <v>1.6759350961075222E-2</v>
      </c>
      <c r="T3957" s="4">
        <f t="shared" si="249"/>
        <v>8.5196872444120633E-3</v>
      </c>
      <c r="U3957" s="35"/>
      <c r="V3957" s="35"/>
      <c r="W3957" s="35"/>
      <c r="X3957" s="35"/>
    </row>
    <row r="3958" spans="4:24" x14ac:dyDescent="0.3">
      <c r="D3958" s="23">
        <v>45327</v>
      </c>
      <c r="E3958" s="5">
        <v>491.02435300000002</v>
      </c>
      <c r="F3958" s="28">
        <v>71.784630000000007</v>
      </c>
      <c r="G3958" s="28">
        <v>187.57</v>
      </c>
      <c r="H3958" s="28">
        <v>427.88420000000002</v>
      </c>
      <c r="I3958" s="28">
        <v>243.16550000000001</v>
      </c>
      <c r="J3958" s="29"/>
      <c r="K3958" s="29"/>
      <c r="L3958" s="29"/>
      <c r="M3958" s="29"/>
      <c r="N3958" s="29"/>
      <c r="P3958" s="4">
        <f t="shared" si="249"/>
        <v>-3.6478091208812288E-3</v>
      </c>
      <c r="Q3958" s="4">
        <f t="shared" si="249"/>
        <v>-7.9770553160523443E-3</v>
      </c>
      <c r="R3958" s="4">
        <f t="shared" si="249"/>
        <v>-5.5292819908296072E-3</v>
      </c>
      <c r="S3958" s="4">
        <f t="shared" si="249"/>
        <v>-1.3062758089698184E-3</v>
      </c>
      <c r="T3958" s="4">
        <f t="shared" si="249"/>
        <v>-4.7422901673154459E-3</v>
      </c>
      <c r="U3958" s="35"/>
      <c r="V3958" s="35"/>
      <c r="W3958" s="35"/>
      <c r="X3958" s="35"/>
    </row>
    <row r="3959" spans="4:24" x14ac:dyDescent="0.3">
      <c r="D3959" s="23">
        <v>45328</v>
      </c>
      <c r="E3959" s="5">
        <v>492.449951</v>
      </c>
      <c r="F3959" s="28">
        <v>72.121660000000006</v>
      </c>
      <c r="G3959" s="28">
        <v>188.55</v>
      </c>
      <c r="H3959" s="28">
        <v>427.02539999999999</v>
      </c>
      <c r="I3959" s="28">
        <v>243.99260000000001</v>
      </c>
      <c r="J3959" s="29"/>
      <c r="K3959" s="29"/>
      <c r="L3959" s="29"/>
      <c r="M3959" s="29"/>
      <c r="N3959" s="29"/>
      <c r="P3959" s="4">
        <f t="shared" si="249"/>
        <v>2.899107770672833E-3</v>
      </c>
      <c r="Q3959" s="4">
        <f t="shared" si="249"/>
        <v>4.6840289775595297E-3</v>
      </c>
      <c r="R3959" s="4">
        <f t="shared" si="249"/>
        <v>5.2111146321164288E-3</v>
      </c>
      <c r="S3959" s="4">
        <f t="shared" si="249"/>
        <v>-2.0091019889780224E-3</v>
      </c>
      <c r="T3959" s="4">
        <f t="shared" si="249"/>
        <v>3.3956154879461417E-3</v>
      </c>
      <c r="U3959" s="35"/>
      <c r="V3959" s="35"/>
      <c r="W3959" s="35"/>
      <c r="X3959" s="35"/>
    </row>
    <row r="3960" spans="4:24" x14ac:dyDescent="0.3">
      <c r="D3960" s="23">
        <v>45329</v>
      </c>
      <c r="E3960" s="5">
        <v>496.55718999999999</v>
      </c>
      <c r="F3960" s="28">
        <v>71.982889999999998</v>
      </c>
      <c r="G3960" s="28">
        <v>188.5</v>
      </c>
      <c r="H3960" s="28">
        <v>431.41950000000003</v>
      </c>
      <c r="I3960" s="28">
        <v>245.91579999999999</v>
      </c>
      <c r="J3960" s="29"/>
      <c r="K3960" s="29"/>
      <c r="L3960" s="29"/>
      <c r="M3960" s="29"/>
      <c r="N3960" s="29"/>
      <c r="P3960" s="4">
        <f t="shared" si="249"/>
        <v>8.3058300427044426E-3</v>
      </c>
      <c r="Q3960" s="4">
        <f t="shared" si="249"/>
        <v>-1.9259633772198775E-3</v>
      </c>
      <c r="R3960" s="4">
        <f t="shared" si="249"/>
        <v>-2.6521681630070908E-4</v>
      </c>
      <c r="S3960" s="4">
        <f t="shared" si="249"/>
        <v>1.0237438365483345E-2</v>
      </c>
      <c r="T3960" s="4">
        <f t="shared" si="249"/>
        <v>7.8513039552037828E-3</v>
      </c>
      <c r="U3960" s="35"/>
      <c r="V3960" s="35"/>
      <c r="W3960" s="35"/>
      <c r="X3960" s="35"/>
    </row>
    <row r="3961" spans="4:24" x14ac:dyDescent="0.3">
      <c r="D3961" s="23">
        <v>45330</v>
      </c>
      <c r="E3961" s="5">
        <v>496.77648900000003</v>
      </c>
      <c r="F3961" s="28">
        <v>71.794539999999998</v>
      </c>
      <c r="G3961" s="28">
        <v>188.33</v>
      </c>
      <c r="H3961" s="28">
        <v>432.21850000000001</v>
      </c>
      <c r="I3961" s="28">
        <v>246.52369999999999</v>
      </c>
      <c r="J3961" s="29"/>
      <c r="K3961" s="29"/>
      <c r="L3961" s="29"/>
      <c r="M3961" s="29"/>
      <c r="N3961" s="29"/>
      <c r="P3961" s="4">
        <f t="shared" si="249"/>
        <v>4.4154146426140427E-4</v>
      </c>
      <c r="Q3961" s="4">
        <f t="shared" si="249"/>
        <v>-2.6200232921729598E-3</v>
      </c>
      <c r="R3961" s="4">
        <f t="shared" si="249"/>
        <v>-9.0226368140952878E-4</v>
      </c>
      <c r="S3961" s="4">
        <f t="shared" si="249"/>
        <v>1.850312811521802E-3</v>
      </c>
      <c r="T3961" s="4">
        <f t="shared" si="249"/>
        <v>2.4689339859807905E-3</v>
      </c>
      <c r="U3961" s="35"/>
      <c r="V3961" s="35"/>
      <c r="W3961" s="35"/>
      <c r="X3961" s="35"/>
    </row>
    <row r="3962" spans="4:24" x14ac:dyDescent="0.3">
      <c r="D3962" s="23">
        <v>45331</v>
      </c>
      <c r="E3962" s="5">
        <v>499.647583</v>
      </c>
      <c r="F3962" s="28">
        <v>71.735069999999993</v>
      </c>
      <c r="G3962" s="28">
        <v>187.6</v>
      </c>
      <c r="H3962" s="28">
        <v>436.47280000000001</v>
      </c>
      <c r="I3962" s="28">
        <v>248.0284</v>
      </c>
      <c r="J3962" s="29"/>
      <c r="K3962" s="29"/>
      <c r="L3962" s="29"/>
      <c r="M3962" s="29"/>
      <c r="N3962" s="29"/>
      <c r="P3962" s="4">
        <f t="shared" si="249"/>
        <v>5.7628112897432316E-3</v>
      </c>
      <c r="Q3962" s="4">
        <f t="shared" si="249"/>
        <v>-8.2867923076255221E-4</v>
      </c>
      <c r="R3962" s="4">
        <f t="shared" si="249"/>
        <v>-3.8837066345315894E-3</v>
      </c>
      <c r="S3962" s="4">
        <f t="shared" si="249"/>
        <v>9.7948120638178347E-3</v>
      </c>
      <c r="T3962" s="4">
        <f t="shared" si="249"/>
        <v>6.0851208319081833E-3</v>
      </c>
      <c r="U3962" s="35"/>
      <c r="V3962" s="35"/>
      <c r="W3962" s="35"/>
      <c r="X3962" s="35"/>
    </row>
    <row r="3963" spans="4:24" x14ac:dyDescent="0.3">
      <c r="D3963" s="23">
        <v>45334</v>
      </c>
      <c r="E3963" s="5">
        <v>499.42825299999998</v>
      </c>
      <c r="F3963" s="28">
        <v>71.754900000000006</v>
      </c>
      <c r="G3963" s="28">
        <v>187.11</v>
      </c>
      <c r="H3963" s="28">
        <v>434.76510000000002</v>
      </c>
      <c r="I3963" s="28">
        <v>248.26750000000001</v>
      </c>
      <c r="J3963" s="29"/>
      <c r="K3963" s="29"/>
      <c r="L3963" s="29"/>
      <c r="M3963" s="29"/>
      <c r="N3963" s="29"/>
      <c r="P3963" s="4">
        <f t="shared" si="249"/>
        <v>-4.3906577583075103E-4</v>
      </c>
      <c r="Q3963" s="4">
        <f t="shared" si="249"/>
        <v>2.7639562718225163E-4</v>
      </c>
      <c r="R3963" s="4">
        <f t="shared" si="249"/>
        <v>-2.6153573659832077E-3</v>
      </c>
      <c r="S3963" s="4">
        <f t="shared" si="249"/>
        <v>-3.9201742416407918E-3</v>
      </c>
      <c r="T3963" s="4">
        <f t="shared" si="249"/>
        <v>9.6353815737131856E-4</v>
      </c>
      <c r="U3963" s="35"/>
      <c r="V3963" s="35"/>
      <c r="W3963" s="35"/>
      <c r="X3963" s="35"/>
    </row>
    <row r="3964" spans="4:24" x14ac:dyDescent="0.3">
      <c r="D3964" s="23">
        <v>45335</v>
      </c>
      <c r="E3964" s="5">
        <v>492.549622</v>
      </c>
      <c r="F3964" s="28">
        <v>71.130420000000001</v>
      </c>
      <c r="G3964" s="28">
        <v>184.53</v>
      </c>
      <c r="H3964" s="28">
        <v>427.98410000000001</v>
      </c>
      <c r="I3964" s="28">
        <v>244.29150000000001</v>
      </c>
      <c r="J3964" s="29"/>
      <c r="K3964" s="29"/>
      <c r="L3964" s="29"/>
      <c r="M3964" s="29"/>
      <c r="N3964" s="29"/>
      <c r="P3964" s="4">
        <f t="shared" si="249"/>
        <v>-1.3868739267481641E-2</v>
      </c>
      <c r="Q3964" s="4">
        <f t="shared" si="249"/>
        <v>-8.7410515812580639E-3</v>
      </c>
      <c r="R3964" s="4">
        <f t="shared" si="249"/>
        <v>-1.3884627317754424E-2</v>
      </c>
      <c r="S3964" s="4">
        <f t="shared" si="249"/>
        <v>-1.5719839877149339E-2</v>
      </c>
      <c r="T3964" s="4">
        <f t="shared" si="249"/>
        <v>-1.614460952346234E-2</v>
      </c>
      <c r="U3964" s="35"/>
      <c r="V3964" s="35"/>
      <c r="W3964" s="35"/>
      <c r="X3964" s="35"/>
    </row>
    <row r="3965" spans="4:24" x14ac:dyDescent="0.3">
      <c r="D3965" s="23">
        <v>45336</v>
      </c>
      <c r="E3965" s="5">
        <v>497.02572600000002</v>
      </c>
      <c r="F3965" s="28">
        <v>71.398060000000001</v>
      </c>
      <c r="G3965" s="28">
        <v>184.42</v>
      </c>
      <c r="H3965" s="28">
        <v>432.64789999999999</v>
      </c>
      <c r="I3965" s="28">
        <v>246.99199999999999</v>
      </c>
      <c r="J3965" s="29"/>
      <c r="K3965" s="29"/>
      <c r="L3965" s="29"/>
      <c r="M3965" s="29"/>
      <c r="N3965" s="29"/>
      <c r="P3965" s="4">
        <f t="shared" si="249"/>
        <v>9.0465764658301702E-3</v>
      </c>
      <c r="Q3965" s="4">
        <f t="shared" si="249"/>
        <v>3.7556046984964309E-3</v>
      </c>
      <c r="R3965" s="4">
        <f t="shared" si="249"/>
        <v>-5.9628677739147001E-4</v>
      </c>
      <c r="S3965" s="4">
        <f t="shared" si="249"/>
        <v>1.0838187874014575E-2</v>
      </c>
      <c r="T3965" s="4">
        <f t="shared" si="249"/>
        <v>1.09937630680333E-2</v>
      </c>
      <c r="U3965" s="35"/>
      <c r="V3965" s="35"/>
      <c r="W3965" s="35"/>
      <c r="X3965" s="35"/>
    </row>
    <row r="3966" spans="4:24" x14ac:dyDescent="0.3">
      <c r="D3966" s="23">
        <v>45337</v>
      </c>
      <c r="E3966" s="5">
        <v>500.45507800000001</v>
      </c>
      <c r="F3966" s="28">
        <v>71.596310000000003</v>
      </c>
      <c r="G3966" s="28">
        <v>185.66</v>
      </c>
      <c r="H3966" s="28">
        <v>433.93619999999999</v>
      </c>
      <c r="I3966" s="28">
        <v>248.89529999999999</v>
      </c>
      <c r="J3966" s="29"/>
      <c r="K3966" s="29"/>
      <c r="L3966" s="29"/>
      <c r="M3966" s="29"/>
      <c r="N3966" s="29"/>
      <c r="P3966" s="4">
        <f t="shared" si="249"/>
        <v>6.8760531489220874E-3</v>
      </c>
      <c r="Q3966" s="4">
        <f t="shared" si="249"/>
        <v>2.7728382176528455E-3</v>
      </c>
      <c r="R3966" s="4">
        <f t="shared" si="249"/>
        <v>6.7012788607913138E-3</v>
      </c>
      <c r="S3966" s="4">
        <f t="shared" si="249"/>
        <v>2.973285452833169E-3</v>
      </c>
      <c r="T3966" s="4">
        <f t="shared" si="249"/>
        <v>7.6763786701965825E-3</v>
      </c>
      <c r="U3966" s="35"/>
      <c r="V3966" s="35"/>
      <c r="W3966" s="35"/>
      <c r="X3966" s="35"/>
    </row>
    <row r="3967" spans="4:24" x14ac:dyDescent="0.3">
      <c r="D3967" s="23">
        <v>45338</v>
      </c>
      <c r="E3967" s="5">
        <v>497.96283</v>
      </c>
      <c r="F3967" s="28">
        <v>71.368319999999997</v>
      </c>
      <c r="G3967" s="28">
        <v>186.34</v>
      </c>
      <c r="H3967" s="28">
        <v>430.00139999999999</v>
      </c>
      <c r="I3967" s="28">
        <v>247.5899</v>
      </c>
      <c r="J3967" s="29"/>
      <c r="K3967" s="29"/>
      <c r="L3967" s="29"/>
      <c r="M3967" s="29"/>
      <c r="N3967" s="29"/>
      <c r="P3967" s="4">
        <f t="shared" si="249"/>
        <v>-4.9924047965271392E-3</v>
      </c>
      <c r="Q3967" s="4">
        <f t="shared" si="249"/>
        <v>-3.1894629220149922E-3</v>
      </c>
      <c r="R3967" s="4">
        <f t="shared" si="249"/>
        <v>3.655918050492511E-3</v>
      </c>
      <c r="S3967" s="4">
        <f t="shared" si="249"/>
        <v>-9.1090541896120033E-3</v>
      </c>
      <c r="T3967" s="4">
        <f t="shared" si="249"/>
        <v>-5.2585777305946841E-3</v>
      </c>
      <c r="U3967" s="35"/>
      <c r="V3967" s="35"/>
      <c r="W3967" s="35"/>
      <c r="X3967" s="35"/>
    </row>
    <row r="3968" spans="4:24" x14ac:dyDescent="0.3">
      <c r="D3968" s="23">
        <v>45342</v>
      </c>
      <c r="E3968" s="5">
        <v>495.22134399999999</v>
      </c>
      <c r="F3968" s="28">
        <v>71.457530000000006</v>
      </c>
      <c r="G3968" s="28">
        <v>187.47</v>
      </c>
      <c r="H3968" s="28">
        <v>426.75569999999999</v>
      </c>
      <c r="I3968" s="28">
        <v>246.03540000000001</v>
      </c>
      <c r="J3968" s="29"/>
      <c r="K3968" s="29"/>
      <c r="L3968" s="29"/>
      <c r="M3968" s="29"/>
      <c r="N3968" s="29"/>
      <c r="P3968" s="4">
        <f t="shared" si="249"/>
        <v>-5.5206134662494043E-3</v>
      </c>
      <c r="Q3968" s="4">
        <f t="shared" si="249"/>
        <v>1.2492138027014746E-3</v>
      </c>
      <c r="R3968" s="4">
        <f t="shared" si="249"/>
        <v>6.0458705868210337E-3</v>
      </c>
      <c r="S3968" s="4">
        <f t="shared" si="249"/>
        <v>-7.576746144655663E-3</v>
      </c>
      <c r="T3968" s="4">
        <f t="shared" si="249"/>
        <v>-6.2983203606628716E-3</v>
      </c>
      <c r="U3968" s="35"/>
      <c r="V3968" s="35"/>
      <c r="W3968" s="35"/>
      <c r="X3968" s="35"/>
    </row>
    <row r="3969" spans="4:24" x14ac:dyDescent="0.3">
      <c r="D3969" s="23">
        <v>45343</v>
      </c>
      <c r="E3969" s="5">
        <v>495.66992199999999</v>
      </c>
      <c r="F3969" s="28">
        <v>71.259280000000004</v>
      </c>
      <c r="G3969" s="28">
        <v>187.48</v>
      </c>
      <c r="H3969" s="28">
        <v>425.04790000000003</v>
      </c>
      <c r="I3969" s="28">
        <v>246.08519999999999</v>
      </c>
      <c r="J3969" s="29"/>
      <c r="K3969" s="29"/>
      <c r="L3969" s="29"/>
      <c r="M3969" s="29"/>
      <c r="N3969" s="29"/>
      <c r="P3969" s="4">
        <f t="shared" si="249"/>
        <v>9.054031376308756E-4</v>
      </c>
      <c r="Q3969" s="4">
        <f t="shared" si="249"/>
        <v>-2.7782309248243859E-3</v>
      </c>
      <c r="R3969" s="4">
        <f t="shared" si="249"/>
        <v>5.3340445405333791E-5</v>
      </c>
      <c r="S3969" s="4">
        <f t="shared" si="249"/>
        <v>-4.0098498956667337E-3</v>
      </c>
      <c r="T3969" s="4">
        <f t="shared" si="249"/>
        <v>2.0238941499287253E-4</v>
      </c>
      <c r="U3969" s="35"/>
      <c r="V3969" s="35"/>
      <c r="W3969" s="35"/>
      <c r="X3969" s="35"/>
    </row>
    <row r="3970" spans="4:24" x14ac:dyDescent="0.3">
      <c r="D3970" s="23">
        <v>45344</v>
      </c>
      <c r="E3970" s="5">
        <v>505.92806999999999</v>
      </c>
      <c r="F3970" s="28">
        <v>71.289019999999994</v>
      </c>
      <c r="G3970" s="28">
        <v>187.56</v>
      </c>
      <c r="H3970" s="28">
        <v>437.49149999999997</v>
      </c>
      <c r="I3970" s="28">
        <v>250.94810000000001</v>
      </c>
      <c r="J3970" s="29"/>
      <c r="K3970" s="29"/>
      <c r="L3970" s="29"/>
      <c r="M3970" s="29"/>
      <c r="N3970" s="29"/>
      <c r="P3970" s="4">
        <f t="shared" si="249"/>
        <v>2.0484279676187003E-2</v>
      </c>
      <c r="Q3970" s="4">
        <f t="shared" si="249"/>
        <v>4.1726208494231951E-4</v>
      </c>
      <c r="R3970" s="4">
        <f t="shared" si="249"/>
        <v>4.2662116688026738E-4</v>
      </c>
      <c r="S3970" s="4">
        <f t="shared" si="249"/>
        <v>2.8855408581564334E-2</v>
      </c>
      <c r="T3970" s="4">
        <f t="shared" si="249"/>
        <v>1.9568327409534937E-2</v>
      </c>
      <c r="U3970" s="35"/>
      <c r="V3970" s="35"/>
      <c r="W3970" s="35"/>
      <c r="X3970" s="35"/>
    </row>
    <row r="3971" spans="4:24" x14ac:dyDescent="0.3">
      <c r="D3971" s="23">
        <v>45345</v>
      </c>
      <c r="E3971" s="5">
        <v>506.27697799999999</v>
      </c>
      <c r="F3971" s="28">
        <v>71.54674</v>
      </c>
      <c r="G3971" s="28">
        <v>188.62</v>
      </c>
      <c r="H3971" s="28">
        <v>436.20319999999998</v>
      </c>
      <c r="I3971" s="28">
        <v>251.11750000000001</v>
      </c>
      <c r="J3971" s="29"/>
      <c r="K3971" s="29"/>
      <c r="L3971" s="29"/>
      <c r="M3971" s="29"/>
      <c r="N3971" s="29"/>
      <c r="P3971" s="4">
        <f t="shared" si="249"/>
        <v>6.8940184502794212E-4</v>
      </c>
      <c r="Q3971" s="4">
        <f t="shared" si="249"/>
        <v>3.6086240542662156E-3</v>
      </c>
      <c r="R3971" s="4">
        <f t="shared" si="249"/>
        <v>5.6356148943531763E-3</v>
      </c>
      <c r="S3971" s="4">
        <f t="shared" si="249"/>
        <v>-2.949087212518678E-3</v>
      </c>
      <c r="T3971" s="4">
        <f t="shared" si="249"/>
        <v>6.7481224138166498E-4</v>
      </c>
      <c r="U3971" s="35"/>
      <c r="V3971" s="35"/>
      <c r="W3971" s="35"/>
      <c r="X3971" s="35"/>
    </row>
    <row r="3972" spans="4:24" x14ac:dyDescent="0.3">
      <c r="D3972" s="23">
        <v>45348</v>
      </c>
      <c r="E3972" s="5">
        <v>504.422729</v>
      </c>
      <c r="F3972" s="28">
        <v>71.41789</v>
      </c>
      <c r="G3972" s="28">
        <v>188.2</v>
      </c>
      <c r="H3972" s="28">
        <v>435.9735</v>
      </c>
      <c r="I3972" s="28">
        <v>250.36019999999999</v>
      </c>
      <c r="J3972" s="29"/>
      <c r="K3972" s="29"/>
      <c r="L3972" s="29"/>
      <c r="M3972" s="29"/>
      <c r="N3972" s="29"/>
      <c r="P3972" s="4">
        <f t="shared" si="249"/>
        <v>-3.6692423427502536E-3</v>
      </c>
      <c r="Q3972" s="4">
        <f t="shared" si="249"/>
        <v>-1.8025442361221387E-3</v>
      </c>
      <c r="R3972" s="4">
        <f t="shared" si="249"/>
        <v>-2.2291819644595424E-3</v>
      </c>
      <c r="S3972" s="4">
        <f t="shared" si="249"/>
        <v>-5.2672813963205469E-4</v>
      </c>
      <c r="T3972" s="4">
        <f t="shared" si="249"/>
        <v>-3.0202761784958597E-3</v>
      </c>
      <c r="U3972" s="35"/>
      <c r="V3972" s="35"/>
      <c r="W3972" s="35"/>
      <c r="X3972" s="35"/>
    </row>
    <row r="3973" spans="4:24" x14ac:dyDescent="0.3">
      <c r="D3973" s="23">
        <v>45349</v>
      </c>
      <c r="E3973" s="5">
        <v>505.35983299999998</v>
      </c>
      <c r="F3973" s="28">
        <v>71.308850000000007</v>
      </c>
      <c r="G3973" s="28">
        <v>188</v>
      </c>
      <c r="H3973" s="28">
        <v>437.02210000000002</v>
      </c>
      <c r="I3973" s="28">
        <v>251.05770000000001</v>
      </c>
      <c r="J3973" s="29"/>
      <c r="K3973" s="29"/>
      <c r="L3973" s="29"/>
      <c r="M3973" s="29"/>
      <c r="N3973" s="29"/>
      <c r="P3973" s="4">
        <f t="shared" ref="P3973:T3988" si="250">LN(E3973/E3972)</f>
        <v>1.8560515982077562E-3</v>
      </c>
      <c r="Q3973" s="4">
        <f t="shared" si="250"/>
        <v>-1.5279550449221859E-3</v>
      </c>
      <c r="R3973" s="4">
        <f t="shared" si="250"/>
        <v>-1.0632643213300003E-3</v>
      </c>
      <c r="S3973" s="4">
        <f t="shared" si="250"/>
        <v>2.4023042138926714E-3</v>
      </c>
      <c r="T3973" s="4">
        <f t="shared" si="250"/>
        <v>2.7821122855649825E-3</v>
      </c>
      <c r="U3973" s="35"/>
      <c r="V3973" s="35"/>
      <c r="W3973" s="35"/>
      <c r="X3973" s="35"/>
    </row>
    <row r="3974" spans="4:24" x14ac:dyDescent="0.3">
      <c r="D3974" s="23">
        <v>45350</v>
      </c>
      <c r="E3974" s="5">
        <v>504.69192500000003</v>
      </c>
      <c r="F3974" s="28">
        <v>71.467439999999996</v>
      </c>
      <c r="G3974" s="28">
        <v>188.34</v>
      </c>
      <c r="H3974" s="28">
        <v>434.6952</v>
      </c>
      <c r="I3974" s="28">
        <v>250.63919999999999</v>
      </c>
      <c r="J3974" s="29"/>
      <c r="K3974" s="29"/>
      <c r="L3974" s="29"/>
      <c r="M3974" s="29"/>
      <c r="N3974" s="29"/>
      <c r="P3974" s="4">
        <f t="shared" si="250"/>
        <v>-1.3225225183978835E-3</v>
      </c>
      <c r="Q3974" s="4">
        <f t="shared" si="250"/>
        <v>2.2215182257783453E-3</v>
      </c>
      <c r="R3974" s="4">
        <f t="shared" si="250"/>
        <v>1.8068772519680071E-3</v>
      </c>
      <c r="S3974" s="4">
        <f t="shared" si="250"/>
        <v>-5.3386700634620605E-3</v>
      </c>
      <c r="T3974" s="4">
        <f t="shared" si="250"/>
        <v>-1.6683383814787775E-3</v>
      </c>
      <c r="U3974" s="35"/>
      <c r="V3974" s="35"/>
      <c r="W3974" s="35"/>
      <c r="X3974" s="35"/>
    </row>
    <row r="3975" spans="4:24" x14ac:dyDescent="0.3">
      <c r="D3975" s="23">
        <v>45351</v>
      </c>
      <c r="E3975" s="5">
        <v>506.50625600000001</v>
      </c>
      <c r="F3975" s="28">
        <v>71.586389999999994</v>
      </c>
      <c r="G3975" s="28">
        <v>189.31</v>
      </c>
      <c r="H3975" s="28">
        <v>438.4203</v>
      </c>
      <c r="I3975" s="28">
        <v>251.69550000000001</v>
      </c>
      <c r="J3975" s="29"/>
      <c r="K3975" s="29"/>
      <c r="L3975" s="29"/>
      <c r="M3975" s="29"/>
      <c r="N3975" s="29"/>
      <c r="P3975" s="4">
        <f t="shared" si="250"/>
        <v>3.5884814293548439E-3</v>
      </c>
      <c r="Q3975" s="4">
        <f t="shared" si="250"/>
        <v>1.6630107339881215E-3</v>
      </c>
      <c r="R3975" s="4">
        <f t="shared" si="250"/>
        <v>5.1370429399014879E-3</v>
      </c>
      <c r="S3975" s="4">
        <f t="shared" si="250"/>
        <v>8.5329434705164412E-3</v>
      </c>
      <c r="T3975" s="4">
        <f t="shared" si="250"/>
        <v>4.2055687448265171E-3</v>
      </c>
      <c r="U3975" s="35"/>
      <c r="V3975" s="35"/>
      <c r="W3975" s="35"/>
      <c r="X3975" s="35"/>
    </row>
    <row r="3976" spans="4:24" x14ac:dyDescent="0.3">
      <c r="D3976" s="23">
        <v>45352</v>
      </c>
      <c r="E3976" s="5">
        <v>511.26147500000002</v>
      </c>
      <c r="F3976" s="28">
        <v>71.886570000000006</v>
      </c>
      <c r="G3976" s="28">
        <v>192.89</v>
      </c>
      <c r="H3976" s="28">
        <v>445.0215</v>
      </c>
      <c r="I3976" s="28">
        <v>254.00729999999999</v>
      </c>
      <c r="J3976" s="29"/>
      <c r="K3976" s="29"/>
      <c r="L3976" s="29"/>
      <c r="M3976" s="29"/>
      <c r="N3976" s="29"/>
      <c r="P3976" s="4">
        <f t="shared" si="250"/>
        <v>9.3444770490498843E-3</v>
      </c>
      <c r="Q3976" s="4">
        <f t="shared" si="250"/>
        <v>4.1844879761458375E-3</v>
      </c>
      <c r="R3976" s="4">
        <f t="shared" si="250"/>
        <v>1.8734195214330208E-2</v>
      </c>
      <c r="S3976" s="4">
        <f t="shared" si="250"/>
        <v>1.4944556299569037E-2</v>
      </c>
      <c r="T3976" s="4">
        <f t="shared" si="250"/>
        <v>9.1429832082755638E-3</v>
      </c>
      <c r="U3976" s="35"/>
      <c r="V3976" s="35"/>
      <c r="W3976" s="35"/>
      <c r="X3976" s="35"/>
    </row>
    <row r="3977" spans="4:24" x14ac:dyDescent="0.3">
      <c r="D3977" s="23">
        <v>45355</v>
      </c>
      <c r="E3977" s="5">
        <v>510.71319599999998</v>
      </c>
      <c r="F3977" s="28">
        <v>71.717600000000004</v>
      </c>
      <c r="G3977" s="28">
        <v>196.01</v>
      </c>
      <c r="H3977" s="28">
        <v>443.43369999999999</v>
      </c>
      <c r="I3977" s="28">
        <v>253.75819999999999</v>
      </c>
      <c r="J3977" s="29"/>
      <c r="K3977" s="29"/>
      <c r="L3977" s="29"/>
      <c r="M3977" s="29"/>
      <c r="N3977" s="29"/>
      <c r="P3977" s="4">
        <f t="shared" si="250"/>
        <v>-1.0729797286769922E-3</v>
      </c>
      <c r="Q3977" s="4">
        <f t="shared" si="250"/>
        <v>-2.3532753676765075E-3</v>
      </c>
      <c r="R3977" s="4">
        <f t="shared" si="250"/>
        <v>1.6045600101034938E-2</v>
      </c>
      <c r="S3977" s="4">
        <f t="shared" si="250"/>
        <v>-3.574297703305676E-3</v>
      </c>
      <c r="T3977" s="4">
        <f t="shared" si="250"/>
        <v>-9.8116165822057779E-4</v>
      </c>
      <c r="U3977" s="35"/>
      <c r="V3977" s="35"/>
      <c r="W3977" s="35"/>
      <c r="X3977" s="35"/>
    </row>
    <row r="3978" spans="4:24" x14ac:dyDescent="0.3">
      <c r="D3978" s="23">
        <v>45356</v>
      </c>
      <c r="E3978" s="5">
        <v>505.609039</v>
      </c>
      <c r="F3978" s="28">
        <v>72.105260000000001</v>
      </c>
      <c r="G3978" s="28">
        <v>197.19</v>
      </c>
      <c r="H3978" s="28">
        <v>435.4742</v>
      </c>
      <c r="I3978" s="28">
        <v>251.0677</v>
      </c>
      <c r="J3978" s="29"/>
      <c r="K3978" s="29"/>
      <c r="L3978" s="29"/>
      <c r="M3978" s="29"/>
      <c r="N3978" s="29"/>
      <c r="P3978" s="4">
        <f t="shared" si="250"/>
        <v>-1.0044451922394983E-2</v>
      </c>
      <c r="Q3978" s="4">
        <f t="shared" si="250"/>
        <v>5.3908111521373354E-3</v>
      </c>
      <c r="R3978" s="4">
        <f t="shared" si="250"/>
        <v>6.0020526064107722E-3</v>
      </c>
      <c r="S3978" s="4">
        <f t="shared" si="250"/>
        <v>-1.8112745615184025E-2</v>
      </c>
      <c r="T3978" s="4">
        <f t="shared" si="250"/>
        <v>-1.0659221225684827E-2</v>
      </c>
      <c r="U3978" s="35"/>
      <c r="V3978" s="35"/>
      <c r="W3978" s="35"/>
      <c r="X3978" s="35"/>
    </row>
    <row r="3979" spans="4:24" x14ac:dyDescent="0.3">
      <c r="D3979" s="23">
        <v>45357</v>
      </c>
      <c r="E3979" s="5">
        <v>508.17108200000001</v>
      </c>
      <c r="F3979" s="28">
        <v>72.234480000000005</v>
      </c>
      <c r="G3979" s="28">
        <v>198.81</v>
      </c>
      <c r="H3979" s="28">
        <v>438.2106</v>
      </c>
      <c r="I3979" s="28">
        <v>252.55250000000001</v>
      </c>
      <c r="J3979" s="29"/>
      <c r="K3979" s="29"/>
      <c r="L3979" s="29"/>
      <c r="M3979" s="29"/>
      <c r="N3979" s="29"/>
      <c r="P3979" s="4">
        <f t="shared" si="250"/>
        <v>5.054446031033142E-3</v>
      </c>
      <c r="Q3979" s="4">
        <f t="shared" si="250"/>
        <v>1.790498368945747E-3</v>
      </c>
      <c r="R3979" s="4">
        <f t="shared" si="250"/>
        <v>8.1818638246506006E-3</v>
      </c>
      <c r="S3979" s="4">
        <f t="shared" si="250"/>
        <v>6.2640644490573943E-3</v>
      </c>
      <c r="T3979" s="4">
        <f t="shared" si="250"/>
        <v>5.896524015840566E-3</v>
      </c>
      <c r="U3979" s="35"/>
      <c r="V3979" s="35"/>
      <c r="W3979" s="35"/>
      <c r="X3979" s="35"/>
    </row>
    <row r="3980" spans="4:24" x14ac:dyDescent="0.3">
      <c r="D3980" s="23">
        <v>45358</v>
      </c>
      <c r="E3980" s="5">
        <v>513.21539299999995</v>
      </c>
      <c r="F3980" s="28">
        <v>72.353759999999994</v>
      </c>
      <c r="G3980" s="28">
        <v>199.94</v>
      </c>
      <c r="H3980" s="28">
        <v>444.86180000000002</v>
      </c>
      <c r="I3980" s="28">
        <v>255.0138</v>
      </c>
      <c r="J3980" s="29"/>
      <c r="K3980" s="29"/>
      <c r="L3980" s="29"/>
      <c r="M3980" s="29"/>
      <c r="N3980" s="29"/>
      <c r="P3980" s="4">
        <f t="shared" si="250"/>
        <v>9.8774599731286175E-3</v>
      </c>
      <c r="Q3980" s="4">
        <f t="shared" si="250"/>
        <v>1.6499270903255815E-3</v>
      </c>
      <c r="R3980" s="4">
        <f t="shared" si="250"/>
        <v>5.6677267707895213E-3</v>
      </c>
      <c r="S3980" s="4">
        <f t="shared" si="250"/>
        <v>1.506405539774929E-2</v>
      </c>
      <c r="T3980" s="4">
        <f t="shared" si="250"/>
        <v>9.6985134462162451E-3</v>
      </c>
      <c r="U3980" s="35"/>
      <c r="V3980" s="35"/>
      <c r="W3980" s="35"/>
      <c r="X3980" s="35"/>
    </row>
    <row r="3981" spans="4:24" x14ac:dyDescent="0.3">
      <c r="D3981" s="23">
        <v>45359</v>
      </c>
      <c r="E3981" s="5">
        <v>510.13497899999999</v>
      </c>
      <c r="F3981" s="28">
        <v>72.423339999999996</v>
      </c>
      <c r="G3981" s="28">
        <v>201.63</v>
      </c>
      <c r="H3981" s="28">
        <v>438.4402</v>
      </c>
      <c r="I3981" s="28">
        <v>253.53899999999999</v>
      </c>
      <c r="J3981" s="29"/>
      <c r="K3981" s="29"/>
      <c r="L3981" s="29"/>
      <c r="M3981" s="29"/>
      <c r="N3981" s="29"/>
      <c r="P3981" s="4">
        <f t="shared" si="250"/>
        <v>-6.0202710392624256E-3</v>
      </c>
      <c r="Q3981" s="4">
        <f t="shared" si="250"/>
        <v>9.6120181102021709E-4</v>
      </c>
      <c r="R3981" s="4">
        <f t="shared" si="250"/>
        <v>8.4170131109494502E-3</v>
      </c>
      <c r="S3981" s="4">
        <f t="shared" si="250"/>
        <v>-1.4540243624008083E-2</v>
      </c>
      <c r="T3981" s="4">
        <f t="shared" si="250"/>
        <v>-5.8000039891999014E-3</v>
      </c>
      <c r="U3981" s="35"/>
      <c r="V3981" s="35"/>
      <c r="W3981" s="35"/>
      <c r="X3981" s="35"/>
    </row>
    <row r="3982" spans="4:24" x14ac:dyDescent="0.3">
      <c r="D3982" s="23">
        <v>45362</v>
      </c>
      <c r="E3982" s="5">
        <v>509.69635</v>
      </c>
      <c r="F3982" s="28">
        <v>72.393519999999995</v>
      </c>
      <c r="G3982" s="28">
        <v>202</v>
      </c>
      <c r="H3982" s="28">
        <v>436.81240000000003</v>
      </c>
      <c r="I3982" s="28">
        <v>253.13040000000001</v>
      </c>
      <c r="J3982" s="29"/>
      <c r="K3982" s="29"/>
      <c r="L3982" s="29"/>
      <c r="M3982" s="29"/>
      <c r="N3982" s="29"/>
      <c r="P3982" s="4">
        <f t="shared" si="250"/>
        <v>-8.6019916151580428E-4</v>
      </c>
      <c r="Q3982" s="4">
        <f t="shared" si="250"/>
        <v>-4.1183050677201662E-4</v>
      </c>
      <c r="R3982" s="4">
        <f t="shared" si="250"/>
        <v>1.833362751220699E-3</v>
      </c>
      <c r="S3982" s="4">
        <f t="shared" si="250"/>
        <v>-3.7196162040333981E-3</v>
      </c>
      <c r="T3982" s="4">
        <f t="shared" si="250"/>
        <v>-1.612886385393476E-3</v>
      </c>
      <c r="U3982" s="35"/>
      <c r="V3982" s="35"/>
      <c r="W3982" s="35"/>
      <c r="X3982" s="35"/>
    </row>
    <row r="3983" spans="4:24" x14ac:dyDescent="0.3">
      <c r="D3983" s="23">
        <v>45363</v>
      </c>
      <c r="E3983" s="5">
        <v>515.17932099999996</v>
      </c>
      <c r="F3983" s="28">
        <v>72.174840000000003</v>
      </c>
      <c r="G3983" s="28">
        <v>199.79</v>
      </c>
      <c r="H3983" s="28">
        <v>443.07409999999999</v>
      </c>
      <c r="I3983" s="28">
        <v>255.63159999999999</v>
      </c>
      <c r="J3983" s="29"/>
      <c r="K3983" s="29"/>
      <c r="L3983" s="29"/>
      <c r="M3983" s="29"/>
      <c r="N3983" s="29"/>
      <c r="P3983" s="4">
        <f t="shared" si="250"/>
        <v>1.0699879928828177E-2</v>
      </c>
      <c r="Q3983" s="4">
        <f t="shared" si="250"/>
        <v>-3.0252839111705575E-3</v>
      </c>
      <c r="R3983" s="4">
        <f t="shared" si="250"/>
        <v>-1.1000882489347224E-2</v>
      </c>
      <c r="S3983" s="4">
        <f t="shared" si="250"/>
        <v>1.4233212374179936E-2</v>
      </c>
      <c r="T3983" s="4">
        <f t="shared" si="250"/>
        <v>9.8325745680796807E-3</v>
      </c>
      <c r="U3983" s="35"/>
      <c r="V3983" s="35"/>
      <c r="W3983" s="35"/>
      <c r="X3983" s="35"/>
    </row>
    <row r="3984" spans="4:24" x14ac:dyDescent="0.3">
      <c r="D3984" s="23">
        <v>45364</v>
      </c>
      <c r="E3984" s="5">
        <v>514.37182600000006</v>
      </c>
      <c r="F3984" s="28">
        <v>72.05556</v>
      </c>
      <c r="G3984" s="28">
        <v>201.19</v>
      </c>
      <c r="H3984" s="28">
        <v>439.66860000000003</v>
      </c>
      <c r="I3984" s="28">
        <v>255.31280000000001</v>
      </c>
      <c r="J3984" s="29"/>
      <c r="K3984" s="29"/>
      <c r="L3984" s="29"/>
      <c r="M3984" s="29"/>
      <c r="N3984" s="29"/>
      <c r="P3984" s="4">
        <f t="shared" si="250"/>
        <v>-1.5686353571278742E-3</v>
      </c>
      <c r="Q3984" s="4">
        <f t="shared" si="250"/>
        <v>-1.6540206113787479E-3</v>
      </c>
      <c r="R3984" s="4">
        <f t="shared" si="250"/>
        <v>6.9829202892874405E-3</v>
      </c>
      <c r="S3984" s="4">
        <f t="shared" si="250"/>
        <v>-7.715763370127522E-3</v>
      </c>
      <c r="T3984" s="4">
        <f t="shared" si="250"/>
        <v>-1.2478854504328282E-3</v>
      </c>
      <c r="U3984" s="35"/>
      <c r="V3984" s="35"/>
      <c r="W3984" s="35"/>
      <c r="X3984" s="35"/>
    </row>
    <row r="3985" spans="4:24" x14ac:dyDescent="0.3">
      <c r="D3985" s="23">
        <v>45365</v>
      </c>
      <c r="E3985" s="5">
        <v>513.35497999999995</v>
      </c>
      <c r="F3985" s="28">
        <v>71.628140000000002</v>
      </c>
      <c r="G3985" s="28">
        <v>200.35</v>
      </c>
      <c r="H3985" s="28">
        <v>438.56009999999998</v>
      </c>
      <c r="I3985" s="28">
        <v>254.3262</v>
      </c>
      <c r="J3985" s="29"/>
      <c r="K3985" s="29"/>
      <c r="L3985" s="29"/>
      <c r="M3985" s="29"/>
      <c r="N3985" s="29"/>
      <c r="P3985" s="4">
        <f t="shared" si="250"/>
        <v>-1.9788261352596888E-3</v>
      </c>
      <c r="Q3985" s="4">
        <f t="shared" si="250"/>
        <v>-5.9494745855599033E-3</v>
      </c>
      <c r="R3985" s="4">
        <f t="shared" si="250"/>
        <v>-4.1838981189913048E-3</v>
      </c>
      <c r="S3985" s="4">
        <f t="shared" si="250"/>
        <v>-2.5244007367757845E-3</v>
      </c>
      <c r="T3985" s="4">
        <f t="shared" si="250"/>
        <v>-3.8717650433893191E-3</v>
      </c>
      <c r="U3985" s="35"/>
      <c r="V3985" s="35"/>
      <c r="W3985" s="35"/>
      <c r="X3985" s="35"/>
    </row>
    <row r="3986" spans="4:24" x14ac:dyDescent="0.3">
      <c r="D3986" s="23">
        <v>45366</v>
      </c>
      <c r="E3986" s="5">
        <v>509.82998700000002</v>
      </c>
      <c r="F3986" s="28">
        <v>71.588369999999998</v>
      </c>
      <c r="G3986" s="28">
        <v>199.71</v>
      </c>
      <c r="H3986" s="28">
        <v>433.34699999999998</v>
      </c>
      <c r="I3986" s="28">
        <v>252.82149999999999</v>
      </c>
      <c r="J3986" s="29"/>
      <c r="K3986" s="29"/>
      <c r="L3986" s="29"/>
      <c r="M3986" s="29"/>
      <c r="N3986" s="29"/>
      <c r="P3986" s="4">
        <f t="shared" si="250"/>
        <v>-6.8902633632158929E-3</v>
      </c>
      <c r="Q3986" s="4">
        <f t="shared" si="250"/>
        <v>-5.5538290972543094E-4</v>
      </c>
      <c r="R3986" s="4">
        <f t="shared" si="250"/>
        <v>-3.1995228014315489E-3</v>
      </c>
      <c r="S3986" s="4">
        <f t="shared" si="250"/>
        <v>-1.195806782769074E-2</v>
      </c>
      <c r="T3986" s="4">
        <f t="shared" si="250"/>
        <v>-5.9339889161163341E-3</v>
      </c>
      <c r="U3986" s="35"/>
      <c r="V3986" s="35"/>
      <c r="W3986" s="35"/>
      <c r="X3986" s="35"/>
    </row>
    <row r="3987" spans="4:24" x14ac:dyDescent="0.3">
      <c r="D3987" s="23">
        <v>45369</v>
      </c>
      <c r="E3987" s="5">
        <v>512.85998500000005</v>
      </c>
      <c r="F3987" s="28">
        <v>71.498909999999995</v>
      </c>
      <c r="G3987" s="28">
        <v>200.03</v>
      </c>
      <c r="H3987" s="28">
        <v>437.48</v>
      </c>
      <c r="I3987" s="28">
        <v>254.107</v>
      </c>
      <c r="J3987" s="29"/>
      <c r="K3987" s="29"/>
      <c r="L3987" s="29"/>
      <c r="M3987" s="29"/>
      <c r="N3987" s="29"/>
      <c r="P3987" s="4">
        <f t="shared" si="250"/>
        <v>5.9255628759477177E-3</v>
      </c>
      <c r="Q3987" s="4">
        <f t="shared" si="250"/>
        <v>-1.2504257772791079E-3</v>
      </c>
      <c r="R3987" s="4">
        <f t="shared" si="250"/>
        <v>1.6010410184396176E-3</v>
      </c>
      <c r="S3987" s="4">
        <f t="shared" si="250"/>
        <v>9.492197721295087E-3</v>
      </c>
      <c r="T3987" s="4">
        <f t="shared" si="250"/>
        <v>5.0717320313139131E-3</v>
      </c>
      <c r="U3987" s="35"/>
      <c r="V3987" s="35"/>
      <c r="W3987" s="35"/>
      <c r="X3987" s="35"/>
    </row>
    <row r="3988" spans="4:24" x14ac:dyDescent="0.3">
      <c r="D3988" s="23">
        <v>45370</v>
      </c>
      <c r="E3988" s="5">
        <v>515.71002199999998</v>
      </c>
      <c r="F3988" s="28">
        <v>71.687780000000004</v>
      </c>
      <c r="G3988" s="28">
        <v>199.8</v>
      </c>
      <c r="H3988" s="28">
        <v>438.57</v>
      </c>
      <c r="I3988" s="28">
        <v>255.5719</v>
      </c>
      <c r="J3988" s="29"/>
      <c r="K3988" s="29"/>
      <c r="L3988" s="29"/>
      <c r="M3988" s="29"/>
      <c r="N3988" s="29"/>
      <c r="P3988" s="4">
        <f t="shared" si="250"/>
        <v>5.5417604530232315E-3</v>
      </c>
      <c r="Q3988" s="4">
        <f t="shared" si="250"/>
        <v>2.6380958947721717E-3</v>
      </c>
      <c r="R3988" s="4">
        <f t="shared" si="250"/>
        <v>-1.1504890847084041E-3</v>
      </c>
      <c r="S3988" s="4">
        <f t="shared" si="250"/>
        <v>2.4884437246092054E-3</v>
      </c>
      <c r="T3988" s="4">
        <f t="shared" si="250"/>
        <v>5.7483409015898186E-3</v>
      </c>
      <c r="U3988" s="35"/>
      <c r="V3988" s="35"/>
      <c r="W3988" s="35"/>
      <c r="X3988" s="35"/>
    </row>
    <row r="3989" spans="4:24" x14ac:dyDescent="0.3">
      <c r="D3989" s="23">
        <v>45371</v>
      </c>
      <c r="E3989" s="5">
        <v>520.47997999999995</v>
      </c>
      <c r="F3989" s="28">
        <v>71.816999999999993</v>
      </c>
      <c r="G3989" s="28">
        <v>202.18</v>
      </c>
      <c r="H3989" s="28">
        <v>443.77</v>
      </c>
      <c r="I3989" s="28">
        <v>258.1628</v>
      </c>
      <c r="J3989" s="29"/>
      <c r="K3989" s="29"/>
      <c r="L3989" s="29"/>
      <c r="M3989" s="29"/>
      <c r="N3989" s="29"/>
      <c r="P3989" s="4">
        <f t="shared" ref="P3989:T4004" si="251">LN(E3989/E3988)</f>
        <v>9.2067896515634247E-3</v>
      </c>
      <c r="Q3989" s="4">
        <f t="shared" si="251"/>
        <v>1.8009161078105667E-3</v>
      </c>
      <c r="R3989" s="4">
        <f t="shared" si="251"/>
        <v>1.1841523511458465E-2</v>
      </c>
      <c r="S3989" s="4">
        <f t="shared" si="251"/>
        <v>1.1786976004885482E-2</v>
      </c>
      <c r="T3989" s="4">
        <f t="shared" si="251"/>
        <v>1.0086614614244181E-2</v>
      </c>
      <c r="U3989" s="35"/>
      <c r="V3989" s="35"/>
      <c r="W3989" s="35"/>
      <c r="X3989" s="35"/>
    </row>
    <row r="3990" spans="4:24" x14ac:dyDescent="0.3">
      <c r="D3990" s="23">
        <v>45372</v>
      </c>
      <c r="E3990" s="5">
        <v>522.20001200000002</v>
      </c>
      <c r="F3990" s="28">
        <v>71.876630000000006</v>
      </c>
      <c r="G3990" s="28">
        <v>201.97</v>
      </c>
      <c r="H3990" s="28">
        <v>445.87</v>
      </c>
      <c r="I3990" s="28">
        <v>259.22899999999998</v>
      </c>
      <c r="J3990" s="29"/>
      <c r="K3990" s="29"/>
      <c r="L3990" s="29"/>
      <c r="M3990" s="29"/>
      <c r="N3990" s="29"/>
      <c r="P3990" s="4">
        <f t="shared" si="251"/>
        <v>3.2992549457572509E-3</v>
      </c>
      <c r="Q3990" s="4">
        <f t="shared" si="251"/>
        <v>8.2996029013871636E-4</v>
      </c>
      <c r="R3990" s="4">
        <f t="shared" si="251"/>
        <v>-1.0392182056145815E-3</v>
      </c>
      <c r="S3990" s="4">
        <f t="shared" si="251"/>
        <v>4.7210195144170514E-3</v>
      </c>
      <c r="T3990" s="4">
        <f t="shared" si="251"/>
        <v>4.1214472638906492E-3</v>
      </c>
      <c r="U3990" s="35"/>
      <c r="V3990" s="35"/>
      <c r="W3990" s="35"/>
      <c r="X3990" s="35"/>
    </row>
    <row r="3991" spans="4:24" x14ac:dyDescent="0.3">
      <c r="D3991" s="23">
        <v>45373</v>
      </c>
      <c r="E3991" s="5">
        <v>521.21002199999998</v>
      </c>
      <c r="F3991" s="28">
        <v>72.115200000000002</v>
      </c>
      <c r="G3991" s="28">
        <v>200.35</v>
      </c>
      <c r="H3991" s="28">
        <v>446.38</v>
      </c>
      <c r="I3991" s="28">
        <v>258.5</v>
      </c>
      <c r="J3991" s="29"/>
      <c r="K3991" s="29"/>
      <c r="L3991" s="29"/>
      <c r="M3991" s="29"/>
      <c r="N3991" s="29"/>
      <c r="P3991" s="4">
        <f t="shared" si="251"/>
        <v>-1.897605475915489E-3</v>
      </c>
      <c r="Q3991" s="4">
        <f t="shared" si="251"/>
        <v>3.3136632585160741E-3</v>
      </c>
      <c r="R3991" s="4">
        <f t="shared" si="251"/>
        <v>-8.0533344381434561E-3</v>
      </c>
      <c r="S3991" s="4">
        <f t="shared" si="251"/>
        <v>1.143177485102368E-3</v>
      </c>
      <c r="T3991" s="4">
        <f t="shared" si="251"/>
        <v>-2.8161469872808168E-3</v>
      </c>
      <c r="U3991" s="35"/>
      <c r="V3991" s="35"/>
      <c r="W3991" s="35"/>
      <c r="X3991" s="35"/>
    </row>
    <row r="3992" spans="4:24" x14ac:dyDescent="0.3">
      <c r="D3992" s="23">
        <v>45376</v>
      </c>
      <c r="E3992" s="5">
        <v>519.77002000000005</v>
      </c>
      <c r="F3992" s="28">
        <v>71.976039999999998</v>
      </c>
      <c r="G3992" s="28">
        <v>200.99</v>
      </c>
      <c r="H3992" s="28">
        <v>444.76</v>
      </c>
      <c r="I3992" s="28">
        <v>257.92</v>
      </c>
      <c r="J3992" s="29"/>
      <c r="K3992" s="29"/>
      <c r="L3992" s="29"/>
      <c r="M3992" s="29"/>
      <c r="N3992" s="29"/>
      <c r="P3992" s="4">
        <f t="shared" si="251"/>
        <v>-2.7666292539921863E-3</v>
      </c>
      <c r="Q3992" s="4">
        <f t="shared" si="251"/>
        <v>-1.9315545242866291E-3</v>
      </c>
      <c r="R3992" s="4">
        <f t="shared" si="251"/>
        <v>3.1893184955069484E-3</v>
      </c>
      <c r="S3992" s="4">
        <f t="shared" si="251"/>
        <v>-3.6357963609907318E-3</v>
      </c>
      <c r="T3992" s="4">
        <f t="shared" si="251"/>
        <v>-2.2462346302203301E-3</v>
      </c>
      <c r="U3992" s="35"/>
      <c r="V3992" s="35"/>
      <c r="W3992" s="35"/>
      <c r="X3992" s="35"/>
    </row>
    <row r="3993" spans="4:24" x14ac:dyDescent="0.3">
      <c r="D3993" s="23">
        <v>45377</v>
      </c>
      <c r="E3993" s="5">
        <v>518.80999799999995</v>
      </c>
      <c r="F3993" s="28">
        <v>72.035679999999999</v>
      </c>
      <c r="G3993" s="28">
        <v>201.64</v>
      </c>
      <c r="H3993" s="28">
        <v>443.32</v>
      </c>
      <c r="I3993" s="28">
        <v>257.45999999999998</v>
      </c>
      <c r="J3993" s="29"/>
      <c r="K3993" s="29"/>
      <c r="L3993" s="29"/>
      <c r="M3993" s="29"/>
      <c r="N3993" s="29"/>
      <c r="P3993" s="4">
        <f t="shared" si="251"/>
        <v>-1.8487208626959478E-3</v>
      </c>
      <c r="Q3993" s="4">
        <f t="shared" si="251"/>
        <v>8.2826596904119485E-4</v>
      </c>
      <c r="R3993" s="4">
        <f t="shared" si="251"/>
        <v>3.2287736367695536E-3</v>
      </c>
      <c r="S3993" s="4">
        <f t="shared" si="251"/>
        <v>-3.2429539275961611E-3</v>
      </c>
      <c r="T3993" s="4">
        <f t="shared" si="251"/>
        <v>-1.7850910867753134E-3</v>
      </c>
      <c r="U3993" s="35"/>
      <c r="V3993" s="35"/>
      <c r="W3993" s="35"/>
      <c r="X3993" s="35"/>
    </row>
    <row r="3994" spans="4:24" x14ac:dyDescent="0.3">
      <c r="D3994" s="23">
        <v>45378</v>
      </c>
      <c r="E3994" s="5">
        <v>523.169983</v>
      </c>
      <c r="F3994" s="28">
        <v>72.284180000000006</v>
      </c>
      <c r="G3994" s="28">
        <v>203.1</v>
      </c>
      <c r="H3994" s="28">
        <v>444.83</v>
      </c>
      <c r="I3994" s="28">
        <v>259.73</v>
      </c>
      <c r="J3994" s="29"/>
      <c r="K3994" s="29"/>
      <c r="L3994" s="29"/>
      <c r="M3994" s="29"/>
      <c r="N3994" s="29"/>
      <c r="P3994" s="4">
        <f t="shared" si="251"/>
        <v>8.3687029031342744E-3</v>
      </c>
      <c r="Q3994" s="4">
        <f t="shared" si="251"/>
        <v>3.4437428859429263E-3</v>
      </c>
      <c r="R3994" s="4">
        <f t="shared" si="251"/>
        <v>7.2145393719088785E-3</v>
      </c>
      <c r="S3994" s="4">
        <f t="shared" si="251"/>
        <v>3.400329797703632E-3</v>
      </c>
      <c r="T3994" s="4">
        <f t="shared" si="251"/>
        <v>8.7782616708105207E-3</v>
      </c>
      <c r="U3994" s="35"/>
      <c r="V3994" s="35"/>
      <c r="W3994" s="35"/>
      <c r="X3994" s="35"/>
    </row>
    <row r="3995" spans="4:24" x14ac:dyDescent="0.3">
      <c r="D3995" s="23">
        <v>45379</v>
      </c>
      <c r="E3995" s="5">
        <v>523.07000700000003</v>
      </c>
      <c r="F3995" s="28">
        <v>72.194710000000001</v>
      </c>
      <c r="G3995" s="28">
        <v>205.72</v>
      </c>
      <c r="H3995" s="28">
        <v>444.01</v>
      </c>
      <c r="I3995" s="28">
        <v>259.89999999999998</v>
      </c>
      <c r="J3995" s="29"/>
      <c r="K3995" s="29"/>
      <c r="L3995" s="29"/>
      <c r="M3995" s="29"/>
      <c r="N3995" s="29"/>
      <c r="P3995" s="4">
        <f t="shared" si="251"/>
        <v>-1.9111485177369849E-4</v>
      </c>
      <c r="Q3995" s="4">
        <f t="shared" si="251"/>
        <v>-1.2385201940123994E-3</v>
      </c>
      <c r="R3995" s="4">
        <f t="shared" si="251"/>
        <v>1.2817552320376496E-2</v>
      </c>
      <c r="S3995" s="4">
        <f t="shared" si="251"/>
        <v>-1.8451020040369439E-3</v>
      </c>
      <c r="T3995" s="4">
        <f t="shared" si="251"/>
        <v>6.5431174514582534E-4</v>
      </c>
      <c r="U3995" s="35"/>
      <c r="V3995" s="35"/>
      <c r="W3995" s="35"/>
      <c r="X3995" s="35"/>
    </row>
    <row r="3996" spans="4:24" x14ac:dyDescent="0.3">
      <c r="D3996" s="23">
        <v>45383</v>
      </c>
      <c r="E3996" s="5">
        <v>522.15997300000004</v>
      </c>
      <c r="F3996" s="28">
        <v>71.702219999999997</v>
      </c>
      <c r="G3996" s="28">
        <v>207.82</v>
      </c>
      <c r="H3996" s="28">
        <v>444.95</v>
      </c>
      <c r="I3996" s="28">
        <v>259.7</v>
      </c>
      <c r="J3996" s="29"/>
      <c r="K3996" s="29"/>
      <c r="L3996" s="29"/>
      <c r="M3996" s="29"/>
      <c r="N3996" s="29"/>
      <c r="P3996" s="4">
        <f t="shared" si="251"/>
        <v>-1.7413090848143755E-3</v>
      </c>
      <c r="Q3996" s="4">
        <f t="shared" si="251"/>
        <v>-6.8450650470900576E-3</v>
      </c>
      <c r="R3996" s="4">
        <f t="shared" si="251"/>
        <v>1.0156299517785114E-2</v>
      </c>
      <c r="S3996" s="4">
        <f t="shared" si="251"/>
        <v>2.1148316017522411E-3</v>
      </c>
      <c r="T3996" s="4">
        <f t="shared" si="251"/>
        <v>-7.6982297874180177E-4</v>
      </c>
      <c r="U3996" s="35"/>
      <c r="V3996" s="35"/>
      <c r="W3996" s="35"/>
      <c r="X3996" s="35"/>
    </row>
    <row r="3997" spans="4:24" x14ac:dyDescent="0.3">
      <c r="D3997" s="23">
        <v>45384</v>
      </c>
      <c r="E3997" s="5">
        <v>518.84002699999996</v>
      </c>
      <c r="F3997" s="28">
        <v>71.622450000000001</v>
      </c>
      <c r="G3997" s="28">
        <v>210.89</v>
      </c>
      <c r="H3997" s="28">
        <v>441.11</v>
      </c>
      <c r="I3997" s="28">
        <v>257.3</v>
      </c>
      <c r="J3997" s="29"/>
      <c r="K3997" s="29"/>
      <c r="L3997" s="29"/>
      <c r="M3997" s="29"/>
      <c r="N3997" s="29"/>
      <c r="P3997" s="4">
        <f t="shared" si="251"/>
        <v>-6.3784001070368631E-3</v>
      </c>
      <c r="Q3997" s="4">
        <f t="shared" si="251"/>
        <v>-1.1131371624542548E-3</v>
      </c>
      <c r="R3997" s="4">
        <f t="shared" si="251"/>
        <v>1.4664350099172274E-2</v>
      </c>
      <c r="S3997" s="4">
        <f t="shared" si="251"/>
        <v>-8.6676388527145327E-3</v>
      </c>
      <c r="T3997" s="4">
        <f t="shared" si="251"/>
        <v>-9.284399381004213E-3</v>
      </c>
      <c r="U3997" s="35"/>
      <c r="V3997" s="35"/>
      <c r="W3997" s="35"/>
      <c r="X3997" s="35"/>
    </row>
    <row r="3998" spans="4:24" x14ac:dyDescent="0.3">
      <c r="D3998" s="23">
        <v>45385</v>
      </c>
      <c r="E3998" s="5">
        <v>519.40997300000004</v>
      </c>
      <c r="F3998" s="28">
        <v>71.672300000000007</v>
      </c>
      <c r="G3998" s="28">
        <v>212.74</v>
      </c>
      <c r="H3998" s="28">
        <v>442.1</v>
      </c>
      <c r="I3998" s="28">
        <v>257.7</v>
      </c>
      <c r="J3998" s="29"/>
      <c r="K3998" s="29"/>
      <c r="L3998" s="29"/>
      <c r="M3998" s="29"/>
      <c r="N3998" s="29"/>
      <c r="P3998" s="4">
        <f t="shared" si="251"/>
        <v>1.0978975338312681E-3</v>
      </c>
      <c r="Q3998" s="4">
        <f t="shared" si="251"/>
        <v>6.9576871463916592E-4</v>
      </c>
      <c r="R3998" s="4">
        <f t="shared" si="251"/>
        <v>8.7340922998458744E-3</v>
      </c>
      <c r="S3998" s="4">
        <f t="shared" si="251"/>
        <v>2.2418233820408703E-3</v>
      </c>
      <c r="T3998" s="4">
        <f t="shared" si="251"/>
        <v>1.5533983706208624E-3</v>
      </c>
      <c r="U3998" s="35"/>
      <c r="V3998" s="35"/>
      <c r="W3998" s="35"/>
      <c r="X3998" s="35"/>
    </row>
    <row r="3999" spans="4:24" x14ac:dyDescent="0.3">
      <c r="D3999" s="23">
        <v>45386</v>
      </c>
      <c r="E3999" s="5">
        <v>513.07000700000003</v>
      </c>
      <c r="F3999" s="28">
        <v>71.821849999999998</v>
      </c>
      <c r="G3999" s="28">
        <v>211.52</v>
      </c>
      <c r="H3999" s="28">
        <v>435.34</v>
      </c>
      <c r="I3999" s="28">
        <v>254.61</v>
      </c>
      <c r="J3999" s="29"/>
      <c r="K3999" s="29"/>
      <c r="L3999" s="29"/>
      <c r="M3999" s="29"/>
      <c r="N3999" s="29"/>
      <c r="P3999" s="4">
        <f t="shared" si="251"/>
        <v>-1.2281198298379375E-2</v>
      </c>
      <c r="Q3999" s="4">
        <f t="shared" si="251"/>
        <v>2.0844062861994405E-3</v>
      </c>
      <c r="R3999" s="4">
        <f t="shared" si="251"/>
        <v>-5.7512061601973441E-3</v>
      </c>
      <c r="S3999" s="4">
        <f t="shared" si="251"/>
        <v>-1.5408765845506631E-2</v>
      </c>
      <c r="T3999" s="4">
        <f t="shared" si="251"/>
        <v>-1.2063155008624061E-2</v>
      </c>
      <c r="U3999" s="35"/>
      <c r="V3999" s="35"/>
      <c r="W3999" s="35"/>
      <c r="X3999" s="35"/>
    </row>
    <row r="4000" spans="4:24" x14ac:dyDescent="0.3">
      <c r="D4000" s="23">
        <v>45387</v>
      </c>
      <c r="E4000" s="5">
        <v>518.42999299999997</v>
      </c>
      <c r="F4000" s="28">
        <v>71.462940000000003</v>
      </c>
      <c r="G4000" s="28">
        <v>215.14</v>
      </c>
      <c r="H4000" s="28">
        <v>440.47</v>
      </c>
      <c r="I4000" s="28">
        <v>257.18</v>
      </c>
      <c r="J4000" s="29"/>
      <c r="K4000" s="29"/>
      <c r="L4000" s="29"/>
      <c r="M4000" s="29"/>
      <c r="N4000" s="29"/>
      <c r="P4000" s="4">
        <f t="shared" si="251"/>
        <v>1.0392698484617715E-2</v>
      </c>
      <c r="Q4000" s="4">
        <f t="shared" si="251"/>
        <v>-5.0097536612075753E-3</v>
      </c>
      <c r="R4000" s="4">
        <f t="shared" si="251"/>
        <v>1.6969422340537697E-2</v>
      </c>
      <c r="S4000" s="4">
        <f t="shared" si="251"/>
        <v>1.1715003643543814E-2</v>
      </c>
      <c r="T4000" s="4">
        <f t="shared" si="251"/>
        <v>1.004326619259773E-2</v>
      </c>
      <c r="U4000" s="35"/>
      <c r="V4000" s="35"/>
      <c r="W4000" s="35"/>
      <c r="X4000" s="35"/>
    </row>
    <row r="4001" spans="4:24" x14ac:dyDescent="0.3">
      <c r="D4001" s="23">
        <v>45390</v>
      </c>
      <c r="E4001" s="5">
        <v>518.71997099999999</v>
      </c>
      <c r="F4001" s="28">
        <v>71.403130000000004</v>
      </c>
      <c r="G4001" s="28">
        <v>216.48</v>
      </c>
      <c r="H4001" s="28">
        <v>440.6</v>
      </c>
      <c r="I4001" s="28">
        <v>257.48</v>
      </c>
      <c r="J4001" s="29"/>
      <c r="K4001" s="29"/>
      <c r="L4001" s="29"/>
      <c r="M4001" s="29"/>
      <c r="N4001" s="29"/>
      <c r="P4001" s="4">
        <f t="shared" si="251"/>
        <v>5.5918240875719267E-4</v>
      </c>
      <c r="Q4001" s="4">
        <f t="shared" si="251"/>
        <v>-8.372877268080619E-4</v>
      </c>
      <c r="R4001" s="4">
        <f t="shared" si="251"/>
        <v>6.209185418618624E-3</v>
      </c>
      <c r="S4001" s="4">
        <f t="shared" si="251"/>
        <v>2.9509573800808481E-4</v>
      </c>
      <c r="T4001" s="4">
        <f t="shared" si="251"/>
        <v>1.1658183421221701E-3</v>
      </c>
      <c r="U4001" s="35"/>
      <c r="V4001" s="35"/>
      <c r="W4001" s="35"/>
      <c r="X4001" s="35"/>
    </row>
    <row r="4002" spans="4:24" x14ac:dyDescent="0.3">
      <c r="D4002" s="23">
        <v>45391</v>
      </c>
      <c r="E4002" s="5">
        <v>519.32000700000003</v>
      </c>
      <c r="F4002" s="28">
        <v>71.662329999999997</v>
      </c>
      <c r="G4002" s="28">
        <v>217.67</v>
      </c>
      <c r="H4002" s="28">
        <v>442.23</v>
      </c>
      <c r="I4002" s="28">
        <v>257.85000000000002</v>
      </c>
      <c r="J4002" s="29"/>
      <c r="K4002" s="29"/>
      <c r="L4002" s="29"/>
      <c r="M4002" s="29"/>
      <c r="N4002" s="29"/>
      <c r="P4002" s="4">
        <f t="shared" si="251"/>
        <v>1.1560943307557536E-3</v>
      </c>
      <c r="Q4002" s="4">
        <f t="shared" si="251"/>
        <v>3.6235200810275829E-3</v>
      </c>
      <c r="R4002" s="4">
        <f t="shared" si="251"/>
        <v>5.4819900042677016E-3</v>
      </c>
      <c r="S4002" s="4">
        <f t="shared" si="251"/>
        <v>3.6926743590538114E-3</v>
      </c>
      <c r="T4002" s="4">
        <f t="shared" si="251"/>
        <v>1.4359733125528372E-3</v>
      </c>
      <c r="U4002" s="35"/>
      <c r="V4002" s="35"/>
      <c r="W4002" s="35"/>
      <c r="X4002" s="35"/>
    </row>
    <row r="4003" spans="4:24" x14ac:dyDescent="0.3">
      <c r="D4003" s="23">
        <v>45392</v>
      </c>
      <c r="E4003" s="5">
        <v>514.11999500000002</v>
      </c>
      <c r="F4003" s="28">
        <v>70.824879999999993</v>
      </c>
      <c r="G4003" s="28">
        <v>215.61</v>
      </c>
      <c r="H4003" s="28">
        <v>438.37</v>
      </c>
      <c r="I4003" s="28">
        <v>254.97</v>
      </c>
      <c r="J4003" s="29"/>
      <c r="K4003" s="29"/>
      <c r="L4003" s="29"/>
      <c r="M4003" s="29"/>
      <c r="N4003" s="29"/>
      <c r="P4003" s="4">
        <f t="shared" si="251"/>
        <v>-1.0063585454642606E-2</v>
      </c>
      <c r="Q4003" s="4">
        <f t="shared" si="251"/>
        <v>-1.1754874602577327E-2</v>
      </c>
      <c r="R4003" s="4">
        <f t="shared" si="251"/>
        <v>-9.5089342782846264E-3</v>
      </c>
      <c r="S4003" s="4">
        <f t="shared" si="251"/>
        <v>-8.7668060919092496E-3</v>
      </c>
      <c r="T4003" s="4">
        <f t="shared" si="251"/>
        <v>-1.1232129318323526E-2</v>
      </c>
      <c r="U4003" s="35"/>
      <c r="V4003" s="35"/>
      <c r="W4003" s="35"/>
      <c r="X4003" s="35"/>
    </row>
    <row r="4004" spans="4:24" x14ac:dyDescent="0.3">
      <c r="D4004" s="23">
        <v>45393</v>
      </c>
      <c r="E4004" s="5">
        <v>518</v>
      </c>
      <c r="F4004" s="28">
        <v>70.824879999999993</v>
      </c>
      <c r="G4004" s="28">
        <v>219.8</v>
      </c>
      <c r="H4004" s="28">
        <v>445.37</v>
      </c>
      <c r="I4004" s="28">
        <v>256.7</v>
      </c>
      <c r="J4004" s="29"/>
      <c r="K4004" s="29"/>
      <c r="L4004" s="29"/>
      <c r="M4004" s="29"/>
      <c r="N4004" s="29"/>
      <c r="P4004" s="4">
        <f t="shared" si="251"/>
        <v>7.5185507429080265E-3</v>
      </c>
      <c r="Q4004" s="4">
        <f t="shared" si="251"/>
        <v>0</v>
      </c>
      <c r="R4004" s="4">
        <f t="shared" si="251"/>
        <v>1.924682182105995E-2</v>
      </c>
      <c r="S4004" s="4">
        <f t="shared" si="251"/>
        <v>1.5842094733068128E-2</v>
      </c>
      <c r="T4004" s="4">
        <f t="shared" si="251"/>
        <v>6.7621966984501413E-3</v>
      </c>
      <c r="U4004" s="35"/>
      <c r="V4004" s="35"/>
      <c r="W4004" s="35"/>
      <c r="X4004" s="35"/>
    </row>
    <row r="4005" spans="4:24" x14ac:dyDescent="0.3">
      <c r="D4005" s="23">
        <v>45394</v>
      </c>
      <c r="E4005" s="5">
        <v>510.85000600000001</v>
      </c>
      <c r="F4005" s="28">
        <v>70.984390000000005</v>
      </c>
      <c r="G4005" s="28">
        <v>216.89</v>
      </c>
      <c r="H4005" s="28">
        <v>438.27</v>
      </c>
      <c r="I4005" s="28">
        <v>253</v>
      </c>
      <c r="J4005" s="29"/>
      <c r="K4005" s="29"/>
      <c r="L4005" s="29"/>
      <c r="M4005" s="29"/>
      <c r="N4005" s="29"/>
      <c r="P4005" s="4">
        <f t="shared" ref="P4005:T4020" si="252">LN(E4005/E4004)</f>
        <v>-1.3899225476919809E-2</v>
      </c>
      <c r="Q4005" s="4">
        <f t="shared" si="252"/>
        <v>2.2496423156524253E-3</v>
      </c>
      <c r="R4005" s="4">
        <f t="shared" si="252"/>
        <v>-1.3327729395005304E-2</v>
      </c>
      <c r="S4005" s="4">
        <f t="shared" si="252"/>
        <v>-1.6070238555923148E-2</v>
      </c>
      <c r="T4005" s="4">
        <f t="shared" si="252"/>
        <v>-1.451859914957444E-2</v>
      </c>
      <c r="U4005" s="35"/>
      <c r="V4005" s="35"/>
      <c r="W4005" s="35"/>
      <c r="X4005" s="35"/>
    </row>
    <row r="4006" spans="4:24" x14ac:dyDescent="0.3">
      <c r="D4006" s="23">
        <v>45397</v>
      </c>
      <c r="E4006" s="5">
        <v>504.45001200000002</v>
      </c>
      <c r="F4006" s="28">
        <v>70.515820000000005</v>
      </c>
      <c r="G4006" s="28">
        <v>220.95</v>
      </c>
      <c r="H4006" s="28">
        <v>431.06</v>
      </c>
      <c r="I4006" s="28">
        <v>249.89</v>
      </c>
      <c r="J4006" s="29"/>
      <c r="K4006" s="29"/>
      <c r="L4006" s="29"/>
      <c r="M4006" s="29"/>
      <c r="N4006" s="29"/>
      <c r="P4006" s="4">
        <f t="shared" si="252"/>
        <v>-1.2607266139890945E-2</v>
      </c>
      <c r="Q4006" s="4">
        <f t="shared" si="252"/>
        <v>-6.6229119057528265E-3</v>
      </c>
      <c r="R4006" s="4">
        <f t="shared" si="252"/>
        <v>1.854611900223312E-2</v>
      </c>
      <c r="S4006" s="4">
        <f t="shared" si="252"/>
        <v>-1.658786726086476E-2</v>
      </c>
      <c r="T4006" s="4">
        <f t="shared" si="252"/>
        <v>-1.2368667693677905E-2</v>
      </c>
      <c r="U4006" s="35"/>
      <c r="V4006" s="35"/>
      <c r="W4006" s="35"/>
      <c r="X4006" s="35"/>
    </row>
    <row r="4007" spans="4:24" x14ac:dyDescent="0.3">
      <c r="D4007" s="23">
        <v>45398</v>
      </c>
      <c r="E4007" s="5">
        <v>503.52999899999998</v>
      </c>
      <c r="F4007" s="28">
        <v>70.336370000000002</v>
      </c>
      <c r="G4007" s="28">
        <v>221.22</v>
      </c>
      <c r="H4007" s="28">
        <v>431.1</v>
      </c>
      <c r="I4007" s="28">
        <v>249.14</v>
      </c>
      <c r="J4007" s="29"/>
      <c r="K4007" s="29"/>
      <c r="L4007" s="29"/>
      <c r="M4007" s="29"/>
      <c r="N4007" s="29"/>
      <c r="P4007" s="4">
        <f t="shared" si="252"/>
        <v>-1.8254593254629461E-3</v>
      </c>
      <c r="Q4007" s="4">
        <f t="shared" si="252"/>
        <v>-2.5480625766877468E-3</v>
      </c>
      <c r="R4007" s="4">
        <f t="shared" si="252"/>
        <v>1.2212498973593075E-3</v>
      </c>
      <c r="S4007" s="4">
        <f t="shared" si="252"/>
        <v>9.2790201421288581E-5</v>
      </c>
      <c r="T4007" s="4">
        <f t="shared" si="252"/>
        <v>-3.0058335758957268E-3</v>
      </c>
      <c r="U4007" s="35"/>
      <c r="V4007" s="35"/>
      <c r="W4007" s="35"/>
      <c r="X4007" s="35"/>
    </row>
    <row r="4008" spans="4:24" x14ac:dyDescent="0.3">
      <c r="D4008" s="23">
        <v>45399</v>
      </c>
      <c r="E4008" s="5">
        <v>500.54998799999998</v>
      </c>
      <c r="F4008" s="28">
        <v>70.675330000000002</v>
      </c>
      <c r="G4008" s="28">
        <v>219.59</v>
      </c>
      <c r="H4008" s="28">
        <v>425.84</v>
      </c>
      <c r="I4008" s="28">
        <v>247.68</v>
      </c>
      <c r="J4008" s="29"/>
      <c r="K4008" s="29"/>
      <c r="L4008" s="29"/>
      <c r="M4008" s="29"/>
      <c r="N4008" s="29"/>
      <c r="P4008" s="4">
        <f t="shared" si="252"/>
        <v>-5.9358214253460145E-3</v>
      </c>
      <c r="Q4008" s="4">
        <f t="shared" si="252"/>
        <v>4.8075535980752777E-3</v>
      </c>
      <c r="R4008" s="4">
        <f t="shared" si="252"/>
        <v>-7.3955102162080871E-3</v>
      </c>
      <c r="S4008" s="4">
        <f t="shared" si="252"/>
        <v>-1.2276392888587099E-2</v>
      </c>
      <c r="T4008" s="4">
        <f t="shared" si="252"/>
        <v>-5.8773970565842437E-3</v>
      </c>
      <c r="U4008" s="35"/>
      <c r="V4008" s="35"/>
      <c r="W4008" s="35"/>
      <c r="X4008" s="35"/>
    </row>
    <row r="4009" spans="4:24" x14ac:dyDescent="0.3">
      <c r="D4009" s="23">
        <v>45400</v>
      </c>
      <c r="E4009" s="5">
        <v>499.51998900000001</v>
      </c>
      <c r="F4009" s="28">
        <v>70.485910000000004</v>
      </c>
      <c r="G4009" s="28">
        <v>220.34</v>
      </c>
      <c r="H4009" s="28">
        <v>423.41</v>
      </c>
      <c r="I4009" s="28">
        <v>247.17</v>
      </c>
      <c r="J4009" s="29"/>
      <c r="K4009" s="29"/>
      <c r="L4009" s="29"/>
      <c r="M4009" s="29"/>
      <c r="N4009" s="29"/>
      <c r="P4009" s="4">
        <f t="shared" si="252"/>
        <v>-2.0598545859366268E-3</v>
      </c>
      <c r="Q4009" s="4">
        <f t="shared" si="252"/>
        <v>-2.6837411415615029E-3</v>
      </c>
      <c r="R4009" s="4">
        <f t="shared" si="252"/>
        <v>3.4096366540187478E-3</v>
      </c>
      <c r="S4009" s="4">
        <f t="shared" si="252"/>
        <v>-5.7227121148229372E-3</v>
      </c>
      <c r="T4009" s="4">
        <f t="shared" si="252"/>
        <v>-2.061231405754036E-3</v>
      </c>
      <c r="U4009" s="35"/>
      <c r="V4009" s="35"/>
      <c r="W4009" s="35"/>
      <c r="X4009" s="35"/>
    </row>
    <row r="4010" spans="4:24" x14ac:dyDescent="0.3">
      <c r="D4010" s="23">
        <v>45401</v>
      </c>
      <c r="E4010" s="5">
        <v>495.16000400000001</v>
      </c>
      <c r="F4010" s="28">
        <v>70.575640000000007</v>
      </c>
      <c r="G4010" s="28">
        <v>221.03</v>
      </c>
      <c r="H4010" s="28">
        <v>414.65</v>
      </c>
      <c r="I4010" s="28">
        <v>245.23</v>
      </c>
      <c r="J4010" s="29"/>
      <c r="K4010" s="29"/>
      <c r="L4010" s="29"/>
      <c r="M4010" s="29"/>
      <c r="N4010" s="29"/>
      <c r="P4010" s="4">
        <f t="shared" si="252"/>
        <v>-8.7666645641202474E-3</v>
      </c>
      <c r="Q4010" s="4">
        <f t="shared" si="252"/>
        <v>1.2722107775292204E-3</v>
      </c>
      <c r="R4010" s="4">
        <f t="shared" si="252"/>
        <v>3.1266309994319222E-3</v>
      </c>
      <c r="S4010" s="4">
        <f t="shared" si="252"/>
        <v>-2.0906185852466178E-2</v>
      </c>
      <c r="T4010" s="4">
        <f t="shared" si="252"/>
        <v>-7.8798133148198293E-3</v>
      </c>
      <c r="U4010" s="35"/>
      <c r="V4010" s="35"/>
      <c r="W4010" s="35"/>
      <c r="X4010" s="35"/>
    </row>
    <row r="4011" spans="4:24" x14ac:dyDescent="0.3">
      <c r="D4011" s="23">
        <v>45404</v>
      </c>
      <c r="E4011" s="5">
        <v>499.72000100000002</v>
      </c>
      <c r="F4011" s="28">
        <v>70.605549999999994</v>
      </c>
      <c r="G4011" s="28">
        <v>215.57</v>
      </c>
      <c r="H4011" s="28">
        <v>418.82</v>
      </c>
      <c r="I4011" s="28">
        <v>247.64</v>
      </c>
      <c r="J4011" s="29"/>
      <c r="K4011" s="29"/>
      <c r="L4011" s="29"/>
      <c r="M4011" s="29"/>
      <c r="N4011" s="29"/>
      <c r="P4011" s="4">
        <f t="shared" si="252"/>
        <v>9.1669928229427822E-3</v>
      </c>
      <c r="Q4011" s="4">
        <f t="shared" si="252"/>
        <v>4.2371084203875182E-4</v>
      </c>
      <c r="R4011" s="4">
        <f t="shared" si="252"/>
        <v>-2.5012756126008538E-2</v>
      </c>
      <c r="S4011" s="4">
        <f t="shared" si="252"/>
        <v>1.0006442450793502E-2</v>
      </c>
      <c r="T4011" s="4">
        <f t="shared" si="252"/>
        <v>9.7795329702428189E-3</v>
      </c>
      <c r="U4011" s="35"/>
      <c r="V4011" s="35"/>
      <c r="W4011" s="35"/>
      <c r="X4011" s="35"/>
    </row>
    <row r="4012" spans="4:24" x14ac:dyDescent="0.3">
      <c r="D4012" s="23">
        <v>45405</v>
      </c>
      <c r="E4012" s="5">
        <v>505.64999399999999</v>
      </c>
      <c r="F4012" s="28">
        <v>70.735150000000004</v>
      </c>
      <c r="G4012" s="28">
        <v>215.04</v>
      </c>
      <c r="H4012" s="28">
        <v>425.07</v>
      </c>
      <c r="I4012" s="28">
        <v>250.59</v>
      </c>
      <c r="J4012" s="29"/>
      <c r="K4012" s="29"/>
      <c r="L4012" s="29"/>
      <c r="M4012" s="29"/>
      <c r="N4012" s="29"/>
      <c r="P4012" s="4">
        <f t="shared" si="252"/>
        <v>1.1796774917515114E-2</v>
      </c>
      <c r="Q4012" s="4">
        <f t="shared" si="252"/>
        <v>1.8338671921273744E-3</v>
      </c>
      <c r="R4012" s="4">
        <f t="shared" si="252"/>
        <v>-2.4616254505575321E-3</v>
      </c>
      <c r="S4012" s="4">
        <f t="shared" si="252"/>
        <v>1.4812627896238892E-2</v>
      </c>
      <c r="T4012" s="4">
        <f t="shared" si="252"/>
        <v>1.1842058784893248E-2</v>
      </c>
      <c r="U4012" s="35"/>
      <c r="V4012" s="35"/>
      <c r="W4012" s="35"/>
      <c r="X4012" s="35"/>
    </row>
    <row r="4013" spans="4:24" x14ac:dyDescent="0.3">
      <c r="D4013" s="23">
        <v>45406</v>
      </c>
      <c r="E4013" s="5">
        <v>505.41000400000001</v>
      </c>
      <c r="F4013" s="28">
        <v>70.555700000000002</v>
      </c>
      <c r="G4013" s="28">
        <v>214.64</v>
      </c>
      <c r="H4013" s="28">
        <v>426.51</v>
      </c>
      <c r="I4013" s="28">
        <v>250.65</v>
      </c>
      <c r="J4013" s="29"/>
      <c r="K4013" s="29"/>
      <c r="L4013" s="29"/>
      <c r="M4013" s="29"/>
      <c r="N4013" s="29"/>
      <c r="P4013" s="4">
        <f t="shared" si="252"/>
        <v>-4.7472950167520421E-4</v>
      </c>
      <c r="Q4013" s="4">
        <f t="shared" si="252"/>
        <v>-2.5401517011160602E-3</v>
      </c>
      <c r="R4013" s="4">
        <f t="shared" si="252"/>
        <v>-1.8618512174160449E-3</v>
      </c>
      <c r="S4013" s="4">
        <f t="shared" si="252"/>
        <v>3.3819520714711768E-3</v>
      </c>
      <c r="T4013" s="4">
        <f t="shared" si="252"/>
        <v>2.3940627358782934E-4</v>
      </c>
      <c r="U4013" s="35"/>
      <c r="V4013" s="35"/>
      <c r="W4013" s="35"/>
      <c r="X4013" s="35"/>
    </row>
    <row r="4014" spans="4:24" x14ac:dyDescent="0.3">
      <c r="D4014" s="23">
        <v>45407</v>
      </c>
      <c r="E4014" s="5">
        <v>503.48998999999998</v>
      </c>
      <c r="F4014" s="28">
        <v>70.356300000000005</v>
      </c>
      <c r="G4014" s="28">
        <v>215.92</v>
      </c>
      <c r="H4014" s="28">
        <v>424.45</v>
      </c>
      <c r="I4014" s="28">
        <v>249.46</v>
      </c>
      <c r="J4014" s="29"/>
      <c r="K4014" s="29"/>
      <c r="L4014" s="29"/>
      <c r="M4014" s="29"/>
      <c r="N4014" s="29"/>
      <c r="P4014" s="4">
        <f t="shared" si="252"/>
        <v>-3.8061578537593056E-3</v>
      </c>
      <c r="Q4014" s="4">
        <f t="shared" si="252"/>
        <v>-2.8301370088294232E-3</v>
      </c>
      <c r="R4014" s="4">
        <f t="shared" si="252"/>
        <v>5.9457625923805772E-3</v>
      </c>
      <c r="S4014" s="4">
        <f t="shared" si="252"/>
        <v>-4.8416001317394628E-3</v>
      </c>
      <c r="T4014" s="4">
        <f t="shared" si="252"/>
        <v>-4.7589620119493307E-3</v>
      </c>
      <c r="U4014" s="35"/>
      <c r="V4014" s="35"/>
      <c r="W4014" s="35"/>
      <c r="X4014" s="35"/>
    </row>
    <row r="4015" spans="4:24" x14ac:dyDescent="0.3">
      <c r="D4015" s="23">
        <v>45408</v>
      </c>
      <c r="E4015" s="5">
        <v>508.26001000000002</v>
      </c>
      <c r="F4015" s="28">
        <v>70.515820000000005</v>
      </c>
      <c r="G4015" s="28">
        <v>216.62</v>
      </c>
      <c r="H4015" s="28">
        <v>431</v>
      </c>
      <c r="I4015" s="28">
        <v>251.78</v>
      </c>
      <c r="J4015" s="29"/>
      <c r="K4015" s="29"/>
      <c r="L4015" s="29"/>
      <c r="M4015" s="29"/>
      <c r="N4015" s="29"/>
      <c r="P4015" s="4">
        <f t="shared" si="252"/>
        <v>9.429316219654307E-3</v>
      </c>
      <c r="Q4015" s="4">
        <f t="shared" si="252"/>
        <v>2.264750018424337E-3</v>
      </c>
      <c r="R4015" s="4">
        <f t="shared" si="252"/>
        <v>3.2366976978418813E-3</v>
      </c>
      <c r="S4015" s="4">
        <f t="shared" si="252"/>
        <v>1.5313876919770916E-2</v>
      </c>
      <c r="T4015" s="4">
        <f t="shared" si="252"/>
        <v>9.2571086405501286E-3</v>
      </c>
      <c r="U4015" s="35"/>
      <c r="V4015" s="35"/>
      <c r="W4015" s="35"/>
      <c r="X4015" s="35"/>
    </row>
    <row r="4016" spans="4:24" x14ac:dyDescent="0.3">
      <c r="D4016" s="23">
        <v>45411</v>
      </c>
      <c r="E4016" s="5">
        <v>510.05999800000001</v>
      </c>
      <c r="F4016" s="28">
        <v>70.725179999999995</v>
      </c>
      <c r="G4016" s="28">
        <v>216.18</v>
      </c>
      <c r="H4016" s="28">
        <v>432.75</v>
      </c>
      <c r="I4016" s="28">
        <v>252.77</v>
      </c>
      <c r="J4016" s="29"/>
      <c r="K4016" s="29"/>
      <c r="L4016" s="29"/>
      <c r="M4016" s="29"/>
      <c r="N4016" s="29"/>
      <c r="P4016" s="4">
        <f t="shared" si="252"/>
        <v>3.5352145897312418E-3</v>
      </c>
      <c r="Q4016" s="4">
        <f t="shared" si="252"/>
        <v>2.96458044525502E-3</v>
      </c>
      <c r="R4016" s="4">
        <f t="shared" si="252"/>
        <v>-2.0332724195341449E-3</v>
      </c>
      <c r="S4016" s="4">
        <f t="shared" si="252"/>
        <v>4.0521039525708291E-3</v>
      </c>
      <c r="T4016" s="4">
        <f t="shared" si="252"/>
        <v>3.9242940065664202E-3</v>
      </c>
      <c r="U4016" s="35"/>
      <c r="V4016" s="35"/>
      <c r="W4016" s="35"/>
      <c r="X4016" s="35"/>
    </row>
    <row r="4017" spans="4:24" x14ac:dyDescent="0.3">
      <c r="D4017" s="23">
        <v>45412</v>
      </c>
      <c r="E4017" s="5">
        <v>501.98001099999999</v>
      </c>
      <c r="F4017" s="28">
        <v>70.456000000000003</v>
      </c>
      <c r="G4017" s="28">
        <v>211.87</v>
      </c>
      <c r="H4017" s="28">
        <v>424.59</v>
      </c>
      <c r="I4017" s="28">
        <v>248.61</v>
      </c>
      <c r="J4017" s="29"/>
      <c r="K4017" s="29"/>
      <c r="L4017" s="29"/>
      <c r="M4017" s="29"/>
      <c r="N4017" s="29"/>
      <c r="P4017" s="4">
        <f t="shared" si="252"/>
        <v>-1.5968061762372046E-2</v>
      </c>
      <c r="Q4017" s="4">
        <f t="shared" si="252"/>
        <v>-3.813260750162696E-3</v>
      </c>
      <c r="R4017" s="4">
        <f t="shared" si="252"/>
        <v>-2.0138514951857683E-2</v>
      </c>
      <c r="S4017" s="4">
        <f t="shared" si="252"/>
        <v>-1.9036196642461461E-2</v>
      </c>
      <c r="T4017" s="4">
        <f t="shared" si="252"/>
        <v>-1.6594580815618848E-2</v>
      </c>
      <c r="U4017" s="35"/>
      <c r="V4017" s="35"/>
      <c r="W4017" s="35"/>
      <c r="X4017" s="35"/>
    </row>
    <row r="4018" spans="4:24" x14ac:dyDescent="0.3">
      <c r="D4018" s="23">
        <v>45413</v>
      </c>
      <c r="E4018" s="5">
        <v>500.35000600000001</v>
      </c>
      <c r="F4018" s="28">
        <v>70.709999999999994</v>
      </c>
      <c r="G4018" s="28">
        <v>213.79</v>
      </c>
      <c r="H4018" s="28">
        <v>421.52</v>
      </c>
      <c r="I4018" s="28">
        <v>247.99</v>
      </c>
      <c r="J4018" s="29"/>
      <c r="K4018" s="29"/>
      <c r="L4018" s="29"/>
      <c r="M4018" s="29"/>
      <c r="N4018" s="29"/>
      <c r="P4018" s="4">
        <f t="shared" si="252"/>
        <v>-3.2524346457721751E-3</v>
      </c>
      <c r="Q4018" s="4">
        <f t="shared" si="252"/>
        <v>3.5986041129908901E-3</v>
      </c>
      <c r="R4018" s="4">
        <f t="shared" si="252"/>
        <v>9.0213457761173094E-3</v>
      </c>
      <c r="S4018" s="4">
        <f t="shared" si="252"/>
        <v>-7.256771512826843E-3</v>
      </c>
      <c r="T4018" s="4">
        <f t="shared" si="252"/>
        <v>-2.4969807577009135E-3</v>
      </c>
      <c r="U4018" s="35"/>
      <c r="V4018" s="35"/>
      <c r="W4018" s="35"/>
      <c r="X4018" s="35"/>
    </row>
    <row r="4019" spans="4:24" x14ac:dyDescent="0.3">
      <c r="D4019" s="23">
        <v>45414</v>
      </c>
      <c r="E4019" s="5">
        <v>505.02999899999998</v>
      </c>
      <c r="F4019" s="28">
        <v>70.989999999999995</v>
      </c>
      <c r="G4019" s="28">
        <v>213.13</v>
      </c>
      <c r="H4019" s="28">
        <v>426.9</v>
      </c>
      <c r="I4019" s="28">
        <v>250.56</v>
      </c>
      <c r="J4019" s="29"/>
      <c r="K4019" s="29"/>
      <c r="L4019" s="29"/>
      <c r="M4019" s="29"/>
      <c r="N4019" s="29"/>
      <c r="P4019" s="4">
        <f t="shared" si="252"/>
        <v>9.3099659433394724E-3</v>
      </c>
      <c r="Q4019" s="4">
        <f t="shared" si="252"/>
        <v>3.9520164351451196E-3</v>
      </c>
      <c r="R4019" s="4">
        <f t="shared" si="252"/>
        <v>-3.0919166391693495E-3</v>
      </c>
      <c r="S4019" s="4">
        <f t="shared" si="252"/>
        <v>1.2682567862885996E-2</v>
      </c>
      <c r="T4019" s="4">
        <f t="shared" si="252"/>
        <v>1.0309990031078436E-2</v>
      </c>
      <c r="U4019" s="35"/>
      <c r="V4019" s="35"/>
      <c r="W4019" s="35"/>
      <c r="X4019" s="35"/>
    </row>
    <row r="4020" spans="4:24" x14ac:dyDescent="0.3">
      <c r="D4020" s="23">
        <v>45415</v>
      </c>
      <c r="E4020" s="5">
        <v>511.290009</v>
      </c>
      <c r="F4020" s="28">
        <v>71.349999999999994</v>
      </c>
      <c r="G4020" s="28">
        <v>212.96</v>
      </c>
      <c r="H4020" s="28">
        <v>435.48</v>
      </c>
      <c r="I4020" s="28">
        <v>253.53</v>
      </c>
      <c r="J4020" s="29"/>
      <c r="K4020" s="29"/>
      <c r="L4020" s="29"/>
      <c r="M4020" s="29"/>
      <c r="N4020" s="29"/>
      <c r="P4020" s="4">
        <f t="shared" si="252"/>
        <v>1.2319130036379083E-2</v>
      </c>
      <c r="Q4020" s="4">
        <f t="shared" si="252"/>
        <v>5.0583218715509306E-3</v>
      </c>
      <c r="R4020" s="4">
        <f t="shared" si="252"/>
        <v>-7.9795352634574456E-4</v>
      </c>
      <c r="S4020" s="4">
        <f t="shared" si="252"/>
        <v>1.9899077249063018E-2</v>
      </c>
      <c r="T4020" s="4">
        <f t="shared" si="252"/>
        <v>1.1783746422062364E-2</v>
      </c>
      <c r="U4020" s="35"/>
      <c r="V4020" s="35"/>
      <c r="W4020" s="35"/>
      <c r="X4020" s="35"/>
    </row>
    <row r="4021" spans="4:24" x14ac:dyDescent="0.3">
      <c r="D4021" s="23">
        <v>45418</v>
      </c>
      <c r="E4021" s="5">
        <v>516.57000700000003</v>
      </c>
      <c r="F4021" s="28">
        <v>71.42</v>
      </c>
      <c r="G4021" s="28">
        <v>215.2</v>
      </c>
      <c r="H4021" s="28">
        <v>440.25</v>
      </c>
      <c r="I4021" s="28">
        <v>256.25</v>
      </c>
      <c r="J4021" s="29"/>
      <c r="K4021" s="29"/>
      <c r="L4021" s="29"/>
      <c r="M4021" s="29"/>
      <c r="N4021" s="29"/>
      <c r="P4021" s="4">
        <f t="shared" ref="P4021:T4030" si="253">LN(E4021/E4020)</f>
        <v>1.0273859009337078E-2</v>
      </c>
      <c r="Q4021" s="4">
        <f t="shared" si="253"/>
        <v>9.8059824345702782E-4</v>
      </c>
      <c r="R4021" s="4">
        <f t="shared" si="253"/>
        <v>1.0463473640827854E-2</v>
      </c>
      <c r="S4021" s="4">
        <f t="shared" si="253"/>
        <v>1.0893876363336196E-2</v>
      </c>
      <c r="T4021" s="4">
        <f t="shared" si="253"/>
        <v>1.0671371228117404E-2</v>
      </c>
      <c r="U4021" s="35"/>
      <c r="V4021" s="35"/>
      <c r="W4021" s="35"/>
      <c r="X4021" s="35"/>
    </row>
    <row r="4022" spans="4:24" x14ac:dyDescent="0.3">
      <c r="D4022" s="23">
        <v>45419</v>
      </c>
      <c r="E4022" s="5">
        <v>517.14001499999995</v>
      </c>
      <c r="F4022" s="28">
        <v>71.56</v>
      </c>
      <c r="G4022" s="28">
        <v>214.21</v>
      </c>
      <c r="H4022" s="28">
        <v>440.32</v>
      </c>
      <c r="I4022" s="28">
        <v>256.48</v>
      </c>
      <c r="J4022" s="29"/>
      <c r="K4022" s="29"/>
      <c r="L4022" s="29"/>
      <c r="M4022" s="29"/>
      <c r="N4022" s="29"/>
      <c r="P4022" s="4">
        <f t="shared" si="253"/>
        <v>1.1028393759209712E-3</v>
      </c>
      <c r="Q4022" s="4">
        <f t="shared" si="253"/>
        <v>1.9583164742159407E-3</v>
      </c>
      <c r="R4022" s="4">
        <f t="shared" si="253"/>
        <v>-4.6109860229045195E-3</v>
      </c>
      <c r="S4022" s="4">
        <f t="shared" si="253"/>
        <v>1.5898792860857114E-4</v>
      </c>
      <c r="T4022" s="4">
        <f t="shared" si="253"/>
        <v>8.9715840862502282E-4</v>
      </c>
      <c r="U4022" s="35"/>
      <c r="V4022" s="35"/>
      <c r="W4022" s="35"/>
      <c r="X4022" s="35"/>
    </row>
    <row r="4023" spans="4:24" x14ac:dyDescent="0.3">
      <c r="D4023" s="23">
        <v>45420</v>
      </c>
      <c r="E4023" s="5">
        <v>517.19000200000005</v>
      </c>
      <c r="F4023" s="28">
        <v>71.39</v>
      </c>
      <c r="G4023" s="28">
        <v>213.58</v>
      </c>
      <c r="H4023" s="28">
        <v>440.06</v>
      </c>
      <c r="I4023" s="28">
        <v>256.3</v>
      </c>
      <c r="J4023" s="29"/>
      <c r="K4023" s="29"/>
      <c r="L4023" s="29"/>
      <c r="M4023" s="29"/>
      <c r="N4023" s="29"/>
      <c r="P4023" s="4">
        <f t="shared" si="253"/>
        <v>9.6655804660988979E-5</v>
      </c>
      <c r="Q4023" s="4">
        <f t="shared" si="253"/>
        <v>-2.3784551261493078E-3</v>
      </c>
      <c r="R4023" s="4">
        <f t="shared" si="253"/>
        <v>-2.9453725213256002E-3</v>
      </c>
      <c r="S4023" s="4">
        <f t="shared" si="253"/>
        <v>-5.9065405292916151E-4</v>
      </c>
      <c r="T4023" s="4">
        <f t="shared" si="253"/>
        <v>-7.0205549121747689E-4</v>
      </c>
      <c r="U4023" s="35"/>
      <c r="V4023" s="35"/>
      <c r="W4023" s="35"/>
      <c r="X4023" s="35"/>
    </row>
    <row r="4024" spans="4:24" x14ac:dyDescent="0.3">
      <c r="D4024" s="23">
        <v>45421</v>
      </c>
      <c r="E4024" s="5">
        <v>520.169983</v>
      </c>
      <c r="F4024" s="28">
        <v>71.58</v>
      </c>
      <c r="G4024" s="28">
        <v>216.95</v>
      </c>
      <c r="H4024" s="28">
        <v>441.02</v>
      </c>
      <c r="I4024" s="28">
        <v>257.81</v>
      </c>
      <c r="J4024" s="29"/>
      <c r="K4024" s="29"/>
      <c r="L4024" s="29"/>
      <c r="M4024" s="29"/>
      <c r="N4024" s="29"/>
      <c r="P4024" s="4">
        <f t="shared" si="253"/>
        <v>5.7453328453590862E-3</v>
      </c>
      <c r="Q4024" s="4">
        <f t="shared" si="253"/>
        <v>2.6579018235106376E-3</v>
      </c>
      <c r="R4024" s="4">
        <f t="shared" si="253"/>
        <v>1.5655442500960549E-2</v>
      </c>
      <c r="S4024" s="4">
        <f t="shared" si="253"/>
        <v>2.179144640426831E-3</v>
      </c>
      <c r="T4024" s="4">
        <f t="shared" si="253"/>
        <v>5.8742461422618521E-3</v>
      </c>
      <c r="U4024" s="35"/>
      <c r="V4024" s="35"/>
      <c r="W4024" s="35"/>
      <c r="X4024" s="35"/>
    </row>
    <row r="4025" spans="4:24" x14ac:dyDescent="0.3">
      <c r="D4025" s="23">
        <v>45422</v>
      </c>
      <c r="E4025" s="5">
        <v>520.84002699999996</v>
      </c>
      <c r="F4025" s="28">
        <v>71.38</v>
      </c>
      <c r="G4025" s="28">
        <v>218.71</v>
      </c>
      <c r="H4025" s="28">
        <v>442.06</v>
      </c>
      <c r="I4025" s="28">
        <v>258.05</v>
      </c>
      <c r="J4025" s="29"/>
      <c r="K4025" s="29"/>
      <c r="L4025" s="29"/>
      <c r="M4025" s="29"/>
      <c r="N4025" s="29"/>
      <c r="P4025" s="4">
        <f t="shared" si="253"/>
        <v>1.2872961567952192E-3</v>
      </c>
      <c r="Q4025" s="4">
        <f t="shared" si="253"/>
        <v>-2.7979872758654768E-3</v>
      </c>
      <c r="R4025" s="4">
        <f t="shared" si="253"/>
        <v>8.0797391301014269E-3</v>
      </c>
      <c r="S4025" s="4">
        <f t="shared" si="253"/>
        <v>2.3553935788742961E-3</v>
      </c>
      <c r="T4025" s="4">
        <f t="shared" si="253"/>
        <v>9.304850824489976E-4</v>
      </c>
      <c r="U4025" s="35"/>
      <c r="V4025" s="35"/>
      <c r="W4025" s="35"/>
      <c r="X4025" s="35"/>
    </row>
    <row r="4026" spans="4:24" x14ac:dyDescent="0.3">
      <c r="D4026" s="23">
        <v>45425</v>
      </c>
      <c r="E4026" s="5">
        <v>520.90997300000004</v>
      </c>
      <c r="F4026" s="28">
        <v>71.44</v>
      </c>
      <c r="G4026" s="28">
        <v>216.26</v>
      </c>
      <c r="H4026" s="28">
        <v>443.08</v>
      </c>
      <c r="I4026" s="28">
        <v>258.19</v>
      </c>
      <c r="J4026" s="29"/>
      <c r="K4026" s="29"/>
      <c r="L4026" s="29"/>
      <c r="M4026" s="29"/>
      <c r="N4026" s="29"/>
      <c r="P4026" s="4">
        <f t="shared" si="253"/>
        <v>1.3428557735569802E-4</v>
      </c>
      <c r="Q4026" s="4">
        <f t="shared" si="253"/>
        <v>8.4021850622935498E-4</v>
      </c>
      <c r="R4026" s="4">
        <f t="shared" si="253"/>
        <v>-1.1265263857069994E-2</v>
      </c>
      <c r="S4026" s="4">
        <f t="shared" si="253"/>
        <v>2.3047211774360034E-3</v>
      </c>
      <c r="T4026" s="4">
        <f t="shared" si="253"/>
        <v>5.4238340086824421E-4</v>
      </c>
      <c r="U4026" s="35"/>
      <c r="V4026" s="35"/>
      <c r="W4026" s="35"/>
      <c r="X4026" s="35"/>
    </row>
    <row r="4027" spans="4:24" x14ac:dyDescent="0.3">
      <c r="D4027" s="23">
        <v>45426</v>
      </c>
      <c r="E4027" s="5">
        <v>523.29998799999998</v>
      </c>
      <c r="F4027" s="28">
        <v>71.650000000000006</v>
      </c>
      <c r="G4027" s="28">
        <v>218.09</v>
      </c>
      <c r="H4027" s="28">
        <v>445.93</v>
      </c>
      <c r="I4027" s="28">
        <v>259.45</v>
      </c>
      <c r="J4027" s="29"/>
      <c r="K4027" s="29"/>
      <c r="L4027" s="29"/>
      <c r="M4027" s="29"/>
      <c r="N4027" s="29"/>
      <c r="P4027" s="4">
        <f t="shared" si="253"/>
        <v>4.5776601695465538E-3</v>
      </c>
      <c r="Q4027" s="4">
        <f t="shared" si="253"/>
        <v>2.9352177059374178E-3</v>
      </c>
      <c r="R4027" s="4">
        <f t="shared" si="253"/>
        <v>8.4264341117436681E-3</v>
      </c>
      <c r="S4027" s="4">
        <f t="shared" si="253"/>
        <v>6.4116483806404903E-3</v>
      </c>
      <c r="T4027" s="4">
        <f t="shared" si="253"/>
        <v>4.868257818144343E-3</v>
      </c>
      <c r="U4027" s="35"/>
      <c r="V4027" s="35"/>
      <c r="W4027" s="35"/>
      <c r="X4027" s="35"/>
    </row>
    <row r="4028" spans="4:24" x14ac:dyDescent="0.3">
      <c r="D4028" s="23">
        <v>45427</v>
      </c>
      <c r="E4028" s="5">
        <v>529.78002900000001</v>
      </c>
      <c r="F4028" s="28">
        <v>72.11</v>
      </c>
      <c r="G4028" s="28">
        <v>220.89</v>
      </c>
      <c r="H4028" s="28">
        <v>452.9</v>
      </c>
      <c r="I4028" s="28">
        <v>262.64</v>
      </c>
      <c r="J4028" s="29"/>
      <c r="K4028" s="29"/>
      <c r="L4028" s="29"/>
      <c r="M4028" s="29"/>
      <c r="N4028" s="29"/>
      <c r="P4028" s="4">
        <f t="shared" si="253"/>
        <v>1.230699032397824E-2</v>
      </c>
      <c r="Q4028" s="4">
        <f t="shared" si="253"/>
        <v>6.3995766544871248E-3</v>
      </c>
      <c r="R4028" s="4">
        <f t="shared" si="253"/>
        <v>1.2757018419600285E-2</v>
      </c>
      <c r="S4028" s="4">
        <f t="shared" si="253"/>
        <v>1.5509361532795434E-2</v>
      </c>
      <c r="T4028" s="4">
        <f t="shared" si="253"/>
        <v>1.2220267379588546E-2</v>
      </c>
      <c r="U4028" s="35"/>
      <c r="V4028" s="35"/>
      <c r="W4028" s="35"/>
      <c r="X4028" s="35"/>
    </row>
    <row r="4029" spans="4:24" x14ac:dyDescent="0.3">
      <c r="D4029" s="23">
        <v>45428</v>
      </c>
      <c r="E4029" s="5">
        <v>528.69000200000005</v>
      </c>
      <c r="F4029" s="28">
        <v>71.989999999999995</v>
      </c>
      <c r="G4029" s="28">
        <v>220.03</v>
      </c>
      <c r="H4029" s="28">
        <v>451.98</v>
      </c>
      <c r="I4029" s="28">
        <v>261.93</v>
      </c>
      <c r="J4029" s="29"/>
      <c r="K4029" s="29"/>
      <c r="L4029" s="29"/>
      <c r="M4029" s="29"/>
      <c r="N4029" s="29"/>
      <c r="P4029" s="4">
        <f t="shared" si="253"/>
        <v>-2.0596282434201022E-3</v>
      </c>
      <c r="Q4029" s="4">
        <f t="shared" si="253"/>
        <v>-1.6655104474566492E-3</v>
      </c>
      <c r="R4029" s="4">
        <f t="shared" si="253"/>
        <v>-3.9009393566854541E-3</v>
      </c>
      <c r="S4029" s="4">
        <f t="shared" si="253"/>
        <v>-2.0334194965098131E-3</v>
      </c>
      <c r="T4029" s="4">
        <f t="shared" si="253"/>
        <v>-2.7069807025111312E-3</v>
      </c>
      <c r="U4029" s="35"/>
      <c r="V4029" s="35"/>
      <c r="W4029" s="35"/>
      <c r="X4029" s="35"/>
    </row>
    <row r="4030" spans="4:24" x14ac:dyDescent="0.3">
      <c r="D4030" s="23">
        <v>45429</v>
      </c>
      <c r="E4030" s="5">
        <v>529.45001200000002</v>
      </c>
      <c r="F4030" s="28">
        <v>71.81</v>
      </c>
      <c r="G4030" s="28">
        <v>223.66</v>
      </c>
      <c r="H4030" s="28">
        <v>451.76</v>
      </c>
      <c r="I4030" s="28">
        <v>262.3</v>
      </c>
      <c r="J4030" s="29"/>
      <c r="K4030" s="29"/>
      <c r="L4030" s="29"/>
      <c r="M4030" s="29"/>
      <c r="N4030" s="29"/>
      <c r="P4030" s="4">
        <f t="shared" si="253"/>
        <v>1.4365020141700764E-3</v>
      </c>
      <c r="Q4030" s="4">
        <f t="shared" si="253"/>
        <v>-2.5034783589852642E-3</v>
      </c>
      <c r="R4030" s="4">
        <f t="shared" si="253"/>
        <v>1.6363140907992516E-2</v>
      </c>
      <c r="S4030" s="4">
        <f t="shared" si="253"/>
        <v>-4.8686570107716221E-4</v>
      </c>
      <c r="T4030" s="4">
        <f t="shared" si="253"/>
        <v>1.4115943820020205E-3</v>
      </c>
      <c r="U4030" s="35"/>
      <c r="V4030" s="35"/>
      <c r="W4030" s="35"/>
      <c r="X4030" s="35"/>
    </row>
    <row r="4031" spans="4:24" x14ac:dyDescent="0.3">
      <c r="D4031" s="5"/>
      <c r="E4031" s="5"/>
      <c r="F4031" s="5"/>
      <c r="G4031" s="5"/>
      <c r="H4031" s="5"/>
      <c r="I4031" s="5"/>
      <c r="J4031" s="15"/>
      <c r="K4031" s="15"/>
      <c r="L4031" s="15"/>
      <c r="M4031" s="15"/>
      <c r="N4031" s="15"/>
      <c r="P4031" s="4"/>
      <c r="Q4031" s="5"/>
      <c r="R4031" s="5"/>
      <c r="S4031" s="5"/>
      <c r="T4031" s="5"/>
      <c r="U4031" s="34"/>
      <c r="V4031" s="34"/>
      <c r="W4031" s="34"/>
      <c r="X4031" s="34"/>
    </row>
    <row r="4032" spans="4:24" x14ac:dyDescent="0.3">
      <c r="D4032" s="5"/>
      <c r="E4032" s="5"/>
      <c r="F4032" s="5"/>
      <c r="G4032" s="5"/>
      <c r="H4032" s="5"/>
      <c r="I4032" s="5"/>
      <c r="J4032" s="15"/>
      <c r="K4032" s="15"/>
      <c r="L4032" s="15"/>
      <c r="M4032" s="15"/>
      <c r="N4032" s="15"/>
      <c r="P4032" s="4"/>
      <c r="Q4032" s="5"/>
      <c r="R4032" s="5"/>
      <c r="S4032" s="5"/>
      <c r="T4032" s="5"/>
      <c r="U4032" s="34"/>
      <c r="V4032" s="34"/>
      <c r="W4032" s="34"/>
      <c r="X4032" s="34"/>
    </row>
  </sheetData>
  <mergeCells count="4">
    <mergeCell ref="D1:I1"/>
    <mergeCell ref="P1:T1"/>
    <mergeCell ref="Y9:Z9"/>
    <mergeCell ref="Y16:A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Aprajeeta Singh</dc:creator>
  <cp:lastModifiedBy>Aprajeeta Singh</cp:lastModifiedBy>
  <dcterms:created xsi:type="dcterms:W3CDTF">2025-10-12T14:36:43Z</dcterms:created>
  <dcterms:modified xsi:type="dcterms:W3CDTF">2025-10-12T15:03:39Z</dcterms:modified>
</cp:coreProperties>
</file>